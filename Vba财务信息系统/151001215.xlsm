
<file path=[Content_Types].xml><?xml version="1.0" encoding="utf-8"?>
<Types xmlns="http://schemas.openxmlformats.org/package/2006/content-types">
  <Default Extension="vml" ContentType="application/vnd.openxmlformats-officedocument.vmlDrawing"/>
  <Default Extension="jpeg" ContentType="image/jpe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10.bin" ContentType="application/vnd.ms-office.activeX"/>
  <Override PartName="/xl/activeX/activeX10.xml" ContentType="application/vnd.ms-office.activeX+xml"/>
  <Override PartName="/xl/activeX/activeX11.bin" ContentType="application/vnd.ms-office.activeX"/>
  <Override PartName="/xl/activeX/activeX11.xml" ContentType="application/vnd.ms-office.activeX+xml"/>
  <Override PartName="/xl/activeX/activeX12.bin" ContentType="application/vnd.ms-office.activeX"/>
  <Override PartName="/xl/activeX/activeX12.xml" ContentType="application/vnd.ms-office.activeX+xml"/>
  <Override PartName="/xl/activeX/activeX13.bin" ContentType="application/vnd.ms-office.activeX"/>
  <Override PartName="/xl/activeX/activeX13.xml" ContentType="application/vnd.ms-office.activeX+xml"/>
  <Override PartName="/xl/activeX/activeX14.bin" ContentType="application/vnd.ms-office.activeX"/>
  <Override PartName="/xl/activeX/activeX14.xml" ContentType="application/vnd.ms-office.activeX+xml"/>
  <Override PartName="/xl/activeX/activeX15.bin" ContentType="application/vnd.ms-office.activeX"/>
  <Override PartName="/xl/activeX/activeX15.xml" ContentType="application/vnd.ms-office.activeX+xml"/>
  <Override PartName="/xl/activeX/activeX16.bin" ContentType="application/vnd.ms-office.activeX"/>
  <Override PartName="/xl/activeX/activeX16.xml" ContentType="application/vnd.ms-office.activeX+xml"/>
  <Override PartName="/xl/activeX/activeX17.bin" ContentType="application/vnd.ms-office.activeX"/>
  <Override PartName="/xl/activeX/activeX17.xml" ContentType="application/vnd.ms-office.activeX+xml"/>
  <Override PartName="/xl/activeX/activeX18.bin" ContentType="application/vnd.ms-office.activeX"/>
  <Override PartName="/xl/activeX/activeX18.xml" ContentType="application/vnd.ms-office.activeX+xml"/>
  <Override PartName="/xl/activeX/activeX19.bin" ContentType="application/vnd.ms-office.activeX"/>
  <Override PartName="/xl/activeX/activeX19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20.bin" ContentType="application/vnd.ms-office.activeX"/>
  <Override PartName="/xl/activeX/activeX20.xml" ContentType="application/vnd.ms-office.activeX+xml"/>
  <Override PartName="/xl/activeX/activeX21.bin" ContentType="application/vnd.ms-office.activeX"/>
  <Override PartName="/xl/activeX/activeX21.xml" ContentType="application/vnd.ms-office.activeX+xml"/>
  <Override PartName="/xl/activeX/activeX22.bin" ContentType="application/vnd.ms-office.activeX"/>
  <Override PartName="/xl/activeX/activeX22.xml" ContentType="application/vnd.ms-office.activeX+xml"/>
  <Override PartName="/xl/activeX/activeX23.bin" ContentType="application/vnd.ms-office.activeX"/>
  <Override PartName="/xl/activeX/activeX23.xml" ContentType="application/vnd.ms-office.activeX+xml"/>
  <Override PartName="/xl/activeX/activeX24.bin" ContentType="application/vnd.ms-office.activeX"/>
  <Override PartName="/xl/activeX/activeX24.xml" ContentType="application/vnd.ms-office.activeX+xml"/>
  <Override PartName="/xl/activeX/activeX25.bin" ContentType="application/vnd.ms-office.activeX"/>
  <Override PartName="/xl/activeX/activeX25.xml" ContentType="application/vnd.ms-office.activeX+xml"/>
  <Override PartName="/xl/activeX/activeX26.bin" ContentType="application/vnd.ms-office.activeX"/>
  <Override PartName="/xl/activeX/activeX26.xml" ContentType="application/vnd.ms-office.activeX+xml"/>
  <Override PartName="/xl/activeX/activeX27.bin" ContentType="application/vnd.ms-office.activeX"/>
  <Override PartName="/xl/activeX/activeX27.xml" ContentType="application/vnd.ms-office.activeX+xml"/>
  <Override PartName="/xl/activeX/activeX28.bin" ContentType="application/vnd.ms-office.activeX"/>
  <Override PartName="/xl/activeX/activeX29.bin" ContentType="application/vnd.ms-office.activeX"/>
  <Override PartName="/xl/activeX/activeX29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30.bin" ContentType="application/vnd.ms-office.activeX"/>
  <Override PartName="/xl/activeX/activeX30.xml" ContentType="application/vnd.ms-office.activeX+xml"/>
  <Override PartName="/xl/activeX/activeX31.bin" ContentType="application/vnd.ms-office.activeX"/>
  <Override PartName="/xl/activeX/activeX31.xml" ContentType="application/vnd.ms-office.activeX+xml"/>
  <Override PartName="/xl/activeX/activeX32.bin" ContentType="application/vnd.ms-office.activeX"/>
  <Override PartName="/xl/activeX/activeX32.xml" ContentType="application/vnd.ms-office.activeX+xml"/>
  <Override PartName="/xl/activeX/activeX33.bin" ContentType="application/vnd.ms-office.activeX"/>
  <Override PartName="/xl/activeX/activeX33.xml" ContentType="application/vnd.ms-office.activeX+xml"/>
  <Override PartName="/xl/activeX/activeX34.bin" ContentType="application/vnd.ms-office.activeX"/>
  <Override PartName="/xl/activeX/activeX34.xml" ContentType="application/vnd.ms-office.activeX+xml"/>
  <Override PartName="/xl/activeX/activeX35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activeX/activeX9.bin" ContentType="application/vnd.ms-office.activeX"/>
  <Override PartName="/xl/activeX/activeX9.xml" ContentType="application/vnd.ms-office.activeX+xml"/>
  <Override PartName="/xl/ctrlProps/ctrlProp28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495" windowHeight="9930" tabRatio="786"/>
  </bookViews>
  <sheets>
    <sheet name="用户登录" sheetId="2" r:id="rId1"/>
    <sheet name="界面" sheetId="5" r:id="rId2"/>
    <sheet name="会计科目" sheetId="1" r:id="rId3"/>
    <sheet name="期初余额" sheetId="3" r:id="rId4"/>
    <sheet name="凭证填制" sheetId="6" r:id="rId5"/>
    <sheet name="记账凭证" sheetId="14" r:id="rId6"/>
    <sheet name="记账凭证汇总" sheetId="13" r:id="rId7"/>
    <sheet name="总账" sheetId="7" r:id="rId8"/>
    <sheet name="明细账" sheetId="8" r:id="rId9"/>
    <sheet name="科目汇总表" sheetId="9" r:id="rId10"/>
    <sheet name="余额表" sheetId="10" r:id="rId11"/>
    <sheet name="利润表" sheetId="11" r:id="rId12"/>
    <sheet name="资产负债表" sheetId="12" r:id="rId13"/>
    <sheet name="用户权限" sheetId="4" r:id="rId14"/>
    <sheet name="记账凭证汇总备份" sheetId="15" r:id="rId15"/>
  </sheets>
  <calcPr calcId="144525"/>
</workbook>
</file>

<file path=xl/sharedStrings.xml><?xml version="1.0" encoding="utf-8"?>
<sst xmlns="http://schemas.openxmlformats.org/spreadsheetml/2006/main" count="341">
  <si>
    <t>程 小 疯 财 务 系 统</t>
  </si>
  <si>
    <t>一、基础设置</t>
  </si>
  <si>
    <t>二、记账处理</t>
  </si>
  <si>
    <t>四、财务报表</t>
  </si>
  <si>
    <t>当前登录用户：</t>
  </si>
  <si>
    <t>程小疯1号</t>
  </si>
  <si>
    <t>会 计 科 目 表</t>
  </si>
  <si>
    <t>2007年新编会计准则</t>
  </si>
  <si>
    <t>科目代码</t>
  </si>
  <si>
    <t>科目名称</t>
  </si>
  <si>
    <t>辅助</t>
  </si>
  <si>
    <t>是否日记账</t>
  </si>
  <si>
    <t>是否银行记账</t>
  </si>
  <si>
    <t>库存现金</t>
  </si>
  <si>
    <t>银行存款</t>
  </si>
  <si>
    <t xml:space="preserve">  工行存款</t>
  </si>
  <si>
    <t xml:space="preserve">  中行存款</t>
  </si>
  <si>
    <t xml:space="preserve">    美元存款</t>
  </si>
  <si>
    <t xml:space="preserve">  建行存款</t>
  </si>
  <si>
    <t>存放中央银行款项</t>
  </si>
  <si>
    <t>存放同业</t>
  </si>
  <si>
    <t>其他货币资金</t>
  </si>
  <si>
    <t>结算备付金</t>
  </si>
  <si>
    <t>存出保证金</t>
  </si>
  <si>
    <t>交易性金融资产</t>
  </si>
  <si>
    <t>买入返售金融资产</t>
  </si>
  <si>
    <t>应收票据</t>
  </si>
  <si>
    <t>客户往来</t>
  </si>
  <si>
    <t>应收账款</t>
  </si>
  <si>
    <t>预付账款</t>
  </si>
  <si>
    <t>供应商往来</t>
  </si>
  <si>
    <t>应收股利</t>
  </si>
  <si>
    <t>应收利息</t>
  </si>
  <si>
    <t>应收代位追偿款</t>
  </si>
  <si>
    <t>应收分保账款</t>
  </si>
  <si>
    <t>应收分保合同准备金</t>
  </si>
  <si>
    <t>其他应收款</t>
  </si>
  <si>
    <t xml:space="preserve">  备用金</t>
  </si>
  <si>
    <t>部门核算</t>
  </si>
  <si>
    <t xml:space="preserve">  个人应收款</t>
  </si>
  <si>
    <t>个人往来</t>
  </si>
  <si>
    <t>坏账准备</t>
  </si>
  <si>
    <t>贴现资产</t>
  </si>
  <si>
    <t>拆出资金</t>
  </si>
  <si>
    <t>贷款</t>
  </si>
  <si>
    <t>贷款损失准备</t>
  </si>
  <si>
    <t>代理兑付证券</t>
  </si>
  <si>
    <t>代理业务资产</t>
  </si>
  <si>
    <t>材料采购</t>
  </si>
  <si>
    <t>在途物资</t>
  </si>
  <si>
    <t>原材料</t>
  </si>
  <si>
    <t xml:space="preserve">  101材料</t>
  </si>
  <si>
    <t xml:space="preserve">  102材料</t>
  </si>
  <si>
    <t xml:space="preserve">  103材料</t>
  </si>
  <si>
    <t>材料成本差异</t>
  </si>
  <si>
    <t>库存商品</t>
  </si>
  <si>
    <t>发出商品</t>
  </si>
  <si>
    <t>商品进销差价</t>
  </si>
  <si>
    <t>委托加工物资</t>
  </si>
  <si>
    <t>周转材料</t>
  </si>
  <si>
    <t>消耗性生物资产</t>
  </si>
  <si>
    <t>贵金属</t>
  </si>
  <si>
    <t>抵债资产</t>
  </si>
  <si>
    <t>损余物资</t>
  </si>
  <si>
    <t>融资租赁资产</t>
  </si>
  <si>
    <t>存货跌价准备</t>
  </si>
  <si>
    <t>持有至到期投资</t>
  </si>
  <si>
    <t>持有至到期投资减值准备</t>
  </si>
  <si>
    <t>可供出售金融资产</t>
  </si>
  <si>
    <t>长期股权投资</t>
  </si>
  <si>
    <t>长期股权投资减值准备</t>
  </si>
  <si>
    <t>投资性房地产</t>
  </si>
  <si>
    <t>长期应收款</t>
  </si>
  <si>
    <t>未实现融资收益</t>
  </si>
  <si>
    <t>存出资本保证金</t>
  </si>
  <si>
    <t>固定资产</t>
  </si>
  <si>
    <t xml:space="preserve">  生产设备</t>
  </si>
  <si>
    <t>累计折旧</t>
  </si>
  <si>
    <t xml:space="preserve">  生产设备折旧</t>
  </si>
  <si>
    <t>固定资产减值准备</t>
  </si>
  <si>
    <t>在建工程</t>
  </si>
  <si>
    <t xml:space="preserve">  建筑工程</t>
  </si>
  <si>
    <t>工程物资</t>
  </si>
  <si>
    <t>固定资产清理</t>
  </si>
  <si>
    <t>未担保余值</t>
  </si>
  <si>
    <t>生产性生物资产</t>
  </si>
  <si>
    <t>生产性生物资产累计折旧</t>
  </si>
  <si>
    <t>公益性生物资产</t>
  </si>
  <si>
    <t>油气资产</t>
  </si>
  <si>
    <t>累计折耗</t>
  </si>
  <si>
    <t>无形资产</t>
  </si>
  <si>
    <t>累计摊销</t>
  </si>
  <si>
    <t>无形资产减值准备</t>
  </si>
  <si>
    <t>商誉</t>
  </si>
  <si>
    <t>长期待摊费用</t>
  </si>
  <si>
    <t>递延所得税资产</t>
  </si>
  <si>
    <t>独立账户资产</t>
  </si>
  <si>
    <t>待处理财产损溢</t>
  </si>
  <si>
    <t>短期借款</t>
  </si>
  <si>
    <t>存入保证金</t>
  </si>
  <si>
    <t>拆入资金</t>
  </si>
  <si>
    <t>向中央银行借款</t>
  </si>
  <si>
    <t>吸收存款</t>
  </si>
  <si>
    <t>同业存放</t>
  </si>
  <si>
    <t>贴现负债</t>
  </si>
  <si>
    <t>交易性金融负债</t>
  </si>
  <si>
    <t>卖出回购金融资产款</t>
  </si>
  <si>
    <t>应付票据</t>
  </si>
  <si>
    <t>应付账款</t>
  </si>
  <si>
    <t>预收账款</t>
  </si>
  <si>
    <t>应付职工薪酬</t>
  </si>
  <si>
    <t>应交税费</t>
  </si>
  <si>
    <t xml:space="preserve"> 应交增值税</t>
  </si>
  <si>
    <t xml:space="preserve">   进项税额</t>
  </si>
  <si>
    <t xml:space="preserve">   销项税额</t>
  </si>
  <si>
    <t xml:space="preserve">   未交增值税</t>
  </si>
  <si>
    <t>应付利息</t>
  </si>
  <si>
    <t>应付股利</t>
  </si>
  <si>
    <t>其他应付款</t>
  </si>
  <si>
    <t>应付保单红利</t>
  </si>
  <si>
    <t>应付分保账款</t>
  </si>
  <si>
    <t>代理买卖证券款</t>
  </si>
  <si>
    <t>代理承销证券款</t>
  </si>
  <si>
    <t>代理兑付证券款</t>
  </si>
  <si>
    <t>代理业务负债</t>
  </si>
  <si>
    <t>递延收益</t>
  </si>
  <si>
    <t>长期借款</t>
  </si>
  <si>
    <t>应付债券</t>
  </si>
  <si>
    <t>未到期责任准备金</t>
  </si>
  <si>
    <t>保险责任准备金</t>
  </si>
  <si>
    <t>保户储金</t>
  </si>
  <si>
    <t>独立账户负债</t>
  </si>
  <si>
    <t>长期应付款</t>
  </si>
  <si>
    <t>未确认融资费用</t>
  </si>
  <si>
    <t>专项应付款</t>
  </si>
  <si>
    <t>预计负债</t>
  </si>
  <si>
    <t>递延所得税负债</t>
  </si>
  <si>
    <t>清算资金往来</t>
  </si>
  <si>
    <t>货币兑换</t>
  </si>
  <si>
    <t>衍生工具</t>
  </si>
  <si>
    <t>套期工具</t>
  </si>
  <si>
    <t>被套期项目</t>
  </si>
  <si>
    <t>实收资本</t>
  </si>
  <si>
    <t>资本公积</t>
  </si>
  <si>
    <t>盈余公积</t>
  </si>
  <si>
    <t>一般风险准备</t>
  </si>
  <si>
    <t>本年利润</t>
  </si>
  <si>
    <t>利润分配</t>
  </si>
  <si>
    <t>库存股</t>
  </si>
  <si>
    <t>生产成本</t>
  </si>
  <si>
    <t xml:space="preserve">  基本生产成本</t>
  </si>
  <si>
    <t xml:space="preserve">  辅助生产成本</t>
  </si>
  <si>
    <t>制造费用</t>
  </si>
  <si>
    <t xml:space="preserve">  工资及福利费</t>
  </si>
  <si>
    <t xml:space="preserve">  办公费</t>
  </si>
  <si>
    <t xml:space="preserve">  差旅费</t>
  </si>
  <si>
    <t xml:space="preserve">  修理费</t>
  </si>
  <si>
    <t>劳务成本</t>
  </si>
  <si>
    <t>研发支出</t>
  </si>
  <si>
    <t>工程施工</t>
  </si>
  <si>
    <t>工程结算</t>
  </si>
  <si>
    <t>机械作业</t>
  </si>
  <si>
    <t>主营业务收入</t>
  </si>
  <si>
    <t>利息收入</t>
  </si>
  <si>
    <t>手续费及佣金收入</t>
  </si>
  <si>
    <t>保费收入</t>
  </si>
  <si>
    <t>租赁收入</t>
  </si>
  <si>
    <t>其他业务收入</t>
  </si>
  <si>
    <t>汇兑损益</t>
  </si>
  <si>
    <t>公允价值变动损益</t>
  </si>
  <si>
    <t>投资收益</t>
  </si>
  <si>
    <t>摊回保险责任准备金</t>
  </si>
  <si>
    <t>摊回赔付支出</t>
  </si>
  <si>
    <t>摊回分保费用</t>
  </si>
  <si>
    <t>营业外收入</t>
  </si>
  <si>
    <t>主营业务成本</t>
  </si>
  <si>
    <t>其他业务成本</t>
  </si>
  <si>
    <t>营业税金及附加</t>
  </si>
  <si>
    <t>利息支出</t>
  </si>
  <si>
    <t>手续费及佣金支出</t>
  </si>
  <si>
    <t>提取未到期责任准备金</t>
  </si>
  <si>
    <t>提取保险责任准备金</t>
  </si>
  <si>
    <t>赔付支出</t>
  </si>
  <si>
    <t>保单红利支出</t>
  </si>
  <si>
    <t>退保金</t>
  </si>
  <si>
    <t>分出保费</t>
  </si>
  <si>
    <t>分保费用</t>
  </si>
  <si>
    <t>销售费用</t>
  </si>
  <si>
    <t xml:space="preserve">  广告费</t>
  </si>
  <si>
    <t xml:space="preserve">  水电费</t>
  </si>
  <si>
    <t xml:space="preserve">  运输费</t>
  </si>
  <si>
    <t xml:space="preserve">  电话费</t>
  </si>
  <si>
    <t>管理费用</t>
  </si>
  <si>
    <t xml:space="preserve">  折旧费</t>
  </si>
  <si>
    <t>财务费用</t>
  </si>
  <si>
    <t xml:space="preserve">  利息收入和支出</t>
  </si>
  <si>
    <t xml:space="preserve">  银行手续费</t>
  </si>
  <si>
    <t xml:space="preserve">  汇兑损益</t>
  </si>
  <si>
    <t>勘探费用</t>
  </si>
  <si>
    <t>资产减值损失</t>
  </si>
  <si>
    <t>营业外支出</t>
  </si>
  <si>
    <t xml:space="preserve">  罚款支出</t>
  </si>
  <si>
    <t xml:space="preserve">  处置固定资产净损失</t>
  </si>
  <si>
    <t>所得税费用</t>
  </si>
  <si>
    <t>以前年度损益调整</t>
  </si>
  <si>
    <t>期 初 余 额 表</t>
  </si>
  <si>
    <t>借方金额</t>
  </si>
  <si>
    <t>贷方金额</t>
  </si>
  <si>
    <t>合计</t>
  </si>
  <si>
    <t>记 账 凭 证</t>
  </si>
  <si>
    <t>凭证类别：</t>
  </si>
  <si>
    <t>收款凭证</t>
  </si>
  <si>
    <t>年</t>
  </si>
  <si>
    <t>月</t>
  </si>
  <si>
    <t>日</t>
  </si>
  <si>
    <t>凭证编号</t>
  </si>
  <si>
    <t>摘要</t>
  </si>
  <si>
    <t>会计科目</t>
  </si>
  <si>
    <t>借方科目</t>
  </si>
  <si>
    <t>贷方科目</t>
  </si>
  <si>
    <t>科目编码</t>
  </si>
  <si>
    <t>会计主管</t>
  </si>
  <si>
    <t>记账</t>
  </si>
  <si>
    <t>审核</t>
  </si>
  <si>
    <t>制单</t>
  </si>
  <si>
    <t>程小疯2号</t>
  </si>
  <si>
    <t>类型</t>
  </si>
  <si>
    <t>序号</t>
  </si>
  <si>
    <t>付款凭证</t>
  </si>
  <si>
    <t>购进材料</t>
  </si>
  <si>
    <t>原材料/101原材料</t>
  </si>
  <si>
    <t>银行存款/工行存款</t>
  </si>
  <si>
    <t>支付工资</t>
  </si>
  <si>
    <t>工行提现</t>
  </si>
  <si>
    <t>应交税费/应交增值税/进项税额</t>
  </si>
  <si>
    <t>其他应收款/个人应收款</t>
  </si>
  <si>
    <t>销售一部销售产品</t>
  </si>
  <si>
    <t>银行存款/中行存款/美元存款</t>
  </si>
  <si>
    <t>应交税费/应交增值税/销项税额</t>
  </si>
  <si>
    <t>转账凭证</t>
  </si>
  <si>
    <t>销售二部销售商品</t>
  </si>
  <si>
    <t>卖出商品</t>
  </si>
  <si>
    <t>总     账</t>
  </si>
  <si>
    <t>1001  库存现金</t>
  </si>
  <si>
    <t>日 期</t>
  </si>
  <si>
    <t>日  期</t>
  </si>
  <si>
    <t>凭证类别</t>
  </si>
  <si>
    <t>摘 要</t>
  </si>
  <si>
    <t>金额合计</t>
  </si>
  <si>
    <t>方向</t>
  </si>
  <si>
    <t>余额</t>
  </si>
  <si>
    <t>借 方</t>
  </si>
  <si>
    <t>贷 方</t>
  </si>
  <si>
    <t>期初余额</t>
  </si>
  <si>
    <t>借</t>
  </si>
  <si>
    <t>贷</t>
  </si>
  <si>
    <t>明  细  账</t>
  </si>
  <si>
    <t>科目汇总表</t>
  </si>
  <si>
    <t>待摊费用</t>
  </si>
  <si>
    <t>待处理财产损益</t>
  </si>
  <si>
    <t>资产合计</t>
  </si>
  <si>
    <t>预提费用</t>
  </si>
  <si>
    <t>长期债券</t>
  </si>
  <si>
    <t>负债合计</t>
  </si>
  <si>
    <t>实收资本（或股本）</t>
  </si>
  <si>
    <t>权益合计</t>
  </si>
  <si>
    <t>利息收入和支出</t>
  </si>
  <si>
    <t>银行手续费</t>
  </si>
  <si>
    <t>罚款支出</t>
  </si>
  <si>
    <t>处置固定资产净损失</t>
  </si>
  <si>
    <t>所得税</t>
  </si>
  <si>
    <t>损益合计</t>
  </si>
  <si>
    <t>余  额  表</t>
  </si>
  <si>
    <t>本期发生额</t>
  </si>
  <si>
    <t>期末余额</t>
  </si>
  <si>
    <t>借方余额</t>
  </si>
  <si>
    <t>贷方余额</t>
  </si>
  <si>
    <t>借方</t>
  </si>
  <si>
    <t>贷方</t>
  </si>
  <si>
    <t>合 计</t>
  </si>
  <si>
    <t>利 润 表</t>
  </si>
  <si>
    <t>项  目</t>
  </si>
  <si>
    <t>本月数</t>
  </si>
  <si>
    <t>本年累计数</t>
  </si>
  <si>
    <t>一、营业收入</t>
  </si>
  <si>
    <t xml:space="preserve">    减：营业成本</t>
  </si>
  <si>
    <t xml:space="preserve">        营业税金及附加</t>
  </si>
  <si>
    <t xml:space="preserve">        销售费用</t>
  </si>
  <si>
    <t xml:space="preserve">        管理费用</t>
  </si>
  <si>
    <t xml:space="preserve">        财务费用</t>
  </si>
  <si>
    <t>二、营业利润</t>
  </si>
  <si>
    <t xml:space="preserve">    加：营业外收入</t>
  </si>
  <si>
    <t xml:space="preserve">    减：营业外支出</t>
  </si>
  <si>
    <t>三、利润总额</t>
  </si>
  <si>
    <t xml:space="preserve">    减：所得税费用</t>
  </si>
  <si>
    <t>四、净利润</t>
  </si>
  <si>
    <t>资产负债表</t>
  </si>
  <si>
    <t>资产</t>
  </si>
  <si>
    <t>月初金额</t>
  </si>
  <si>
    <t>月末金额</t>
  </si>
  <si>
    <t>负债和所有者权益</t>
  </si>
  <si>
    <t>流动资金:</t>
  </si>
  <si>
    <t>流动负债:</t>
  </si>
  <si>
    <t xml:space="preserve">  货币资金</t>
  </si>
  <si>
    <t xml:space="preserve">  短期借款</t>
  </si>
  <si>
    <t xml:space="preserve">  应收账款</t>
  </si>
  <si>
    <t xml:space="preserve">  应付账款</t>
  </si>
  <si>
    <t xml:space="preserve">  其他应收款</t>
  </si>
  <si>
    <t xml:space="preserve">  预收账款</t>
  </si>
  <si>
    <t xml:space="preserve">  预付账款</t>
  </si>
  <si>
    <t xml:space="preserve">  应付职工薪酬</t>
  </si>
  <si>
    <t xml:space="preserve">  存货</t>
  </si>
  <si>
    <t xml:space="preserve">  应交税费</t>
  </si>
  <si>
    <t xml:space="preserve">  待摊费用</t>
  </si>
  <si>
    <t xml:space="preserve">  应付利润</t>
  </si>
  <si>
    <t xml:space="preserve">  其他流动资产</t>
  </si>
  <si>
    <t xml:space="preserve">  其他流动负债</t>
  </si>
  <si>
    <t>流动资产合计</t>
  </si>
  <si>
    <t>流动负债合计</t>
  </si>
  <si>
    <t>固定资产：</t>
  </si>
  <si>
    <t>所有者权益：</t>
  </si>
  <si>
    <t xml:space="preserve">  固定资产</t>
  </si>
  <si>
    <t xml:space="preserve">  实收资本</t>
  </si>
  <si>
    <t xml:space="preserve">  资本公积</t>
  </si>
  <si>
    <t xml:space="preserve">  盈余公积</t>
  </si>
  <si>
    <t xml:space="preserve">  未分配利润</t>
  </si>
  <si>
    <t>固定资产合计</t>
  </si>
  <si>
    <t>所有者权益合计</t>
  </si>
  <si>
    <t>负债和所有者权益合计</t>
  </si>
  <si>
    <t>用户名</t>
  </si>
  <si>
    <t>密码</t>
  </si>
  <si>
    <t>权限</t>
  </si>
  <si>
    <t>001</t>
  </si>
  <si>
    <t>账套主管</t>
  </si>
  <si>
    <t>002</t>
  </si>
  <si>
    <t>总账会计</t>
  </si>
  <si>
    <t>程小疯3号</t>
  </si>
  <si>
    <t>003</t>
  </si>
  <si>
    <t>出纳</t>
  </si>
  <si>
    <t>销售一部向某公司销售产品</t>
  </si>
  <si>
    <t>销售二部向精益商行销售商品</t>
  </si>
</sst>
</file>

<file path=xl/styles.xml><?xml version="1.0" encoding="utf-8"?>
<styleSheet xmlns="http://schemas.openxmlformats.org/spreadsheetml/2006/main">
  <numFmts count="10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_);\(0\)"/>
    <numFmt numFmtId="177" formatCode="0_ "/>
    <numFmt numFmtId="178" formatCode="yyyy&quot;年&quot;m&quot;月&quot;d&quot;日&quot;;@"/>
    <numFmt numFmtId="179" formatCode="_(* #,##0.00_);_(* \(#,##0.00\);_(* &quot;-&quot;??_);_(@_)"/>
    <numFmt numFmtId="8" formatCode="&quot;￥&quot;#,##0.00;[Red]&quot;￥&quot;\-#,##0.00"/>
    <numFmt numFmtId="180" formatCode="yyyy/m/d;@"/>
  </numFmts>
  <fonts count="41">
    <font>
      <sz val="11"/>
      <color theme="1"/>
      <name val="宋体"/>
      <charset val="134"/>
      <scheme val="minor"/>
    </font>
    <font>
      <sz val="14"/>
      <color theme="1"/>
      <name val="华文楷体"/>
      <charset val="134"/>
    </font>
    <font>
      <b/>
      <u/>
      <sz val="28"/>
      <color theme="3"/>
      <name val="楷体"/>
      <charset val="134"/>
    </font>
    <font>
      <b/>
      <sz val="16"/>
      <color theme="1"/>
      <name val="楷体"/>
      <charset val="134"/>
    </font>
    <font>
      <b/>
      <sz val="14"/>
      <color theme="1"/>
      <name val="楷体"/>
      <charset val="134"/>
    </font>
    <font>
      <b/>
      <sz val="12"/>
      <color theme="1"/>
      <name val="楷体"/>
      <charset val="134"/>
    </font>
    <font>
      <b/>
      <sz val="11"/>
      <color theme="1"/>
      <name val="楷体"/>
      <charset val="134"/>
    </font>
    <font>
      <sz val="16"/>
      <color theme="3"/>
      <name val="楷体"/>
      <charset val="134"/>
    </font>
    <font>
      <sz val="14"/>
      <color theme="1"/>
      <name val="楷体"/>
      <charset val="134"/>
    </font>
    <font>
      <sz val="16"/>
      <color theme="1"/>
      <name val="楷体"/>
      <charset val="134"/>
    </font>
    <font>
      <sz val="11"/>
      <color theme="1"/>
      <name val="楷体"/>
      <charset val="134"/>
    </font>
    <font>
      <sz val="12"/>
      <color theme="1"/>
      <name val="宋体"/>
      <charset val="134"/>
      <scheme val="minor"/>
    </font>
    <font>
      <u/>
      <sz val="28"/>
      <color theme="3"/>
      <name val="楷体"/>
      <charset val="134"/>
    </font>
    <font>
      <b/>
      <sz val="11"/>
      <color rgb="FF0070C0"/>
      <name val="宋体"/>
      <charset val="134"/>
      <scheme val="minor"/>
    </font>
    <font>
      <sz val="12"/>
      <color theme="1"/>
      <name val="楷体"/>
      <charset val="134"/>
    </font>
    <font>
      <sz val="12"/>
      <color theme="3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3"/>
      <name val="楷体"/>
      <charset val="134"/>
    </font>
    <font>
      <sz val="16"/>
      <name val="楷体"/>
      <charset val="134"/>
    </font>
    <font>
      <b/>
      <sz val="11"/>
      <color theme="3"/>
      <name val="宋体"/>
      <charset val="134"/>
      <scheme val="minor"/>
    </font>
    <font>
      <sz val="22"/>
      <color theme="1"/>
      <name val="华文楷体"/>
      <charset val="134"/>
    </font>
    <font>
      <b/>
      <sz val="11"/>
      <color rgb="FF3F3F3F"/>
      <name val="宋体"/>
      <charset val="134"/>
      <scheme val="minor"/>
    </font>
    <font>
      <sz val="10"/>
      <name val="宋体"/>
      <charset val="134"/>
    </font>
    <font>
      <b/>
      <sz val="20"/>
      <name val="楷体"/>
      <charset val="134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rgb="FFFA7D00"/>
      <name val="宋体"/>
      <charset val="0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3" tint="0.79998168889431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"/>
        <bgColor indexed="64"/>
      </patternFill>
    </fill>
    <fill>
      <patternFill patternType="solid">
        <fgColor rgb="FFE1F0AD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EDDFB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7" tint="0.6"/>
        <bgColor indexed="64"/>
      </patternFill>
    </fill>
    <fill>
      <patternFill patternType="solid">
        <fgColor theme="8" tint="0.6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6"/>
        <bgColor indexed="64"/>
      </patternFill>
    </fill>
    <fill>
      <patternFill patternType="solid">
        <fgColor theme="0" tint="-0.1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3" tint="0.399975585192419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799981688894314"/>
        <bgColor indexed="64"/>
      </patternFill>
    </fill>
  </fills>
  <borders count="73">
    <border>
      <left/>
      <right/>
      <top/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theme="3"/>
      </left>
      <right/>
      <top/>
      <bottom/>
      <diagonal/>
    </border>
    <border>
      <left/>
      <right/>
      <top style="medium">
        <color theme="3"/>
      </top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/>
      <right style="medium">
        <color theme="3"/>
      </right>
      <top style="medium">
        <color theme="3"/>
      </top>
      <bottom/>
      <diagonal/>
    </border>
    <border>
      <left/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thin">
        <color auto="1"/>
      </right>
      <top style="medium">
        <color theme="3"/>
      </top>
      <bottom/>
      <diagonal/>
    </border>
    <border>
      <left style="thin">
        <color auto="1"/>
      </left>
      <right style="thin">
        <color auto="1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/>
      <top style="thin">
        <color theme="3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1"/>
      </left>
      <right style="thin">
        <color rgb="FF3F3F3F"/>
      </right>
      <top style="thin">
        <color theme="1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theme="1"/>
      </top>
      <bottom style="thin">
        <color rgb="FF3F3F3F"/>
      </bottom>
      <diagonal/>
    </border>
    <border>
      <left style="thin">
        <color rgb="FF3F3F3F"/>
      </left>
      <right style="thin">
        <color theme="1"/>
      </right>
      <top style="thin">
        <color theme="1"/>
      </top>
      <bottom style="thin">
        <color rgb="FF3F3F3F"/>
      </bottom>
      <diagonal/>
    </border>
    <border>
      <left style="thin">
        <color theme="1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theme="1"/>
      </right>
      <top style="thin">
        <color rgb="FF3F3F3F"/>
      </top>
      <bottom style="thin">
        <color rgb="FF3F3F3F"/>
      </bottom>
      <diagonal/>
    </border>
    <border>
      <left style="thin">
        <color theme="1"/>
      </left>
      <right style="thin">
        <color rgb="FF3F3F3F"/>
      </right>
      <top style="thin">
        <color rgb="FF3F3F3F"/>
      </top>
      <bottom style="thin">
        <color theme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theme="1"/>
      </bottom>
      <diagonal/>
    </border>
    <border>
      <left style="thin">
        <color rgb="FF3F3F3F"/>
      </left>
      <right style="thin">
        <color theme="1"/>
      </right>
      <top style="thin">
        <color rgb="FF3F3F3F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thin">
        <color auto="1"/>
      </right>
      <top style="thin">
        <color rgb="FF3F3F3F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3F3F3F"/>
      </right>
      <top style="thin">
        <color auto="1"/>
      </top>
      <bottom style="thin">
        <color rgb="FF3F3F3F"/>
      </bottom>
      <diagonal/>
    </border>
    <border>
      <left style="thin">
        <color rgb="FF3F3F3F"/>
      </left>
      <right style="thin">
        <color auto="1"/>
      </right>
      <top style="thin">
        <color auto="1"/>
      </top>
      <bottom style="thin">
        <color rgb="FF3F3F3F"/>
      </bottom>
      <diagonal/>
    </border>
    <border>
      <left style="thin">
        <color auto="1"/>
      </left>
      <right/>
      <top/>
      <bottom style="thin">
        <color rgb="FF3F3F3F"/>
      </bottom>
      <diagonal/>
    </border>
    <border>
      <left style="thin">
        <color auto="1"/>
      </left>
      <right style="thin">
        <color rgb="FF3F3F3F"/>
      </right>
      <top/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rgb="FF3F3F3F"/>
      </left>
      <right style="thin">
        <color auto="1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/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/>
      <top style="thin">
        <color rgb="FF3F3F3F"/>
      </top>
      <bottom/>
      <diagonal/>
    </border>
    <border>
      <left style="thin">
        <color auto="1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auto="1"/>
      </left>
      <right style="thin">
        <color rgb="FF3F3F3F"/>
      </right>
      <top style="thin">
        <color auto="1"/>
      </top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auto="1"/>
      </top>
      <bottom style="thin">
        <color auto="1"/>
      </bottom>
      <diagonal/>
    </border>
    <border>
      <left style="thin">
        <color rgb="FF3F3F3F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3F3F3F"/>
      </left>
      <right style="thin">
        <color auto="1"/>
      </right>
      <top/>
      <bottom style="thin">
        <color rgb="FF3F3F3F"/>
      </bottom>
      <diagonal/>
    </border>
    <border>
      <left style="thin">
        <color auto="1"/>
      </left>
      <right/>
      <top style="thin">
        <color rgb="FF3F3F3F"/>
      </top>
      <bottom style="thin">
        <color auto="1"/>
      </bottom>
      <diagonal/>
    </border>
    <border>
      <left style="thin">
        <color auto="1"/>
      </left>
      <right style="thin">
        <color rgb="FF3F3F3F"/>
      </right>
      <top style="thin">
        <color rgb="FF3F3F3F"/>
      </top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auto="1"/>
      </bottom>
      <diagonal/>
    </border>
    <border>
      <left style="thin">
        <color rgb="FF3F3F3F"/>
      </left>
      <right style="thin">
        <color auto="1"/>
      </right>
      <top style="thin">
        <color rgb="FF3F3F3F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rgb="FF3F3F3F"/>
      </bottom>
      <diagonal/>
    </border>
    <border>
      <left style="thin">
        <color auto="1"/>
      </left>
      <right style="thin">
        <color rgb="FF3F3F3F"/>
      </right>
      <top style="thin">
        <color auto="1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auto="1"/>
      </top>
      <bottom style="thin">
        <color rgb="FF3F3F3F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50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7" fillId="33" borderId="6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8" fillId="3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5" fillId="49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0" fillId="38" borderId="67" applyNumberFormat="0" applyFont="0" applyAlignment="0" applyProtection="0">
      <alignment vertical="center"/>
    </xf>
    <xf numFmtId="0" fontId="25" fillId="4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36" fillId="0" borderId="70" applyNumberFormat="0" applyFill="0" applyAlignment="0" applyProtection="0">
      <alignment vertical="center"/>
    </xf>
    <xf numFmtId="0" fontId="37" fillId="0" borderId="70" applyNumberFormat="0" applyFill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19" fillId="0" borderId="72" applyNumberFormat="0" applyFill="0" applyAlignment="0" applyProtection="0">
      <alignment vertical="center"/>
    </xf>
    <xf numFmtId="0" fontId="25" fillId="48" borderId="0" applyNumberFormat="0" applyBorder="0" applyAlignment="0" applyProtection="0">
      <alignment vertical="center"/>
    </xf>
    <xf numFmtId="0" fontId="21" fillId="19" borderId="23" applyNumberFormat="0" applyAlignment="0" applyProtection="0">
      <alignment vertical="center"/>
    </xf>
    <xf numFmtId="0" fontId="33" fillId="19" borderId="66" applyNumberFormat="0" applyAlignment="0" applyProtection="0">
      <alignment vertical="center"/>
    </xf>
    <xf numFmtId="0" fontId="35" fillId="47" borderId="69" applyNumberFormat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40" fillId="0" borderId="71" applyNumberFormat="0" applyFill="0" applyAlignment="0" applyProtection="0">
      <alignment vertical="center"/>
    </xf>
    <xf numFmtId="0" fontId="32" fillId="0" borderId="68" applyNumberFormat="0" applyFill="0" applyAlignment="0" applyProtection="0">
      <alignment vertical="center"/>
    </xf>
    <xf numFmtId="0" fontId="34" fillId="46" borderId="0" applyNumberFormat="0" applyBorder="0" applyAlignment="0" applyProtection="0">
      <alignment vertical="center"/>
    </xf>
    <xf numFmtId="0" fontId="29" fillId="37" borderId="0" applyNumberFormat="0" applyBorder="0" applyAlignment="0" applyProtection="0">
      <alignment vertical="center"/>
    </xf>
    <xf numFmtId="0" fontId="24" fillId="52" borderId="0" applyNumberFormat="0" applyBorder="0" applyAlignment="0" applyProtection="0">
      <alignment vertical="center"/>
    </xf>
    <xf numFmtId="0" fontId="25" fillId="36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0" fillId="22" borderId="0" applyNumberFormat="0" applyBorder="0" applyAlignment="0" applyProtection="0">
      <alignment vertical="center"/>
    </xf>
    <xf numFmtId="0" fontId="25" fillId="39" borderId="0" applyNumberFormat="0" applyBorder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5" fillId="35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25" fillId="50" borderId="0" applyNumberFormat="0" applyBorder="0" applyAlignment="0" applyProtection="0">
      <alignment vertical="center"/>
    </xf>
    <xf numFmtId="0" fontId="24" fillId="51" borderId="0" applyNumberFormat="0" applyBorder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22" fillId="0" borderId="0"/>
  </cellStyleXfs>
  <cellXfs count="39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right" vertical="center"/>
    </xf>
    <xf numFmtId="179" fontId="1" fillId="2" borderId="0" xfId="0" applyNumberFormat="1" applyFont="1" applyFill="1" applyAlignment="1">
      <alignment horizontal="center" vertical="top"/>
    </xf>
    <xf numFmtId="177" fontId="1" fillId="2" borderId="0" xfId="0" applyNumberFormat="1" applyFont="1" applyFill="1" applyAlignment="1">
      <alignment horizontal="center" vertical="top"/>
    </xf>
    <xf numFmtId="0" fontId="1" fillId="2" borderId="0" xfId="0" applyNumberFormat="1" applyFont="1" applyFill="1" applyAlignment="1">
      <alignment horizontal="right" vertical="top"/>
    </xf>
    <xf numFmtId="179" fontId="0" fillId="0" borderId="0" xfId="0" applyNumberFormat="1" applyAlignment="1">
      <alignment horizontal="center" vertical="top"/>
    </xf>
    <xf numFmtId="177" fontId="0" fillId="0" borderId="0" xfId="0" applyNumberFormat="1" applyAlignment="1">
      <alignment horizontal="center" vertical="top"/>
    </xf>
    <xf numFmtId="179" fontId="0" fillId="0" borderId="0" xfId="0" applyNumberFormat="1" applyAlignment="1">
      <alignment horizontal="left" vertical="top"/>
    </xf>
    <xf numFmtId="177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right" vertical="top"/>
    </xf>
    <xf numFmtId="177" fontId="0" fillId="0" borderId="0" xfId="0" applyNumberFormat="1" applyBorder="1" applyAlignment="1">
      <alignment horizontal="left" vertical="top"/>
    </xf>
    <xf numFmtId="0" fontId="0" fillId="0" borderId="0" xfId="0" applyAlignment="1">
      <alignment horizontal="left" vertical="center"/>
    </xf>
    <xf numFmtId="176" fontId="1" fillId="2" borderId="0" xfId="0" applyNumberFormat="1" applyFont="1" applyFill="1" applyAlignment="1">
      <alignment horizontal="center" vertical="top"/>
    </xf>
    <xf numFmtId="176" fontId="0" fillId="0" borderId="0" xfId="0" applyNumberFormat="1" applyAlignment="1">
      <alignment horizontal="left" vertical="top"/>
    </xf>
    <xf numFmtId="49" fontId="0" fillId="0" borderId="0" xfId="0" applyNumberFormat="1">
      <alignment vertical="center"/>
    </xf>
    <xf numFmtId="0" fontId="0" fillId="3" borderId="0" xfId="0" applyFill="1">
      <alignment vertical="center"/>
    </xf>
    <xf numFmtId="0" fontId="2" fillId="0" borderId="1" xfId="0" applyNumberFormat="1" applyFont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 vertical="center"/>
    </xf>
    <xf numFmtId="0" fontId="4" fillId="4" borderId="1" xfId="0" applyNumberFormat="1" applyFont="1" applyFill="1" applyBorder="1">
      <alignment vertical="center"/>
    </xf>
    <xf numFmtId="0" fontId="4" fillId="5" borderId="1" xfId="0" applyNumberFormat="1" applyFont="1" applyFill="1" applyBorder="1">
      <alignment vertical="center"/>
    </xf>
    <xf numFmtId="0" fontId="5" fillId="0" borderId="1" xfId="0" applyNumberFormat="1" applyFont="1" applyBorder="1">
      <alignment vertical="center"/>
    </xf>
    <xf numFmtId="44" fontId="6" fillId="0" borderId="1" xfId="0" applyNumberFormat="1" applyFont="1" applyBorder="1">
      <alignment vertical="center"/>
    </xf>
    <xf numFmtId="44" fontId="6" fillId="0" borderId="0" xfId="0" applyNumberFormat="1" applyFont="1">
      <alignment vertical="center"/>
    </xf>
    <xf numFmtId="44" fontId="6" fillId="4" borderId="1" xfId="0" applyNumberFormat="1" applyFont="1" applyFill="1" applyBorder="1">
      <alignment vertical="center"/>
    </xf>
    <xf numFmtId="44" fontId="6" fillId="5" borderId="1" xfId="0" applyNumberFormat="1" applyFont="1" applyFill="1" applyBorder="1">
      <alignment vertical="center"/>
    </xf>
    <xf numFmtId="0" fontId="0" fillId="0" borderId="1" xfId="0" applyNumberFormat="1" applyBorder="1">
      <alignment vertical="center"/>
    </xf>
    <xf numFmtId="44" fontId="0" fillId="0" borderId="1" xfId="0" applyNumberFormat="1" applyBorder="1">
      <alignment vertical="center"/>
    </xf>
    <xf numFmtId="0" fontId="4" fillId="6" borderId="1" xfId="0" applyNumberFormat="1" applyFont="1" applyFill="1" applyBorder="1">
      <alignment vertical="center"/>
    </xf>
    <xf numFmtId="0" fontId="4" fillId="7" borderId="1" xfId="0" applyNumberFormat="1" applyFont="1" applyFill="1" applyBorder="1">
      <alignment vertical="center"/>
    </xf>
    <xf numFmtId="44" fontId="6" fillId="6" borderId="1" xfId="0" applyNumberFormat="1" applyFont="1" applyFill="1" applyBorder="1">
      <alignment vertical="center"/>
    </xf>
    <xf numFmtId="44" fontId="6" fillId="7" borderId="1" xfId="0" applyNumberFormat="1" applyFont="1" applyFill="1" applyBorder="1">
      <alignment vertical="center"/>
    </xf>
    <xf numFmtId="0" fontId="4" fillId="8" borderId="1" xfId="0" applyNumberFormat="1" applyFont="1" applyFill="1" applyBorder="1">
      <alignment vertical="center"/>
    </xf>
    <xf numFmtId="44" fontId="6" fillId="8" borderId="1" xfId="0" applyNumberFormat="1" applyFont="1" applyFill="1" applyBorder="1">
      <alignment vertical="center"/>
    </xf>
    <xf numFmtId="0" fontId="5" fillId="9" borderId="1" xfId="0" applyNumberFormat="1" applyFont="1" applyFill="1" applyBorder="1" applyAlignment="1">
      <alignment horizontal="center" vertical="center"/>
    </xf>
    <xf numFmtId="44" fontId="6" fillId="9" borderId="1" xfId="0" applyNumberFormat="1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178" fontId="7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8" fillId="0" borderId="1" xfId="0" applyFont="1" applyBorder="1">
      <alignment vertical="center"/>
    </xf>
    <xf numFmtId="0" fontId="0" fillId="0" borderId="1" xfId="0" applyBorder="1">
      <alignment vertical="center"/>
    </xf>
    <xf numFmtId="178" fontId="9" fillId="4" borderId="1" xfId="0" applyNumberFormat="1" applyFont="1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4" fontId="10" fillId="0" borderId="1" xfId="0" applyNumberFormat="1" applyFont="1" applyBorder="1">
      <alignment vertical="center"/>
    </xf>
    <xf numFmtId="0" fontId="3" fillId="10" borderId="1" xfId="0" applyFont="1" applyFill="1" applyBorder="1" applyAlignment="1">
      <alignment horizontal="center" vertical="center"/>
    </xf>
    <xf numFmtId="44" fontId="10" fillId="10" borderId="1" xfId="0" applyNumberFormat="1" applyFont="1" applyFill="1" applyBorder="1" applyAlignment="1">
      <alignment vertical="center"/>
    </xf>
    <xf numFmtId="44" fontId="10" fillId="10" borderId="1" xfId="0" applyNumberFormat="1" applyFont="1" applyFill="1" applyBorder="1">
      <alignment vertical="center"/>
    </xf>
    <xf numFmtId="0" fontId="3" fillId="11" borderId="1" xfId="0" applyFont="1" applyFill="1" applyBorder="1" applyAlignment="1">
      <alignment horizontal="center" vertical="center"/>
    </xf>
    <xf numFmtId="44" fontId="10" fillId="11" borderId="2" xfId="0" applyNumberFormat="1" applyFont="1" applyFill="1" applyBorder="1" applyAlignment="1">
      <alignment vertical="center"/>
    </xf>
    <xf numFmtId="44" fontId="10" fillId="11" borderId="1" xfId="0" applyNumberFormat="1" applyFont="1" applyFill="1" applyBorder="1">
      <alignment vertical="center"/>
    </xf>
    <xf numFmtId="44" fontId="10" fillId="0" borderId="0" xfId="0" applyNumberFormat="1" applyFont="1">
      <alignment vertical="center"/>
    </xf>
    <xf numFmtId="0" fontId="3" fillId="12" borderId="1" xfId="0" applyFont="1" applyFill="1" applyBorder="1" applyAlignment="1">
      <alignment horizontal="center" vertical="center"/>
    </xf>
    <xf numFmtId="44" fontId="10" fillId="12" borderId="2" xfId="0" applyNumberFormat="1" applyFont="1" applyFill="1" applyBorder="1" applyAlignment="1">
      <alignment vertical="center"/>
    </xf>
    <xf numFmtId="44" fontId="10" fillId="12" borderId="1" xfId="0" applyNumberFormat="1" applyFont="1" applyFill="1" applyBorder="1">
      <alignment vertical="center"/>
    </xf>
    <xf numFmtId="0" fontId="0" fillId="3" borderId="0" xfId="0" applyFill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44" fontId="10" fillId="13" borderId="2" xfId="0" applyNumberFormat="1" applyFont="1" applyFill="1" applyBorder="1" applyAlignment="1">
      <alignment vertical="center"/>
    </xf>
    <xf numFmtId="44" fontId="10" fillId="13" borderId="1" xfId="0" applyNumberFormat="1" applyFont="1" applyFill="1" applyBorder="1">
      <alignment vertical="center"/>
    </xf>
    <xf numFmtId="0" fontId="3" fillId="4" borderId="1" xfId="0" applyFont="1" applyFill="1" applyBorder="1" applyAlignment="1">
      <alignment horizontal="center" vertical="center"/>
    </xf>
    <xf numFmtId="44" fontId="10" fillId="4" borderId="2" xfId="0" applyNumberFormat="1" applyFont="1" applyFill="1" applyBorder="1" applyAlignment="1">
      <alignment vertical="center"/>
    </xf>
    <xf numFmtId="44" fontId="10" fillId="4" borderId="1" xfId="0" applyNumberFormat="1" applyFont="1" applyFill="1" applyBorder="1" applyAlignment="1">
      <alignment vertical="center"/>
    </xf>
    <xf numFmtId="0" fontId="0" fillId="3" borderId="0" xfId="0" applyFont="1" applyFill="1">
      <alignment vertical="center"/>
    </xf>
    <xf numFmtId="177" fontId="2" fillId="0" borderId="1" xfId="0" applyNumberFormat="1" applyFont="1" applyBorder="1" applyAlignment="1">
      <alignment horizontal="center" vertical="center"/>
    </xf>
    <xf numFmtId="177" fontId="2" fillId="3" borderId="0" xfId="0" applyNumberFormat="1" applyFont="1" applyFill="1" applyAlignment="1">
      <alignment vertical="center"/>
    </xf>
    <xf numFmtId="177" fontId="2" fillId="3" borderId="0" xfId="0" applyNumberFormat="1" applyFont="1" applyFill="1" applyBorder="1" applyAlignment="1">
      <alignment vertical="center"/>
    </xf>
    <xf numFmtId="178" fontId="3" fillId="14" borderId="1" xfId="0" applyNumberFormat="1" applyFont="1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9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4" fontId="3" fillId="0" borderId="1" xfId="0" applyNumberFormat="1" applyFont="1" applyBorder="1">
      <alignment vertical="center"/>
    </xf>
    <xf numFmtId="0" fontId="3" fillId="15" borderId="2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44" fontId="3" fillId="15" borderId="1" xfId="0" applyNumberFormat="1" applyFont="1" applyFill="1" applyBorder="1">
      <alignment vertical="center"/>
    </xf>
    <xf numFmtId="0" fontId="3" fillId="10" borderId="2" xfId="0" applyFont="1" applyFill="1" applyBorder="1" applyAlignment="1">
      <alignment horizontal="center" vertical="center"/>
    </xf>
    <xf numFmtId="0" fontId="3" fillId="10" borderId="3" xfId="0" applyFont="1" applyFill="1" applyBorder="1" applyAlignment="1">
      <alignment horizontal="center" vertical="center"/>
    </xf>
    <xf numFmtId="44" fontId="3" fillId="10" borderId="1" xfId="0" applyNumberFormat="1" applyFont="1" applyFill="1" applyBorder="1">
      <alignment vertical="center"/>
    </xf>
    <xf numFmtId="0" fontId="3" fillId="11" borderId="2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44" fontId="3" fillId="11" borderId="1" xfId="0" applyNumberFormat="1" applyFont="1" applyFill="1" applyBorder="1">
      <alignment vertical="center"/>
    </xf>
    <xf numFmtId="0" fontId="3" fillId="13" borderId="2" xfId="0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 vertical="center"/>
    </xf>
    <xf numFmtId="44" fontId="3" fillId="13" borderId="1" xfId="0" applyNumberFormat="1" applyFont="1" applyFill="1" applyBorder="1">
      <alignment vertical="center"/>
    </xf>
    <xf numFmtId="0" fontId="3" fillId="16" borderId="2" xfId="0" applyFont="1" applyFill="1" applyBorder="1" applyAlignment="1">
      <alignment horizontal="center" vertical="center"/>
    </xf>
    <xf numFmtId="0" fontId="3" fillId="16" borderId="3" xfId="0" applyFont="1" applyFill="1" applyBorder="1" applyAlignment="1">
      <alignment horizontal="center" vertical="center"/>
    </xf>
    <xf numFmtId="44" fontId="3" fillId="16" borderId="1" xfId="0" applyNumberFormat="1" applyFont="1" applyFill="1" applyBorder="1">
      <alignment vertical="center"/>
    </xf>
    <xf numFmtId="177" fontId="0" fillId="3" borderId="4" xfId="0" applyNumberFormat="1" applyFill="1" applyBorder="1" applyAlignment="1">
      <alignment horizontal="left" vertical="top"/>
    </xf>
    <xf numFmtId="177" fontId="2" fillId="0" borderId="5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177" fontId="0" fillId="3" borderId="5" xfId="0" applyNumberFormat="1" applyFill="1" applyBorder="1" applyAlignment="1">
      <alignment horizontal="left" vertical="top"/>
    </xf>
    <xf numFmtId="177" fontId="2" fillId="0" borderId="7" xfId="0" applyNumberFormat="1" applyFont="1" applyBorder="1" applyAlignment="1">
      <alignment horizontal="center" vertical="center"/>
    </xf>
    <xf numFmtId="177" fontId="2" fillId="0" borderId="8" xfId="0" applyNumberFormat="1" applyFont="1" applyBorder="1" applyAlignment="1">
      <alignment horizontal="center" vertical="center"/>
    </xf>
    <xf numFmtId="177" fontId="0" fillId="3" borderId="0" xfId="0" applyNumberFormat="1" applyFill="1" applyAlignment="1">
      <alignment horizontal="left" vertical="top"/>
    </xf>
    <xf numFmtId="177" fontId="7" fillId="0" borderId="1" xfId="0" applyNumberFormat="1" applyFont="1" applyBorder="1" applyAlignment="1">
      <alignment vertical="center"/>
    </xf>
    <xf numFmtId="179" fontId="0" fillId="0" borderId="3" xfId="0" applyNumberFormat="1" applyBorder="1" applyAlignment="1">
      <alignment vertical="center"/>
    </xf>
    <xf numFmtId="177" fontId="5" fillId="0" borderId="8" xfId="0" applyNumberFormat="1" applyFont="1" applyBorder="1" applyAlignment="1">
      <alignment horizontal="center" vertical="center"/>
    </xf>
    <xf numFmtId="177" fontId="5" fillId="0" borderId="9" xfId="0" applyNumberFormat="1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177" fontId="7" fillId="0" borderId="9" xfId="0" applyNumberFormat="1" applyFont="1" applyBorder="1" applyAlignment="1">
      <alignment horizontal="center" vertical="center"/>
    </xf>
    <xf numFmtId="177" fontId="7" fillId="0" borderId="10" xfId="0" applyNumberFormat="1" applyFont="1" applyBorder="1" applyAlignment="1">
      <alignment horizontal="center" vertical="center"/>
    </xf>
    <xf numFmtId="179" fontId="0" fillId="3" borderId="0" xfId="0" applyNumberFormat="1" applyFill="1" applyAlignment="1">
      <alignment horizontal="center" vertical="top"/>
    </xf>
    <xf numFmtId="177" fontId="6" fillId="0" borderId="10" xfId="0" applyNumberFormat="1" applyFont="1" applyBorder="1" applyAlignment="1">
      <alignment horizontal="center" vertical="center"/>
    </xf>
    <xf numFmtId="177" fontId="6" fillId="0" borderId="9" xfId="0" applyNumberFormat="1" applyFont="1" applyBorder="1" applyAlignment="1">
      <alignment horizontal="center" vertical="center"/>
    </xf>
    <xf numFmtId="177" fontId="6" fillId="0" borderId="10" xfId="0" applyNumberFormat="1" applyFont="1" applyBorder="1" applyAlignment="1">
      <alignment horizontal="left" vertical="top"/>
    </xf>
    <xf numFmtId="8" fontId="6" fillId="0" borderId="10" xfId="0" applyNumberFormat="1" applyFont="1" applyBorder="1" applyAlignment="1">
      <alignment horizontal="left" vertical="top"/>
    </xf>
    <xf numFmtId="44" fontId="6" fillId="0" borderId="10" xfId="0" applyNumberFormat="1" applyFont="1" applyBorder="1" applyAlignment="1">
      <alignment horizontal="left" vertical="top"/>
    </xf>
    <xf numFmtId="177" fontId="0" fillId="3" borderId="0" xfId="0" applyNumberFormat="1" applyFill="1" applyAlignment="1">
      <alignment horizontal="center" vertical="top"/>
    </xf>
    <xf numFmtId="179" fontId="0" fillId="3" borderId="0" xfId="0" applyNumberFormat="1" applyFill="1" applyAlignment="1">
      <alignment horizontal="left" vertical="top"/>
    </xf>
    <xf numFmtId="0" fontId="0" fillId="3" borderId="0" xfId="0" applyFill="1" applyAlignment="1">
      <alignment horizontal="left" vertical="center"/>
    </xf>
    <xf numFmtId="0" fontId="0" fillId="3" borderId="0" xfId="0" applyNumberFormat="1" applyFill="1" applyAlignment="1">
      <alignment horizontal="right" vertical="center"/>
    </xf>
    <xf numFmtId="177" fontId="2" fillId="0" borderId="6" xfId="0" applyNumberFormat="1" applyFont="1" applyFill="1" applyBorder="1" applyAlignment="1">
      <alignment horizontal="center" vertical="center"/>
    </xf>
    <xf numFmtId="177" fontId="2" fillId="0" borderId="11" xfId="0" applyNumberFormat="1" applyFont="1" applyFill="1" applyBorder="1" applyAlignment="1">
      <alignment horizontal="center" vertical="center"/>
    </xf>
    <xf numFmtId="177" fontId="2" fillId="3" borderId="6" xfId="0" applyNumberFormat="1" applyFont="1" applyFill="1" applyBorder="1" applyAlignment="1">
      <alignment vertical="center"/>
    </xf>
    <xf numFmtId="177" fontId="2" fillId="0" borderId="8" xfId="0" applyNumberFormat="1" applyFont="1" applyFill="1" applyBorder="1" applyAlignment="1">
      <alignment horizontal="center" vertical="center"/>
    </xf>
    <xf numFmtId="177" fontId="2" fillId="0" borderId="9" xfId="0" applyNumberFormat="1" applyFont="1" applyFill="1" applyBorder="1" applyAlignment="1">
      <alignment horizontal="center" vertical="center"/>
    </xf>
    <xf numFmtId="180" fontId="5" fillId="0" borderId="1" xfId="0" applyNumberFormat="1" applyFont="1" applyBorder="1" applyAlignment="1">
      <alignment horizontal="center" vertical="center"/>
    </xf>
    <xf numFmtId="177" fontId="0" fillId="0" borderId="12" xfId="0" applyNumberFormat="1" applyBorder="1" applyAlignment="1">
      <alignment horizontal="center" vertical="top"/>
    </xf>
    <xf numFmtId="177" fontId="0" fillId="0" borderId="3" xfId="0" applyNumberFormat="1" applyBorder="1" applyAlignment="1">
      <alignment horizontal="center" vertical="top"/>
    </xf>
    <xf numFmtId="177" fontId="0" fillId="3" borderId="0" xfId="0" applyNumberFormat="1" applyFill="1" applyBorder="1" applyAlignment="1">
      <alignment horizontal="left" vertical="top"/>
    </xf>
    <xf numFmtId="177" fontId="7" fillId="0" borderId="1" xfId="0" applyNumberFormat="1" applyFont="1" applyBorder="1" applyAlignment="1">
      <alignment horizontal="center" vertical="center"/>
    </xf>
    <xf numFmtId="177" fontId="7" fillId="0" borderId="3" xfId="0" applyNumberFormat="1" applyFont="1" applyBorder="1" applyAlignment="1">
      <alignment horizontal="center" vertical="center"/>
    </xf>
    <xf numFmtId="44" fontId="6" fillId="0" borderId="1" xfId="0" applyNumberFormat="1" applyFont="1" applyBorder="1" applyAlignment="1">
      <alignment horizontal="center" vertical="top"/>
    </xf>
    <xf numFmtId="44" fontId="6" fillId="0" borderId="10" xfId="0" applyNumberFormat="1" applyFont="1" applyBorder="1" applyAlignment="1">
      <alignment horizontal="center" vertical="top"/>
    </xf>
    <xf numFmtId="0" fontId="0" fillId="0" borderId="0" xfId="0" applyNumberFormat="1">
      <alignment vertical="center"/>
    </xf>
    <xf numFmtId="0" fontId="11" fillId="0" borderId="0" xfId="0" applyFont="1">
      <alignment vertical="center"/>
    </xf>
    <xf numFmtId="0" fontId="0" fillId="3" borderId="13" xfId="0" applyFill="1" applyBorder="1">
      <alignment vertical="center"/>
    </xf>
    <xf numFmtId="0" fontId="12" fillId="3" borderId="14" xfId="0" applyNumberFormat="1" applyFont="1" applyFill="1" applyBorder="1" applyAlignment="1">
      <alignment horizontal="center" vertical="center"/>
    </xf>
    <xf numFmtId="0" fontId="0" fillId="3" borderId="15" xfId="0" applyNumberFormat="1" applyFont="1" applyFill="1" applyBorder="1" applyAlignment="1">
      <alignment horizontal="center" vertical="center"/>
    </xf>
    <xf numFmtId="0" fontId="11" fillId="3" borderId="15" xfId="0" applyNumberFormat="1" applyFont="1" applyFill="1" applyBorder="1" applyAlignment="1">
      <alignment horizontal="center" vertical="center"/>
    </xf>
    <xf numFmtId="0" fontId="0" fillId="3" borderId="16" xfId="0" applyFill="1" applyBorder="1">
      <alignment vertical="center"/>
    </xf>
    <xf numFmtId="0" fontId="0" fillId="3" borderId="3" xfId="0" applyNumberFormat="1" applyFont="1" applyFill="1" applyBorder="1" applyAlignment="1">
      <alignment horizontal="center" vertical="center"/>
    </xf>
    <xf numFmtId="0" fontId="11" fillId="3" borderId="3" xfId="0" applyNumberFormat="1" applyFont="1" applyFill="1" applyBorder="1" applyAlignment="1">
      <alignment horizontal="center" vertical="center"/>
    </xf>
    <xf numFmtId="0" fontId="0" fillId="3" borderId="16" xfId="0" applyNumberFormat="1" applyFill="1" applyBorder="1">
      <alignment vertical="center"/>
    </xf>
    <xf numFmtId="0" fontId="7" fillId="3" borderId="1" xfId="0" applyNumberFormat="1" applyFont="1" applyFill="1" applyBorder="1">
      <alignment vertical="center"/>
    </xf>
    <xf numFmtId="0" fontId="13" fillId="3" borderId="3" xfId="0" applyNumberFormat="1" applyFont="1" applyFill="1" applyBorder="1">
      <alignment vertical="center"/>
    </xf>
    <xf numFmtId="0" fontId="14" fillId="3" borderId="3" xfId="0" applyNumberFormat="1" applyFont="1" applyFill="1" applyBorder="1" applyAlignment="1">
      <alignment horizontal="right" vertical="center"/>
    </xf>
    <xf numFmtId="0" fontId="7" fillId="3" borderId="3" xfId="0" applyNumberFormat="1" applyFont="1" applyFill="1" applyBorder="1">
      <alignment vertical="center"/>
    </xf>
    <xf numFmtId="0" fontId="9" fillId="3" borderId="3" xfId="0" applyNumberFormat="1" applyFont="1" applyFill="1" applyBorder="1" applyAlignment="1">
      <alignment horizontal="right" vertical="center"/>
    </xf>
    <xf numFmtId="0" fontId="7" fillId="3" borderId="10" xfId="0" applyNumberFormat="1" applyFont="1" applyFill="1" applyBorder="1" applyAlignment="1">
      <alignment horizontal="center" vertical="center"/>
    </xf>
    <xf numFmtId="0" fontId="7" fillId="3" borderId="8" xfId="0" applyNumberFormat="1" applyFont="1" applyFill="1" applyBorder="1" applyAlignment="1">
      <alignment horizontal="center" vertical="center"/>
    </xf>
    <xf numFmtId="0" fontId="15" fillId="3" borderId="9" xfId="0" applyNumberFormat="1" applyFont="1" applyFill="1" applyBorder="1" applyAlignment="1">
      <alignment horizontal="center" vertical="center"/>
    </xf>
    <xf numFmtId="0" fontId="7" fillId="3" borderId="0" xfId="0" applyNumberFormat="1" applyFont="1" applyFill="1" applyAlignment="1">
      <alignment horizontal="center" vertical="center"/>
    </xf>
    <xf numFmtId="0" fontId="0" fillId="3" borderId="0" xfId="0" applyNumberFormat="1" applyFill="1" applyAlignment="1">
      <alignment horizontal="center" vertical="center"/>
    </xf>
    <xf numFmtId="0" fontId="0" fillId="3" borderId="9" xfId="0" applyNumberFormat="1" applyFill="1" applyBorder="1" applyAlignment="1">
      <alignment horizontal="center" vertical="center"/>
    </xf>
    <xf numFmtId="0" fontId="7" fillId="3" borderId="9" xfId="0" applyNumberFormat="1" applyFont="1" applyFill="1" applyBorder="1" applyAlignment="1">
      <alignment horizontal="center" vertical="center"/>
    </xf>
    <xf numFmtId="0" fontId="0" fillId="3" borderId="8" xfId="0" applyNumberFormat="1" applyFill="1" applyBorder="1" applyAlignment="1">
      <alignment horizontal="center" vertical="center"/>
    </xf>
    <xf numFmtId="0" fontId="16" fillId="3" borderId="9" xfId="0" applyNumberFormat="1" applyFont="1" applyFill="1" applyBorder="1">
      <alignment vertical="center"/>
    </xf>
    <xf numFmtId="0" fontId="3" fillId="3" borderId="9" xfId="0" applyNumberFormat="1" applyFont="1" applyFill="1" applyBorder="1">
      <alignment vertical="center"/>
    </xf>
    <xf numFmtId="0" fontId="5" fillId="3" borderId="9" xfId="0" applyNumberFormat="1" applyFont="1" applyFill="1" applyBorder="1" applyAlignment="1">
      <alignment horizontal="right" vertical="center"/>
    </xf>
    <xf numFmtId="0" fontId="16" fillId="3" borderId="8" xfId="0" applyNumberFormat="1" applyFont="1" applyFill="1" applyBorder="1" applyAlignment="1">
      <alignment horizontal="center" vertical="center"/>
    </xf>
    <xf numFmtId="0" fontId="16" fillId="3" borderId="3" xfId="0" applyNumberFormat="1" applyFont="1" applyFill="1" applyBorder="1">
      <alignment vertical="center"/>
    </xf>
    <xf numFmtId="0" fontId="3" fillId="3" borderId="3" xfId="0" applyNumberFormat="1" applyFont="1" applyFill="1" applyBorder="1">
      <alignment vertical="center"/>
    </xf>
    <xf numFmtId="0" fontId="5" fillId="3" borderId="3" xfId="0" applyNumberFormat="1" applyFont="1" applyFill="1" applyBorder="1" applyAlignment="1">
      <alignment horizontal="right" vertical="center"/>
    </xf>
    <xf numFmtId="0" fontId="7" fillId="3" borderId="9" xfId="0" applyNumberFormat="1" applyFont="1" applyFill="1" applyBorder="1">
      <alignment vertical="center"/>
    </xf>
    <xf numFmtId="0" fontId="9" fillId="3" borderId="8" xfId="0" applyNumberFormat="1" applyFont="1" applyFill="1" applyBorder="1" applyAlignment="1">
      <alignment horizontal="center" vertical="center"/>
    </xf>
    <xf numFmtId="0" fontId="14" fillId="3" borderId="9" xfId="0" applyNumberFormat="1" applyFont="1" applyFill="1" applyBorder="1" applyAlignment="1">
      <alignment horizontal="center" vertical="center"/>
    </xf>
    <xf numFmtId="44" fontId="16" fillId="3" borderId="8" xfId="0" applyNumberFormat="1" applyFont="1" applyFill="1" applyBorder="1" applyAlignment="1">
      <alignment horizontal="right" vertical="center"/>
    </xf>
    <xf numFmtId="0" fontId="7" fillId="3" borderId="0" xfId="0" applyFont="1" applyFill="1" applyBorder="1">
      <alignment vertical="center"/>
    </xf>
    <xf numFmtId="0" fontId="9" fillId="3" borderId="0" xfId="0" applyFont="1" applyFill="1" applyAlignment="1">
      <alignment horizontal="center" vertical="center"/>
    </xf>
    <xf numFmtId="0" fontId="11" fillId="3" borderId="0" xfId="0" applyFont="1" applyFill="1">
      <alignment vertical="center"/>
    </xf>
    <xf numFmtId="0" fontId="17" fillId="3" borderId="0" xfId="0" applyFont="1" applyFill="1" applyAlignment="1">
      <alignment vertical="center"/>
    </xf>
    <xf numFmtId="0" fontId="10" fillId="3" borderId="0" xfId="0" applyFont="1" applyFill="1" applyAlignment="1">
      <alignment horizontal="center" vertical="center"/>
    </xf>
    <xf numFmtId="0" fontId="7" fillId="3" borderId="12" xfId="0" applyNumberFormat="1" applyFont="1" applyFill="1" applyBorder="1" applyAlignment="1">
      <alignment horizontal="center" vertical="center"/>
    </xf>
    <xf numFmtId="0" fontId="7" fillId="3" borderId="3" xfId="0" applyNumberFormat="1" applyFont="1" applyFill="1" applyBorder="1" applyAlignment="1">
      <alignment horizontal="center" vertical="center"/>
    </xf>
    <xf numFmtId="0" fontId="18" fillId="3" borderId="12" xfId="0" applyNumberFormat="1" applyFont="1" applyFill="1" applyBorder="1" applyAlignment="1">
      <alignment horizontal="center" vertical="center"/>
    </xf>
    <xf numFmtId="0" fontId="7" fillId="3" borderId="3" xfId="0" applyNumberFormat="1" applyFont="1" applyFill="1" applyBorder="1" applyAlignment="1">
      <alignment vertical="center"/>
    </xf>
    <xf numFmtId="0" fontId="0" fillId="3" borderId="13" xfId="0" applyNumberFormat="1" applyFill="1" applyBorder="1" applyAlignment="1">
      <alignment horizontal="center" vertical="center"/>
    </xf>
    <xf numFmtId="0" fontId="7" fillId="3" borderId="6" xfId="0" applyNumberFormat="1" applyFont="1" applyFill="1" applyBorder="1" applyAlignment="1">
      <alignment horizontal="center" vertical="center"/>
    </xf>
    <xf numFmtId="0" fontId="7" fillId="3" borderId="11" xfId="0" applyNumberFormat="1" applyFont="1" applyFill="1" applyBorder="1" applyAlignment="1">
      <alignment horizontal="center" vertical="center"/>
    </xf>
    <xf numFmtId="0" fontId="0" fillId="3" borderId="10" xfId="0" applyNumberFormat="1" applyFill="1" applyBorder="1" applyAlignment="1">
      <alignment horizontal="center" vertical="center"/>
    </xf>
    <xf numFmtId="0" fontId="16" fillId="3" borderId="9" xfId="0" applyNumberFormat="1" applyFont="1" applyFill="1" applyBorder="1" applyAlignment="1">
      <alignment horizontal="center" vertical="center"/>
    </xf>
    <xf numFmtId="44" fontId="16" fillId="3" borderId="9" xfId="0" applyNumberFormat="1" applyFont="1" applyFill="1" applyBorder="1" applyAlignment="1">
      <alignment horizontal="right" vertical="center"/>
    </xf>
    <xf numFmtId="44" fontId="16" fillId="3" borderId="8" xfId="0" applyNumberFormat="1" applyFont="1" applyFill="1" applyBorder="1" applyAlignment="1">
      <alignment horizontal="center" vertical="center"/>
    </xf>
    <xf numFmtId="44" fontId="16" fillId="3" borderId="9" xfId="0" applyNumberFormat="1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0" fillId="3" borderId="17" xfId="0" applyFill="1" applyBorder="1">
      <alignment vertical="center"/>
    </xf>
    <xf numFmtId="0" fontId="0" fillId="3" borderId="0" xfId="0" applyNumberFormat="1" applyFill="1" applyBorder="1">
      <alignment vertical="center"/>
    </xf>
    <xf numFmtId="0" fontId="0" fillId="3" borderId="0" xfId="0" applyNumberFormat="1" applyFill="1">
      <alignment vertical="center"/>
    </xf>
    <xf numFmtId="0" fontId="0" fillId="3" borderId="18" xfId="0" applyFill="1" applyBorder="1">
      <alignment vertical="center"/>
    </xf>
    <xf numFmtId="0" fontId="19" fillId="3" borderId="3" xfId="0" applyNumberFormat="1" applyFont="1" applyFill="1" applyBorder="1">
      <alignment vertical="center"/>
    </xf>
    <xf numFmtId="0" fontId="0" fillId="3" borderId="9" xfId="0" applyNumberFormat="1" applyFill="1" applyBorder="1">
      <alignment vertical="center"/>
    </xf>
    <xf numFmtId="0" fontId="9" fillId="3" borderId="9" xfId="0" applyNumberFormat="1" applyFont="1" applyFill="1" applyBorder="1">
      <alignment vertical="center"/>
    </xf>
    <xf numFmtId="0" fontId="14" fillId="3" borderId="9" xfId="0" applyNumberFormat="1" applyFont="1" applyFill="1" applyBorder="1" applyAlignment="1">
      <alignment horizontal="right" vertical="center"/>
    </xf>
    <xf numFmtId="0" fontId="0" fillId="3" borderId="3" xfId="0" applyNumberFormat="1" applyFill="1" applyBorder="1">
      <alignment vertical="center"/>
    </xf>
    <xf numFmtId="0" fontId="9" fillId="3" borderId="3" xfId="0" applyNumberFormat="1" applyFont="1" applyFill="1" applyBorder="1">
      <alignment vertical="center"/>
    </xf>
    <xf numFmtId="44" fontId="0" fillId="3" borderId="8" xfId="0" applyNumberFormat="1" applyFill="1" applyBorder="1" applyAlignment="1">
      <alignment horizontal="right" vertical="center"/>
    </xf>
    <xf numFmtId="44" fontId="0" fillId="3" borderId="9" xfId="0" applyNumberFormat="1" applyFill="1" applyBorder="1" applyAlignment="1">
      <alignment horizontal="right" vertical="center"/>
    </xf>
    <xf numFmtId="44" fontId="0" fillId="3" borderId="8" xfId="0" applyNumberFormat="1" applyFill="1" applyBorder="1" applyAlignment="1">
      <alignment horizontal="center" vertical="center"/>
    </xf>
    <xf numFmtId="44" fontId="0" fillId="3" borderId="9" xfId="0" applyNumberForma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0" borderId="0" xfId="0" applyAlignment="1">
      <alignment vertical="center"/>
    </xf>
    <xf numFmtId="0" fontId="20" fillId="17" borderId="0" xfId="37" applyFont="1" applyAlignment="1">
      <alignment horizontal="center" vertical="center"/>
    </xf>
    <xf numFmtId="0" fontId="0" fillId="17" borderId="0" xfId="37" applyAlignment="1">
      <alignment horizontal="center" vertical="center"/>
    </xf>
    <xf numFmtId="0" fontId="0" fillId="3" borderId="0" xfId="0" applyFill="1" applyBorder="1" applyAlignment="1">
      <alignment vertical="center"/>
    </xf>
    <xf numFmtId="0" fontId="0" fillId="18" borderId="0" xfId="0" applyFill="1" applyBorder="1" applyAlignment="1">
      <alignment horizontal="center" vertical="center"/>
    </xf>
    <xf numFmtId="0" fontId="21" fillId="19" borderId="19" xfId="24" applyBorder="1" applyAlignment="1">
      <alignment horizontal="center" vertical="center"/>
    </xf>
    <xf numFmtId="0" fontId="21" fillId="19" borderId="20" xfId="24" applyBorder="1" applyAlignment="1">
      <alignment horizontal="center" vertical="center"/>
    </xf>
    <xf numFmtId="0" fontId="21" fillId="19" borderId="21" xfId="24" applyBorder="1" applyAlignment="1">
      <alignment horizontal="center" vertical="center"/>
    </xf>
    <xf numFmtId="0" fontId="21" fillId="19" borderId="22" xfId="24" applyNumberFormat="1" applyBorder="1" applyAlignment="1">
      <alignment horizontal="left" vertical="center"/>
    </xf>
    <xf numFmtId="0" fontId="21" fillId="19" borderId="23" xfId="24" applyNumberFormat="1" applyAlignment="1"/>
    <xf numFmtId="3" fontId="21" fillId="19" borderId="23" xfId="24" applyNumberFormat="1">
      <alignment vertical="center"/>
    </xf>
    <xf numFmtId="0" fontId="21" fillId="19" borderId="24" xfId="24" applyBorder="1">
      <alignment vertical="center"/>
    </xf>
    <xf numFmtId="0" fontId="21" fillId="2" borderId="22" xfId="24" applyNumberFormat="1" applyFill="1" applyBorder="1" applyAlignment="1">
      <alignment horizontal="left" vertical="center"/>
    </xf>
    <xf numFmtId="0" fontId="21" fillId="2" borderId="23" xfId="24" applyNumberFormat="1" applyFill="1" applyAlignment="1"/>
    <xf numFmtId="0" fontId="21" fillId="2" borderId="23" xfId="24" applyFill="1">
      <alignment vertical="center"/>
    </xf>
    <xf numFmtId="0" fontId="21" fillId="2" borderId="24" xfId="24" applyFill="1" applyBorder="1">
      <alignment vertical="center"/>
    </xf>
    <xf numFmtId="3" fontId="21" fillId="2" borderId="23" xfId="24" applyNumberFormat="1" applyFill="1">
      <alignment vertical="center"/>
    </xf>
    <xf numFmtId="0" fontId="21" fillId="19" borderId="23" xfId="24">
      <alignment vertical="center"/>
    </xf>
    <xf numFmtId="0" fontId="21" fillId="20" borderId="22" xfId="24" applyNumberFormat="1" applyFill="1" applyBorder="1" applyAlignment="1">
      <alignment horizontal="left" vertical="center"/>
    </xf>
    <xf numFmtId="0" fontId="21" fillId="20" borderId="23" xfId="24" applyNumberFormat="1" applyFill="1" applyAlignment="1"/>
    <xf numFmtId="0" fontId="21" fillId="20" borderId="23" xfId="24" applyFill="1">
      <alignment vertical="center"/>
    </xf>
    <xf numFmtId="0" fontId="21" fillId="20" borderId="24" xfId="24" applyFill="1" applyBorder="1">
      <alignment vertical="center"/>
    </xf>
    <xf numFmtId="0" fontId="21" fillId="21" borderId="22" xfId="24" applyNumberFormat="1" applyFill="1" applyBorder="1" applyAlignment="1">
      <alignment horizontal="left" vertical="center"/>
    </xf>
    <xf numFmtId="0" fontId="21" fillId="21" borderId="23" xfId="24" applyNumberFormat="1" applyFill="1" applyAlignment="1"/>
    <xf numFmtId="0" fontId="21" fillId="21" borderId="23" xfId="24" applyFill="1">
      <alignment vertical="center"/>
    </xf>
    <xf numFmtId="0" fontId="21" fillId="21" borderId="24" xfId="24" applyFill="1" applyBorder="1">
      <alignment vertical="center"/>
    </xf>
    <xf numFmtId="3" fontId="21" fillId="21" borderId="23" xfId="24" applyNumberFormat="1" applyFill="1">
      <alignment vertical="center"/>
    </xf>
    <xf numFmtId="0" fontId="0" fillId="0" borderId="0" xfId="0" applyBorder="1" applyAlignment="1">
      <alignment vertical="center"/>
    </xf>
    <xf numFmtId="0" fontId="21" fillId="22" borderId="22" xfId="24" applyNumberFormat="1" applyFill="1" applyBorder="1" applyAlignment="1">
      <alignment horizontal="left" vertical="center"/>
    </xf>
    <xf numFmtId="0" fontId="21" fillId="22" borderId="23" xfId="24" applyNumberFormat="1" applyFill="1" applyAlignment="1"/>
    <xf numFmtId="0" fontId="21" fillId="22" borderId="23" xfId="24" applyFill="1">
      <alignment vertical="center"/>
    </xf>
    <xf numFmtId="0" fontId="21" fillId="22" borderId="24" xfId="24" applyFill="1" applyBorder="1">
      <alignment vertical="center"/>
    </xf>
    <xf numFmtId="3" fontId="21" fillId="22" borderId="23" xfId="24" applyNumberFormat="1" applyFill="1">
      <alignment vertical="center"/>
    </xf>
    <xf numFmtId="0" fontId="21" fillId="23" borderId="22" xfId="24" applyNumberFormat="1" applyFill="1" applyBorder="1" applyAlignment="1">
      <alignment horizontal="left" vertical="center"/>
    </xf>
    <xf numFmtId="0" fontId="21" fillId="23" borderId="23" xfId="24" applyNumberFormat="1" applyFill="1" applyAlignment="1"/>
    <xf numFmtId="0" fontId="21" fillId="23" borderId="23" xfId="24" applyFill="1">
      <alignment vertical="center"/>
    </xf>
    <xf numFmtId="0" fontId="21" fillId="23" borderId="24" xfId="24" applyFill="1" applyBorder="1">
      <alignment vertical="center"/>
    </xf>
    <xf numFmtId="0" fontId="21" fillId="18" borderId="22" xfId="24" applyNumberFormat="1" applyFill="1" applyBorder="1" applyAlignment="1">
      <alignment horizontal="left" vertical="center"/>
    </xf>
    <xf numFmtId="0" fontId="21" fillId="18" borderId="23" xfId="24" applyNumberFormat="1" applyFill="1" applyAlignment="1"/>
    <xf numFmtId="0" fontId="21" fillId="18" borderId="23" xfId="24" applyFill="1">
      <alignment vertical="center"/>
    </xf>
    <xf numFmtId="0" fontId="21" fillId="18" borderId="24" xfId="24" applyFill="1" applyBorder="1">
      <alignment vertical="center"/>
    </xf>
    <xf numFmtId="0" fontId="21" fillId="24" borderId="22" xfId="24" applyNumberFormat="1" applyFill="1" applyBorder="1" applyAlignment="1">
      <alignment horizontal="left" vertical="center"/>
    </xf>
    <xf numFmtId="0" fontId="21" fillId="24" borderId="23" xfId="24" applyNumberFormat="1" applyFill="1" applyAlignment="1"/>
    <xf numFmtId="0" fontId="21" fillId="24" borderId="23" xfId="24" applyFill="1">
      <alignment vertical="center"/>
    </xf>
    <xf numFmtId="0" fontId="21" fillId="24" borderId="24" xfId="24" applyFill="1" applyBorder="1">
      <alignment vertical="center"/>
    </xf>
    <xf numFmtId="3" fontId="21" fillId="24" borderId="23" xfId="24" applyNumberFormat="1" applyFill="1">
      <alignment vertical="center"/>
    </xf>
    <xf numFmtId="3" fontId="21" fillId="19" borderId="24" xfId="24" applyNumberFormat="1" applyBorder="1">
      <alignment vertical="center"/>
    </xf>
    <xf numFmtId="0" fontId="21" fillId="25" borderId="22" xfId="24" applyNumberFormat="1" applyFill="1" applyBorder="1" applyAlignment="1">
      <alignment horizontal="left" vertical="center"/>
    </xf>
    <xf numFmtId="0" fontId="21" fillId="25" borderId="23" xfId="24" applyNumberFormat="1" applyFill="1" applyAlignment="1"/>
    <xf numFmtId="0" fontId="21" fillId="25" borderId="23" xfId="24" applyFill="1">
      <alignment vertical="center"/>
    </xf>
    <xf numFmtId="0" fontId="21" fillId="25" borderId="24" xfId="24" applyFill="1" applyBorder="1">
      <alignment vertical="center"/>
    </xf>
    <xf numFmtId="0" fontId="21" fillId="26" borderId="22" xfId="24" applyNumberFormat="1" applyFill="1" applyBorder="1" applyAlignment="1">
      <alignment horizontal="left" vertical="center"/>
    </xf>
    <xf numFmtId="0" fontId="21" fillId="26" borderId="23" xfId="24" applyNumberFormat="1" applyFill="1" applyAlignment="1"/>
    <xf numFmtId="0" fontId="21" fillId="26" borderId="23" xfId="24" applyFill="1">
      <alignment vertical="center"/>
    </xf>
    <xf numFmtId="0" fontId="21" fillId="26" borderId="24" xfId="24" applyFill="1" applyBorder="1">
      <alignment vertical="center"/>
    </xf>
    <xf numFmtId="0" fontId="21" fillId="19" borderId="25" xfId="24" applyNumberFormat="1" applyBorder="1" applyAlignment="1">
      <alignment horizontal="left" vertical="center"/>
    </xf>
    <xf numFmtId="0" fontId="21" fillId="19" borderId="26" xfId="24" applyNumberFormat="1" applyBorder="1" applyAlignment="1">
      <alignment horizontal="left" vertical="center"/>
    </xf>
    <xf numFmtId="3" fontId="21" fillId="19" borderId="26" xfId="24" applyNumberFormat="1" applyBorder="1" applyAlignment="1">
      <alignment horizontal="left" vertical="center"/>
    </xf>
    <xf numFmtId="0" fontId="21" fillId="19" borderId="27" xfId="24" applyNumberFormat="1" applyBorder="1" applyAlignment="1">
      <alignment horizontal="left" vertical="center"/>
    </xf>
    <xf numFmtId="0" fontId="20" fillId="17" borderId="28" xfId="37" applyFont="1" applyBorder="1" applyAlignment="1">
      <alignment horizontal="center" vertical="center"/>
    </xf>
    <xf numFmtId="0" fontId="0" fillId="17" borderId="29" xfId="37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7" borderId="0" xfId="0" applyFill="1" applyAlignment="1">
      <alignment horizontal="center" vertical="center"/>
    </xf>
    <xf numFmtId="0" fontId="0" fillId="17" borderId="30" xfId="37" applyBorder="1" applyAlignment="1">
      <alignment horizontal="center" vertical="center"/>
    </xf>
    <xf numFmtId="0" fontId="0" fillId="17" borderId="31" xfId="37" applyBorder="1" applyAlignment="1">
      <alignment horizontal="center" vertical="center"/>
    </xf>
    <xf numFmtId="0" fontId="0" fillId="17" borderId="32" xfId="37" applyBorder="1" applyAlignment="1">
      <alignment horizontal="center" vertical="center"/>
    </xf>
    <xf numFmtId="0" fontId="0" fillId="22" borderId="33" xfId="38" applyBorder="1" applyAlignment="1">
      <alignment horizontal="center" vertical="center"/>
    </xf>
    <xf numFmtId="0" fontId="0" fillId="22" borderId="31" xfId="38" applyBorder="1" applyAlignment="1">
      <alignment horizontal="center" vertical="center"/>
    </xf>
    <xf numFmtId="0" fontId="0" fillId="22" borderId="0" xfId="38" applyAlignment="1">
      <alignment horizontal="center" vertical="center"/>
    </xf>
    <xf numFmtId="0" fontId="21" fillId="19" borderId="34" xfId="24" applyBorder="1" applyAlignment="1">
      <alignment horizontal="center" vertical="center"/>
    </xf>
    <xf numFmtId="0" fontId="21" fillId="19" borderId="28" xfId="24" applyBorder="1" applyAlignment="1">
      <alignment horizontal="center" vertical="center"/>
    </xf>
    <xf numFmtId="0" fontId="21" fillId="19" borderId="29" xfId="24" applyBorder="1" applyAlignment="1">
      <alignment horizontal="center" vertical="center"/>
    </xf>
    <xf numFmtId="0" fontId="21" fillId="19" borderId="35" xfId="24" applyBorder="1" applyAlignment="1">
      <alignment horizontal="center" vertical="center"/>
    </xf>
    <xf numFmtId="0" fontId="21" fillId="19" borderId="36" xfId="24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21" fillId="19" borderId="38" xfId="24" applyNumberFormat="1" applyBorder="1" applyAlignment="1">
      <alignment horizontal="left" vertical="center"/>
    </xf>
    <xf numFmtId="0" fontId="21" fillId="19" borderId="39" xfId="24" applyNumberFormat="1" applyBorder="1" applyAlignment="1"/>
    <xf numFmtId="0" fontId="21" fillId="19" borderId="40" xfId="24" applyBorder="1" applyAlignment="1"/>
    <xf numFmtId="0" fontId="21" fillId="19" borderId="41" xfId="24" applyBorder="1">
      <alignment vertical="center"/>
    </xf>
    <xf numFmtId="0" fontId="21" fillId="19" borderId="42" xfId="24" applyBorder="1">
      <alignment vertical="center"/>
    </xf>
    <xf numFmtId="0" fontId="22" fillId="3" borderId="0" xfId="49" applyFill="1" applyAlignment="1"/>
    <xf numFmtId="0" fontId="21" fillId="2" borderId="43" xfId="24" applyNumberFormat="1" applyFill="1" applyBorder="1" applyAlignment="1">
      <alignment horizontal="left" vertical="center"/>
    </xf>
    <xf numFmtId="0" fontId="21" fillId="2" borderId="44" xfId="24" applyNumberFormat="1" applyFill="1" applyBorder="1" applyAlignment="1"/>
    <xf numFmtId="0" fontId="21" fillId="2" borderId="45" xfId="24" applyFill="1" applyBorder="1" applyAlignment="1"/>
    <xf numFmtId="0" fontId="21" fillId="2" borderId="46" xfId="24" applyFill="1" applyBorder="1">
      <alignment vertical="center"/>
    </xf>
    <xf numFmtId="0" fontId="21" fillId="2" borderId="47" xfId="24" applyNumberFormat="1" applyFill="1" applyBorder="1" applyAlignment="1">
      <alignment horizontal="left" vertical="center"/>
    </xf>
    <xf numFmtId="0" fontId="21" fillId="2" borderId="48" xfId="24" applyNumberFormat="1" applyFill="1" applyBorder="1" applyAlignment="1"/>
    <xf numFmtId="0" fontId="21" fillId="2" borderId="23" xfId="24" applyFill="1" applyAlignment="1"/>
    <xf numFmtId="0" fontId="21" fillId="2" borderId="49" xfId="24" applyNumberFormat="1" applyFill="1" applyBorder="1" applyAlignment="1">
      <alignment horizontal="left" vertical="center"/>
    </xf>
    <xf numFmtId="0" fontId="21" fillId="2" borderId="50" xfId="24" applyNumberFormat="1" applyFill="1" applyBorder="1" applyAlignment="1"/>
    <xf numFmtId="0" fontId="21" fillId="2" borderId="51" xfId="24" applyFill="1" applyBorder="1" applyAlignment="1"/>
    <xf numFmtId="0" fontId="21" fillId="2" borderId="51" xfId="24" applyFill="1" applyBorder="1">
      <alignment vertical="center"/>
    </xf>
    <xf numFmtId="0" fontId="21" fillId="2" borderId="36" xfId="24" applyFill="1" applyBorder="1">
      <alignment vertical="center"/>
    </xf>
    <xf numFmtId="0" fontId="21" fillId="19" borderId="52" xfId="24" applyNumberFormat="1" applyBorder="1" applyAlignment="1"/>
    <xf numFmtId="0" fontId="21" fillId="19" borderId="53" xfId="24" applyBorder="1" applyAlignment="1"/>
    <xf numFmtId="0" fontId="21" fillId="19" borderId="53" xfId="24" applyBorder="1">
      <alignment vertical="center"/>
    </xf>
    <xf numFmtId="0" fontId="21" fillId="19" borderId="54" xfId="24" applyBorder="1">
      <alignment vertical="center"/>
    </xf>
    <xf numFmtId="0" fontId="21" fillId="19" borderId="43" xfId="24" applyNumberFormat="1" applyBorder="1" applyAlignment="1">
      <alignment horizontal="left" vertical="center"/>
    </xf>
    <xf numFmtId="0" fontId="21" fillId="19" borderId="44" xfId="24" applyNumberFormat="1" applyBorder="1" applyAlignment="1"/>
    <xf numFmtId="0" fontId="21" fillId="19" borderId="45" xfId="24" applyBorder="1" applyAlignment="1"/>
    <xf numFmtId="0" fontId="21" fillId="19" borderId="45" xfId="24" applyBorder="1">
      <alignment vertical="center"/>
    </xf>
    <xf numFmtId="0" fontId="21" fillId="19" borderId="55" xfId="24" applyBorder="1">
      <alignment vertical="center"/>
    </xf>
    <xf numFmtId="0" fontId="21" fillId="19" borderId="47" xfId="24" applyNumberFormat="1" applyBorder="1" applyAlignment="1">
      <alignment horizontal="left" vertical="center"/>
    </xf>
    <xf numFmtId="0" fontId="21" fillId="19" borderId="48" xfId="24" applyNumberFormat="1" applyBorder="1" applyAlignment="1"/>
    <xf numFmtId="0" fontId="21" fillId="19" borderId="23" xfId="24" applyAlignment="1"/>
    <xf numFmtId="0" fontId="21" fillId="19" borderId="46" xfId="24" applyBorder="1">
      <alignment vertical="center"/>
    </xf>
    <xf numFmtId="0" fontId="21" fillId="19" borderId="56" xfId="24" applyNumberFormat="1" applyBorder="1" applyAlignment="1">
      <alignment horizontal="left" vertical="center"/>
    </xf>
    <xf numFmtId="0" fontId="21" fillId="19" borderId="57" xfId="24" applyNumberFormat="1" applyBorder="1" applyAlignment="1"/>
    <xf numFmtId="0" fontId="21" fillId="19" borderId="58" xfId="24" applyBorder="1" applyAlignment="1"/>
    <xf numFmtId="0" fontId="21" fillId="19" borderId="58" xfId="24" applyBorder="1">
      <alignment vertical="center"/>
    </xf>
    <xf numFmtId="0" fontId="21" fillId="19" borderId="59" xfId="24" applyBorder="1">
      <alignment vertical="center"/>
    </xf>
    <xf numFmtId="0" fontId="21" fillId="19" borderId="49" xfId="24" applyNumberFormat="1" applyBorder="1" applyAlignment="1">
      <alignment horizontal="left" vertical="center"/>
    </xf>
    <xf numFmtId="0" fontId="21" fillId="19" borderId="50" xfId="24" applyNumberFormat="1" applyBorder="1" applyAlignment="1"/>
    <xf numFmtId="0" fontId="21" fillId="19" borderId="51" xfId="24" applyBorder="1" applyAlignment="1"/>
    <xf numFmtId="0" fontId="21" fillId="19" borderId="51" xfId="24" applyBorder="1">
      <alignment vertical="center"/>
    </xf>
    <xf numFmtId="0" fontId="21" fillId="19" borderId="36" xfId="24" applyBorder="1">
      <alignment vertical="center"/>
    </xf>
    <xf numFmtId="0" fontId="21" fillId="19" borderId="53" xfId="24" applyNumberFormat="1" applyBorder="1" applyAlignment="1"/>
    <xf numFmtId="0" fontId="21" fillId="20" borderId="47" xfId="24" applyNumberFormat="1" applyFill="1" applyBorder="1" applyAlignment="1">
      <alignment horizontal="left" vertical="center"/>
    </xf>
    <xf numFmtId="0" fontId="21" fillId="20" borderId="48" xfId="24" applyNumberFormat="1" applyFill="1" applyBorder="1" applyAlignment="1"/>
    <xf numFmtId="0" fontId="21" fillId="20" borderId="23" xfId="24" applyFill="1" applyAlignment="1"/>
    <xf numFmtId="0" fontId="21" fillId="20" borderId="46" xfId="24" applyFill="1" applyBorder="1">
      <alignment vertical="center"/>
    </xf>
    <xf numFmtId="0" fontId="21" fillId="20" borderId="49" xfId="24" applyNumberFormat="1" applyFill="1" applyBorder="1" applyAlignment="1">
      <alignment horizontal="left" vertical="center"/>
    </xf>
    <xf numFmtId="0" fontId="21" fillId="20" borderId="50" xfId="24" applyNumberFormat="1" applyFill="1" applyBorder="1" applyAlignment="1"/>
    <xf numFmtId="0" fontId="21" fillId="20" borderId="51" xfId="24" applyNumberFormat="1" applyFill="1" applyBorder="1" applyAlignment="1"/>
    <xf numFmtId="0" fontId="21" fillId="20" borderId="51" xfId="24" applyFill="1" applyBorder="1">
      <alignment vertical="center"/>
    </xf>
    <xf numFmtId="0" fontId="21" fillId="20" borderId="36" xfId="24" applyFill="1" applyBorder="1">
      <alignment vertical="center"/>
    </xf>
    <xf numFmtId="0" fontId="21" fillId="20" borderId="38" xfId="24" applyNumberFormat="1" applyFill="1" applyBorder="1" applyAlignment="1">
      <alignment horizontal="left" vertical="center"/>
    </xf>
    <xf numFmtId="0" fontId="21" fillId="20" borderId="52" xfId="24" applyNumberFormat="1" applyFill="1" applyBorder="1" applyAlignment="1"/>
    <xf numFmtId="0" fontId="21" fillId="20" borderId="53" xfId="24" applyNumberFormat="1" applyFill="1" applyBorder="1" applyAlignment="1"/>
    <xf numFmtId="0" fontId="21" fillId="20" borderId="53" xfId="24" applyFill="1" applyBorder="1">
      <alignment vertical="center"/>
    </xf>
    <xf numFmtId="0" fontId="21" fillId="20" borderId="54" xfId="24" applyFill="1" applyBorder="1">
      <alignment vertical="center"/>
    </xf>
    <xf numFmtId="0" fontId="21" fillId="21" borderId="43" xfId="24" applyNumberFormat="1" applyFill="1" applyBorder="1" applyAlignment="1">
      <alignment horizontal="left" vertical="center"/>
    </xf>
    <xf numFmtId="0" fontId="21" fillId="21" borderId="44" xfId="24" applyNumberFormat="1" applyFill="1" applyBorder="1" applyAlignment="1"/>
    <xf numFmtId="0" fontId="21" fillId="21" borderId="45" xfId="24" applyFill="1" applyBorder="1" applyAlignment="1"/>
    <xf numFmtId="0" fontId="21" fillId="21" borderId="45" xfId="24" applyFill="1" applyBorder="1">
      <alignment vertical="center"/>
    </xf>
    <xf numFmtId="0" fontId="21" fillId="21" borderId="55" xfId="24" applyFill="1" applyBorder="1">
      <alignment vertical="center"/>
    </xf>
    <xf numFmtId="0" fontId="21" fillId="21" borderId="47" xfId="24" applyNumberFormat="1" applyFill="1" applyBorder="1" applyAlignment="1">
      <alignment horizontal="left" vertical="center"/>
    </xf>
    <xf numFmtId="0" fontId="21" fillId="21" borderId="48" xfId="24" applyNumberFormat="1" applyFill="1" applyBorder="1" applyAlignment="1"/>
    <xf numFmtId="0" fontId="21" fillId="21" borderId="23" xfId="24" applyFill="1" applyAlignment="1"/>
    <xf numFmtId="0" fontId="21" fillId="21" borderId="46" xfId="24" applyFill="1" applyBorder="1">
      <alignment vertical="center"/>
    </xf>
    <xf numFmtId="0" fontId="22" fillId="0" borderId="0" xfId="49" applyAlignment="1"/>
    <xf numFmtId="0" fontId="21" fillId="22" borderId="47" xfId="24" applyNumberFormat="1" applyFill="1" applyBorder="1" applyAlignment="1">
      <alignment horizontal="left" vertical="center"/>
    </xf>
    <xf numFmtId="0" fontId="21" fillId="22" borderId="48" xfId="24" applyNumberFormat="1" applyFill="1" applyBorder="1" applyAlignment="1"/>
    <xf numFmtId="0" fontId="21" fillId="22" borderId="23" xfId="24" applyFill="1" applyAlignment="1"/>
    <xf numFmtId="0" fontId="21" fillId="22" borderId="46" xfId="24" applyFill="1" applyBorder="1">
      <alignment vertical="center"/>
    </xf>
    <xf numFmtId="0" fontId="21" fillId="23" borderId="47" xfId="24" applyNumberFormat="1" applyFill="1" applyBorder="1" applyAlignment="1">
      <alignment horizontal="left" vertical="center"/>
    </xf>
    <xf numFmtId="0" fontId="21" fillId="23" borderId="48" xfId="24" applyNumberFormat="1" applyFill="1" applyBorder="1" applyAlignment="1"/>
    <xf numFmtId="0" fontId="21" fillId="23" borderId="23" xfId="24" applyFill="1" applyAlignment="1"/>
    <xf numFmtId="0" fontId="21" fillId="23" borderId="46" xfId="24" applyFill="1" applyBorder="1">
      <alignment vertical="center"/>
    </xf>
    <xf numFmtId="0" fontId="21" fillId="18" borderId="47" xfId="24" applyNumberFormat="1" applyFill="1" applyBorder="1" applyAlignment="1">
      <alignment horizontal="left" vertical="center"/>
    </xf>
    <xf numFmtId="0" fontId="21" fillId="18" borderId="48" xfId="24" applyNumberFormat="1" applyFill="1" applyBorder="1" applyAlignment="1"/>
    <xf numFmtId="0" fontId="21" fillId="18" borderId="23" xfId="24" applyFill="1" applyAlignment="1"/>
    <xf numFmtId="0" fontId="21" fillId="18" borderId="46" xfId="24" applyFill="1" applyBorder="1">
      <alignment vertical="center"/>
    </xf>
    <xf numFmtId="0" fontId="21" fillId="19" borderId="60" xfId="24" applyNumberFormat="1" applyBorder="1" applyAlignment="1">
      <alignment horizontal="left" vertical="center"/>
    </xf>
    <xf numFmtId="0" fontId="21" fillId="19" borderId="61" xfId="24" applyNumberFormat="1" applyBorder="1" applyAlignment="1"/>
    <xf numFmtId="0" fontId="21" fillId="19" borderId="62" xfId="24" applyBorder="1" applyAlignment="1"/>
    <xf numFmtId="0" fontId="21" fillId="19" borderId="62" xfId="24" applyBorder="1">
      <alignment vertical="center"/>
    </xf>
    <xf numFmtId="0" fontId="21" fillId="24" borderId="47" xfId="24" applyNumberFormat="1" applyFill="1" applyBorder="1" applyAlignment="1">
      <alignment horizontal="left" vertical="center"/>
    </xf>
    <xf numFmtId="0" fontId="21" fillId="24" borderId="48" xfId="24" applyNumberFormat="1" applyFill="1" applyBorder="1" applyAlignment="1"/>
    <xf numFmtId="0" fontId="21" fillId="24" borderId="23" xfId="24" applyFill="1" applyAlignment="1"/>
    <xf numFmtId="0" fontId="21" fillId="24" borderId="46" xfId="24" applyFill="1" applyBorder="1">
      <alignment vertical="center"/>
    </xf>
    <xf numFmtId="0" fontId="21" fillId="19" borderId="48" xfId="24" applyNumberFormat="1" applyBorder="1" applyAlignment="1">
      <alignment horizontal="left" vertical="center"/>
    </xf>
    <xf numFmtId="0" fontId="21" fillId="25" borderId="48" xfId="24" applyNumberFormat="1" applyFill="1" applyBorder="1" applyAlignment="1">
      <alignment horizontal="left" vertical="center"/>
    </xf>
    <xf numFmtId="0" fontId="21" fillId="25" borderId="23" xfId="24" applyFill="1" applyAlignment="1"/>
    <xf numFmtId="0" fontId="21" fillId="25" borderId="46" xfId="24" applyFill="1" applyBorder="1">
      <alignment vertical="center"/>
    </xf>
    <xf numFmtId="0" fontId="21" fillId="23" borderId="48" xfId="24" applyNumberFormat="1" applyFill="1" applyBorder="1" applyAlignment="1">
      <alignment horizontal="left" vertical="center"/>
    </xf>
    <xf numFmtId="0" fontId="21" fillId="26" borderId="48" xfId="24" applyNumberFormat="1" applyFill="1" applyBorder="1" applyAlignment="1">
      <alignment horizontal="left" vertical="center"/>
    </xf>
    <xf numFmtId="0" fontId="21" fillId="26" borderId="23" xfId="24" applyFill="1" applyAlignment="1"/>
    <xf numFmtId="0" fontId="21" fillId="26" borderId="46" xfId="24" applyFill="1" applyBorder="1">
      <alignment vertical="center"/>
    </xf>
    <xf numFmtId="0" fontId="21" fillId="18" borderId="48" xfId="24" applyNumberFormat="1" applyFill="1" applyBorder="1" applyAlignment="1">
      <alignment horizontal="left" vertical="center"/>
    </xf>
    <xf numFmtId="0" fontId="21" fillId="19" borderId="57" xfId="24" applyNumberFormat="1" applyBorder="1" applyAlignment="1">
      <alignment horizontal="left" vertical="center"/>
    </xf>
    <xf numFmtId="0" fontId="21" fillId="19" borderId="58" xfId="24" applyNumberFormat="1" applyBorder="1" applyAlignment="1"/>
    <xf numFmtId="0" fontId="0" fillId="0" borderId="0" xfId="0" applyBorder="1">
      <alignment vertical="center"/>
    </xf>
    <xf numFmtId="0" fontId="0" fillId="28" borderId="0" xfId="0" applyFill="1">
      <alignment vertical="center"/>
    </xf>
    <xf numFmtId="0" fontId="23" fillId="29" borderId="34" xfId="0" applyFont="1" applyFill="1" applyBorder="1" applyAlignment="1">
      <alignment horizontal="center" vertical="center"/>
    </xf>
    <xf numFmtId="0" fontId="16" fillId="29" borderId="63" xfId="0" applyFont="1" applyFill="1" applyBorder="1" applyAlignment="1">
      <alignment horizontal="center" vertical="center"/>
    </xf>
    <xf numFmtId="0" fontId="16" fillId="29" borderId="29" xfId="0" applyFont="1" applyFill="1" applyBorder="1" applyAlignment="1">
      <alignment horizontal="center" vertical="center"/>
    </xf>
    <xf numFmtId="0" fontId="16" fillId="29" borderId="32" xfId="0" applyFont="1" applyFill="1" applyBorder="1" applyAlignment="1">
      <alignment horizontal="center" vertical="center"/>
    </xf>
    <xf numFmtId="0" fontId="16" fillId="29" borderId="0" xfId="0" applyFont="1" applyFill="1" applyBorder="1" applyAlignment="1">
      <alignment horizontal="center" vertical="center"/>
    </xf>
    <xf numFmtId="0" fontId="16" fillId="29" borderId="31" xfId="0" applyFont="1" applyFill="1" applyBorder="1" applyAlignment="1">
      <alignment horizontal="center" vertical="center"/>
    </xf>
    <xf numFmtId="0" fontId="16" fillId="29" borderId="33" xfId="0" applyFont="1" applyFill="1" applyBorder="1" applyAlignment="1">
      <alignment horizontal="center" vertical="center"/>
    </xf>
    <xf numFmtId="0" fontId="16" fillId="29" borderId="37" xfId="0" applyFont="1" applyFill="1" applyBorder="1" applyAlignment="1">
      <alignment horizontal="center" vertical="center"/>
    </xf>
    <xf numFmtId="0" fontId="16" fillId="29" borderId="64" xfId="0" applyFont="1" applyFill="1" applyBorder="1" applyAlignment="1">
      <alignment horizontal="center" vertical="center"/>
    </xf>
    <xf numFmtId="0" fontId="4" fillId="0" borderId="38" xfId="0" applyFont="1" applyBorder="1" applyAlignment="1">
      <alignment horizontal="left" vertical="center"/>
    </xf>
    <xf numFmtId="0" fontId="16" fillId="0" borderId="65" xfId="0" applyFont="1" applyBorder="1" applyAlignment="1">
      <alignment horizontal="left" vertical="center"/>
    </xf>
    <xf numFmtId="0" fontId="16" fillId="0" borderId="40" xfId="0" applyFont="1" applyBorder="1" applyAlignment="1">
      <alignment horizontal="left" vertical="center"/>
    </xf>
    <xf numFmtId="0" fontId="0" fillId="29" borderId="38" xfId="0" applyFill="1" applyBorder="1" applyAlignment="1">
      <alignment horizontal="center" vertical="center"/>
    </xf>
    <xf numFmtId="0" fontId="0" fillId="29" borderId="65" xfId="0" applyFill="1" applyBorder="1" applyAlignment="1">
      <alignment horizontal="center" vertical="center"/>
    </xf>
    <xf numFmtId="0" fontId="0" fillId="29" borderId="40" xfId="0" applyFill="1" applyBorder="1" applyAlignment="1">
      <alignment horizontal="center" vertical="center"/>
    </xf>
    <xf numFmtId="0" fontId="0" fillId="29" borderId="34" xfId="0" applyFill="1" applyBorder="1" applyAlignment="1">
      <alignment horizontal="center" vertical="center"/>
    </xf>
    <xf numFmtId="0" fontId="0" fillId="29" borderId="63" xfId="0" applyFill="1" applyBorder="1" applyAlignment="1">
      <alignment horizontal="center" vertical="center"/>
    </xf>
    <xf numFmtId="0" fontId="0" fillId="29" borderId="29" xfId="0" applyFill="1" applyBorder="1" applyAlignment="1">
      <alignment horizontal="center" vertical="center"/>
    </xf>
    <xf numFmtId="0" fontId="0" fillId="29" borderId="32" xfId="0" applyFill="1" applyBorder="1" applyAlignment="1">
      <alignment horizontal="center" vertical="center"/>
    </xf>
    <xf numFmtId="0" fontId="0" fillId="29" borderId="0" xfId="0" applyFill="1" applyBorder="1" applyAlignment="1">
      <alignment horizontal="center" vertical="center"/>
    </xf>
    <xf numFmtId="0" fontId="0" fillId="29" borderId="31" xfId="0" applyFill="1" applyBorder="1" applyAlignment="1">
      <alignment horizontal="center" vertical="center"/>
    </xf>
    <xf numFmtId="0" fontId="0" fillId="29" borderId="33" xfId="0" applyFill="1" applyBorder="1" applyAlignment="1">
      <alignment horizontal="center" vertical="center"/>
    </xf>
    <xf numFmtId="0" fontId="0" fillId="29" borderId="37" xfId="0" applyFill="1" applyBorder="1" applyAlignment="1">
      <alignment horizontal="center" vertical="center"/>
    </xf>
    <xf numFmtId="0" fontId="0" fillId="29" borderId="64" xfId="0" applyFill="1" applyBorder="1" applyAlignment="1">
      <alignment horizontal="center" vertical="center"/>
    </xf>
    <xf numFmtId="0" fontId="5" fillId="3" borderId="0" xfId="0" applyFont="1" applyFill="1">
      <alignment vertical="center"/>
    </xf>
    <xf numFmtId="0" fontId="16" fillId="3" borderId="0" xfId="0" applyFont="1" applyFill="1">
      <alignment vertical="center"/>
    </xf>
    <xf numFmtId="0" fontId="21" fillId="19" borderId="39" xfId="24" applyNumberFormat="1" applyBorder="1" applyAlignment="1" quotePrefix="1"/>
    <xf numFmtId="0" fontId="21" fillId="2" borderId="44" xfId="24" applyNumberFormat="1" applyFill="1" applyBorder="1" applyAlignment="1" quotePrefix="1"/>
    <xf numFmtId="0" fontId="21" fillId="2" borderId="48" xfId="24" applyNumberFormat="1" applyFill="1" applyBorder="1" applyAlignment="1" quotePrefix="1"/>
    <xf numFmtId="0" fontId="21" fillId="2" borderId="50" xfId="24" applyNumberFormat="1" applyFill="1" applyBorder="1" applyAlignment="1" quotePrefix="1"/>
    <xf numFmtId="0" fontId="21" fillId="19" borderId="52" xfId="24" applyNumberFormat="1" applyBorder="1" applyAlignment="1" quotePrefix="1"/>
    <xf numFmtId="0" fontId="21" fillId="19" borderId="44" xfId="24" applyNumberFormat="1" applyBorder="1" applyAlignment="1" quotePrefix="1"/>
    <xf numFmtId="0" fontId="21" fillId="19" borderId="48" xfId="24" applyNumberFormat="1" applyBorder="1" applyAlignment="1" quotePrefix="1"/>
    <xf numFmtId="0" fontId="21" fillId="19" borderId="57" xfId="24" applyNumberFormat="1" applyBorder="1" applyAlignment="1" quotePrefix="1"/>
    <xf numFmtId="0" fontId="21" fillId="19" borderId="23" xfId="24" applyNumberFormat="1" applyAlignment="1" quotePrefix="1"/>
    <xf numFmtId="0" fontId="21" fillId="19" borderId="50" xfId="24" applyNumberFormat="1" applyBorder="1" applyAlignment="1" quotePrefix="1"/>
    <xf numFmtId="0" fontId="21" fillId="19" borderId="53" xfId="24" applyNumberFormat="1" applyBorder="1" applyAlignment="1" quotePrefix="1"/>
    <xf numFmtId="0" fontId="21" fillId="20" borderId="48" xfId="24" applyNumberFormat="1" applyFill="1" applyBorder="1" applyAlignment="1" quotePrefix="1"/>
    <xf numFmtId="0" fontId="21" fillId="20" borderId="50" xfId="24" applyNumberFormat="1" applyFill="1" applyBorder="1" applyAlignment="1" quotePrefix="1"/>
    <xf numFmtId="0" fontId="21" fillId="20" borderId="51" xfId="24" applyNumberFormat="1" applyFill="1" applyBorder="1" applyAlignment="1" quotePrefix="1"/>
    <xf numFmtId="0" fontId="21" fillId="20" borderId="52" xfId="24" applyNumberFormat="1" applyFill="1" applyBorder="1" applyAlignment="1" quotePrefix="1"/>
    <xf numFmtId="0" fontId="21" fillId="20" borderId="53" xfId="24" applyNumberFormat="1" applyFill="1" applyBorder="1" applyAlignment="1" quotePrefix="1"/>
    <xf numFmtId="0" fontId="21" fillId="21" borderId="44" xfId="24" applyNumberFormat="1" applyFill="1" applyBorder="1" applyAlignment="1" quotePrefix="1"/>
    <xf numFmtId="0" fontId="21" fillId="21" borderId="48" xfId="24" applyNumberFormat="1" applyFill="1" applyBorder="1" applyAlignment="1" quotePrefix="1"/>
    <xf numFmtId="0" fontId="21" fillId="22" borderId="48" xfId="24" applyNumberFormat="1" applyFill="1" applyBorder="1" applyAlignment="1" quotePrefix="1"/>
    <xf numFmtId="0" fontId="21" fillId="23" borderId="48" xfId="24" applyNumberFormat="1" applyFill="1" applyBorder="1" applyAlignment="1" quotePrefix="1"/>
    <xf numFmtId="0" fontId="21" fillId="18" borderId="48" xfId="24" applyNumberFormat="1" applyFill="1" applyBorder="1" applyAlignment="1" quotePrefix="1"/>
    <xf numFmtId="0" fontId="21" fillId="19" borderId="61" xfId="24" applyNumberFormat="1" applyBorder="1" applyAlignment="1" quotePrefix="1"/>
    <xf numFmtId="0" fontId="21" fillId="24" borderId="48" xfId="24" applyNumberFormat="1" applyFill="1" applyBorder="1" applyAlignment="1" quotePrefix="1"/>
    <xf numFmtId="0" fontId="21" fillId="25" borderId="23" xfId="24" applyNumberFormat="1" applyFill="1" applyAlignment="1" quotePrefix="1"/>
    <xf numFmtId="0" fontId="21" fillId="23" borderId="23" xfId="24" applyNumberFormat="1" applyFill="1" applyAlignment="1" quotePrefix="1"/>
    <xf numFmtId="0" fontId="21" fillId="26" borderId="23" xfId="24" applyNumberFormat="1" applyFill="1" applyAlignment="1" quotePrefix="1"/>
    <xf numFmtId="0" fontId="21" fillId="18" borderId="23" xfId="24" applyNumberFormat="1" applyFill="1" applyAlignment="1" quotePrefix="1"/>
    <xf numFmtId="0" fontId="21" fillId="19" borderId="58" xfId="24" applyNumberFormat="1" applyBorder="1" applyAlignment="1" quotePrefix="1"/>
    <xf numFmtId="0" fontId="21" fillId="2" borderId="23" xfId="24" applyNumberFormat="1" applyFill="1" applyAlignment="1" quotePrefix="1"/>
    <xf numFmtId="0" fontId="21" fillId="20" borderId="23" xfId="24" applyNumberFormat="1" applyFill="1" applyAlignment="1" quotePrefix="1"/>
    <xf numFmtId="0" fontId="21" fillId="21" borderId="23" xfId="24" applyNumberFormat="1" applyFill="1" applyAlignment="1" quotePrefix="1"/>
    <xf numFmtId="0" fontId="21" fillId="22" borderId="23" xfId="24" applyNumberFormat="1" applyFill="1" applyAlignment="1" quotePrefix="1"/>
    <xf numFmtId="0" fontId="21" fillId="24" borderId="23" xfId="24" applyNumberFormat="1" applyFill="1" applyAlignment="1" quotePrefix="1"/>
    <xf numFmtId="0" fontId="21" fillId="19" borderId="26" xfId="24" applyNumberFormat="1" applyBorder="1" applyAlignment="1" quotePrefix="1">
      <alignment horizontal="left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Light16"/>
  <colors>
    <mruColors>
      <color rgb="00FFCCFF"/>
      <color rgb="00FFFF66"/>
      <color rgb="0099CCFF"/>
      <color rgb="00E1F0AD"/>
      <color rgb="00EDDFB0"/>
      <color rgb="00FFCCCC"/>
      <color rgb="00CC99FF"/>
      <color rgb="0066CCFF"/>
      <color rgb="0099FFCC"/>
      <color rgb="003399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9" Type="http://schemas.microsoft.com/office/2006/relationships/vbaProject" Target="vbaProject.bin"/><Relationship Id="rId18" Type="http://schemas.openxmlformats.org/officeDocument/2006/relationships/sharedStrings" Target="sharedStrings.xml"/><Relationship Id="rId17" Type="http://schemas.openxmlformats.org/officeDocument/2006/relationships/styles" Target="styles.xml"/><Relationship Id="rId16" Type="http://schemas.openxmlformats.org/officeDocument/2006/relationships/theme" Target="theme/theme1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ctrlProps/ctrlProp28.xml><?xml version="1.0" encoding="utf-8"?>
<formControlPr xmlns="http://schemas.microsoft.com/office/spreadsheetml/2009/9/main" objectType="Spin" dx="16" fmlaLink="$N$3" max="500" min="1" page="10" val="5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_rels/vmlDrawing2.vml.rels><?xml version="1.0" encoding="UTF-8" standalone="yes"?>
<Relationships xmlns="http://schemas.openxmlformats.org/package/2006/relationships"><Relationship Id="rId9" Type="http://schemas.openxmlformats.org/officeDocument/2006/relationships/image" Target="../media/image13.wmf"/><Relationship Id="rId8" Type="http://schemas.openxmlformats.org/officeDocument/2006/relationships/image" Target="../media/image12.wmf"/><Relationship Id="rId7" Type="http://schemas.openxmlformats.org/officeDocument/2006/relationships/image" Target="../media/image11.wmf"/><Relationship Id="rId6" Type="http://schemas.openxmlformats.org/officeDocument/2006/relationships/image" Target="../media/image10.wmf"/><Relationship Id="rId5" Type="http://schemas.openxmlformats.org/officeDocument/2006/relationships/image" Target="../media/image9.wmf"/><Relationship Id="rId4" Type="http://schemas.openxmlformats.org/officeDocument/2006/relationships/image" Target="../media/image8.wmf"/><Relationship Id="rId3" Type="http://schemas.openxmlformats.org/officeDocument/2006/relationships/image" Target="../media/image7.wmf"/><Relationship Id="rId2" Type="http://schemas.openxmlformats.org/officeDocument/2006/relationships/image" Target="../media/image6.wmf"/><Relationship Id="rId13" Type="http://schemas.openxmlformats.org/officeDocument/2006/relationships/image" Target="../media/image17.wmf"/><Relationship Id="rId12" Type="http://schemas.openxmlformats.org/officeDocument/2006/relationships/image" Target="../media/image16.wmf"/><Relationship Id="rId11" Type="http://schemas.openxmlformats.org/officeDocument/2006/relationships/image" Target="../media/image15.wmf"/><Relationship Id="rId10" Type="http://schemas.openxmlformats.org/officeDocument/2006/relationships/image" Target="../media/image14.wmf"/><Relationship Id="rId1" Type="http://schemas.openxmlformats.org/officeDocument/2006/relationships/image" Target="../media/image5.w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wmf"/><Relationship Id="rId1" Type="http://schemas.openxmlformats.org/officeDocument/2006/relationships/image" Target="../media/image18.w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wmf"/><Relationship Id="rId1" Type="http://schemas.openxmlformats.org/officeDocument/2006/relationships/image" Target="../media/image20.w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wmf"/><Relationship Id="rId2" Type="http://schemas.openxmlformats.org/officeDocument/2006/relationships/image" Target="../media/image24.wmf"/><Relationship Id="rId1" Type="http://schemas.openxmlformats.org/officeDocument/2006/relationships/image" Target="../media/image23.wmf"/></Relationships>
</file>

<file path=xl/drawings/_rels/vmlDrawing6.vml.rels><?xml version="1.0" encoding="UTF-8" standalone="yes"?>
<Relationships xmlns="http://schemas.openxmlformats.org/package/2006/relationships"><Relationship Id="rId6" Type="http://schemas.openxmlformats.org/officeDocument/2006/relationships/image" Target="../media/image31.wmf"/><Relationship Id="rId5" Type="http://schemas.openxmlformats.org/officeDocument/2006/relationships/image" Target="../media/image30.wmf"/><Relationship Id="rId4" Type="http://schemas.openxmlformats.org/officeDocument/2006/relationships/image" Target="../media/image29.wmf"/><Relationship Id="rId3" Type="http://schemas.openxmlformats.org/officeDocument/2006/relationships/image" Target="../media/image28.wmf"/><Relationship Id="rId2" Type="http://schemas.openxmlformats.org/officeDocument/2006/relationships/image" Target="../media/image27.wmf"/><Relationship Id="rId1" Type="http://schemas.openxmlformats.org/officeDocument/2006/relationships/image" Target="../media/image26.w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w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w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w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w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w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w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447674</xdr:colOff>
      <xdr:row>34</xdr:row>
      <xdr:rowOff>142874</xdr:rowOff>
    </xdr:to>
    <xdr:pic>
      <xdr:nvPicPr>
        <xdr:cNvPr id="2" name="图片 1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561840" cy="5971540"/>
        </a:xfrm>
        <a:prstGeom prst="rect">
          <a:avLst/>
        </a:prstGeom>
      </xdr:spPr>
    </xdr:pic>
    <xdr:clientData/>
  </xdr:twoCellAnchor>
  <xdr:oneCellAnchor>
    <xdr:from>
      <xdr:col>1</xdr:col>
      <xdr:colOff>523875</xdr:colOff>
      <xdr:row>6</xdr:row>
      <xdr:rowOff>114299</xdr:rowOff>
    </xdr:from>
    <xdr:ext cx="2305050" cy="3505201"/>
    <xdr:sp>
      <xdr:nvSpPr>
        <xdr:cNvPr id="3" name="TextBox 2"/>
        <xdr:cNvSpPr txBox="1"/>
      </xdr:nvSpPr>
      <xdr:spPr>
        <a:xfrm>
          <a:off x="1209675" y="1142365"/>
          <a:ext cx="2305050" cy="35058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 altLang="zh-CN" sz="1400">
            <a:latin typeface="楷体" panose="02010609060101010101" pitchFamily="49" charset="-122"/>
            <a:ea typeface="楷体" panose="02010609060101010101" pitchFamily="49" charset="-122"/>
          </a:endParaRPr>
        </a:p>
        <a:p>
          <a:endParaRPr lang="en-US" altLang="zh-CN" sz="1400">
            <a:latin typeface="楷体" panose="02010609060101010101" pitchFamily="49" charset="-122"/>
            <a:ea typeface="楷体" panose="02010609060101010101" pitchFamily="49" charset="-122"/>
          </a:endParaRPr>
        </a:p>
        <a:p>
          <a:r>
            <a:rPr lang="zh-CN" altLang="en-US" sz="1400">
              <a:latin typeface="楷体" panose="02010609060101010101" pitchFamily="49" charset="-122"/>
              <a:ea typeface="楷体" panose="02010609060101010101" pitchFamily="49" charset="-122"/>
            </a:rPr>
            <a:t>账套主管：程小疯</a:t>
          </a:r>
          <a:r>
            <a:rPr lang="en-US" altLang="zh-CN" sz="1400">
              <a:latin typeface="楷体" panose="02010609060101010101" pitchFamily="49" charset="-122"/>
              <a:ea typeface="楷体" panose="02010609060101010101" pitchFamily="49" charset="-122"/>
            </a:rPr>
            <a:t>1</a:t>
          </a:r>
          <a:r>
            <a:rPr lang="zh-CN" altLang="en-US" sz="1400">
              <a:latin typeface="楷体" panose="02010609060101010101" pitchFamily="49" charset="-122"/>
              <a:ea typeface="楷体" panose="02010609060101010101" pitchFamily="49" charset="-122"/>
            </a:rPr>
            <a:t>号</a:t>
          </a:r>
          <a:endParaRPr lang="en-US" altLang="zh-CN" sz="1400">
            <a:latin typeface="楷体" panose="02010609060101010101" pitchFamily="49" charset="-122"/>
            <a:ea typeface="楷体" panose="02010609060101010101" pitchFamily="49" charset="-122"/>
          </a:endParaRPr>
        </a:p>
        <a:p>
          <a:endParaRPr lang="en-US" altLang="zh-CN" sz="1400">
            <a:latin typeface="楷体" panose="02010609060101010101" pitchFamily="49" charset="-122"/>
            <a:ea typeface="楷体" panose="02010609060101010101" pitchFamily="49" charset="-122"/>
          </a:endParaRPr>
        </a:p>
        <a:p>
          <a:r>
            <a:rPr lang="zh-CN" altLang="en-US" sz="1400">
              <a:latin typeface="楷体" panose="02010609060101010101" pitchFamily="49" charset="-122"/>
              <a:ea typeface="楷体" panose="02010609060101010101" pitchFamily="49" charset="-122"/>
            </a:rPr>
            <a:t>密码：</a:t>
          </a:r>
          <a:r>
            <a:rPr lang="en-US" altLang="zh-CN" sz="1400">
              <a:latin typeface="楷体" panose="02010609060101010101" pitchFamily="49" charset="-122"/>
              <a:ea typeface="楷体" panose="02010609060101010101" pitchFamily="49" charset="-122"/>
            </a:rPr>
            <a:t>001</a:t>
          </a:r>
          <a:endParaRPr lang="en-US" altLang="zh-CN" sz="1400">
            <a:latin typeface="楷体" panose="02010609060101010101" pitchFamily="49" charset="-122"/>
            <a:ea typeface="楷体" panose="02010609060101010101" pitchFamily="49" charset="-122"/>
          </a:endParaRPr>
        </a:p>
        <a:p>
          <a:endParaRPr lang="en-US" altLang="zh-CN" sz="1400">
            <a:latin typeface="楷体" panose="02010609060101010101" pitchFamily="49" charset="-122"/>
            <a:ea typeface="楷体" panose="02010609060101010101" pitchFamily="49" charset="-122"/>
          </a:endParaRPr>
        </a:p>
        <a:p>
          <a:r>
            <a:rPr lang="zh-CN" altLang="en-US" sz="1400">
              <a:latin typeface="楷体" panose="02010609060101010101" pitchFamily="49" charset="-122"/>
              <a:ea typeface="楷体" panose="02010609060101010101" pitchFamily="49" charset="-122"/>
            </a:rPr>
            <a:t>总账会计：程小疯</a:t>
          </a:r>
          <a:r>
            <a:rPr lang="en-US" altLang="zh-CN" sz="1400">
              <a:latin typeface="楷体" panose="02010609060101010101" pitchFamily="49" charset="-122"/>
              <a:ea typeface="楷体" panose="02010609060101010101" pitchFamily="49" charset="-122"/>
            </a:rPr>
            <a:t>2</a:t>
          </a:r>
          <a:r>
            <a:rPr lang="zh-CN" altLang="en-US" sz="1400">
              <a:latin typeface="楷体" panose="02010609060101010101" pitchFamily="49" charset="-122"/>
              <a:ea typeface="楷体" panose="02010609060101010101" pitchFamily="49" charset="-122"/>
            </a:rPr>
            <a:t>号</a:t>
          </a:r>
          <a:endParaRPr lang="en-US" altLang="zh-CN" sz="1400">
            <a:latin typeface="楷体" panose="02010609060101010101" pitchFamily="49" charset="-122"/>
            <a:ea typeface="楷体" panose="02010609060101010101" pitchFamily="49" charset="-122"/>
          </a:endParaRPr>
        </a:p>
        <a:p>
          <a:endParaRPr lang="en-US" altLang="zh-CN" sz="1400">
            <a:latin typeface="楷体" panose="02010609060101010101" pitchFamily="49" charset="-122"/>
            <a:ea typeface="楷体" panose="02010609060101010101" pitchFamily="49" charset="-122"/>
          </a:endParaRPr>
        </a:p>
        <a:p>
          <a:r>
            <a:rPr lang="zh-CN" altLang="en-US" sz="1400">
              <a:latin typeface="楷体" panose="02010609060101010101" pitchFamily="49" charset="-122"/>
              <a:ea typeface="楷体" panose="02010609060101010101" pitchFamily="49" charset="-122"/>
            </a:rPr>
            <a:t>密码：</a:t>
          </a:r>
          <a:r>
            <a:rPr lang="en-US" altLang="zh-CN" sz="1400">
              <a:latin typeface="楷体" panose="02010609060101010101" pitchFamily="49" charset="-122"/>
              <a:ea typeface="楷体" panose="02010609060101010101" pitchFamily="49" charset="-122"/>
            </a:rPr>
            <a:t>002</a:t>
          </a:r>
          <a:endParaRPr lang="en-US" altLang="zh-CN" sz="1400">
            <a:latin typeface="楷体" panose="02010609060101010101" pitchFamily="49" charset="-122"/>
            <a:ea typeface="楷体" panose="02010609060101010101" pitchFamily="49" charset="-122"/>
          </a:endParaRPr>
        </a:p>
        <a:p>
          <a:endParaRPr lang="en-US" altLang="zh-CN" sz="1400">
            <a:latin typeface="楷体" panose="02010609060101010101" pitchFamily="49" charset="-122"/>
            <a:ea typeface="楷体" panose="02010609060101010101" pitchFamily="49" charset="-122"/>
          </a:endParaRPr>
        </a:p>
        <a:p>
          <a:r>
            <a:rPr lang="zh-CN" altLang="en-US" sz="1400">
              <a:latin typeface="楷体" panose="02010609060101010101" pitchFamily="49" charset="-122"/>
              <a:ea typeface="楷体" panose="02010609060101010101" pitchFamily="49" charset="-122"/>
            </a:rPr>
            <a:t>出纳：</a:t>
          </a:r>
          <a:r>
            <a:rPr lang="en-US" altLang="zh-CN" sz="1400" baseline="0">
              <a:latin typeface="楷体" panose="02010609060101010101" pitchFamily="49" charset="-122"/>
              <a:ea typeface="楷体" panose="02010609060101010101" pitchFamily="49" charset="-122"/>
            </a:rPr>
            <a:t>    </a:t>
          </a:r>
          <a:r>
            <a:rPr lang="zh-CN" altLang="en-US" sz="1400" baseline="0">
              <a:latin typeface="楷体" panose="02010609060101010101" pitchFamily="49" charset="-122"/>
              <a:ea typeface="楷体" panose="02010609060101010101" pitchFamily="49" charset="-122"/>
            </a:rPr>
            <a:t>程小疯</a:t>
          </a:r>
          <a:r>
            <a:rPr lang="en-US" altLang="zh-CN" sz="1400" baseline="0">
              <a:latin typeface="楷体" panose="02010609060101010101" pitchFamily="49" charset="-122"/>
              <a:ea typeface="楷体" panose="02010609060101010101" pitchFamily="49" charset="-122"/>
            </a:rPr>
            <a:t>3</a:t>
          </a:r>
          <a:r>
            <a:rPr lang="zh-CN" altLang="en-US" sz="1400" baseline="0">
              <a:latin typeface="楷体" panose="02010609060101010101" pitchFamily="49" charset="-122"/>
              <a:ea typeface="楷体" panose="02010609060101010101" pitchFamily="49" charset="-122"/>
            </a:rPr>
            <a:t>号</a:t>
          </a:r>
          <a:endParaRPr lang="en-US" altLang="zh-CN" sz="1400" baseline="0">
            <a:latin typeface="楷体" panose="02010609060101010101" pitchFamily="49" charset="-122"/>
            <a:ea typeface="楷体" panose="02010609060101010101" pitchFamily="49" charset="-122"/>
          </a:endParaRPr>
        </a:p>
        <a:p>
          <a:endParaRPr lang="en-US" altLang="zh-CN" sz="1400" baseline="0">
            <a:latin typeface="楷体" panose="02010609060101010101" pitchFamily="49" charset="-122"/>
            <a:ea typeface="楷体" panose="02010609060101010101" pitchFamily="49" charset="-122"/>
          </a:endParaRPr>
        </a:p>
        <a:p>
          <a:r>
            <a:rPr lang="zh-CN" altLang="en-US" sz="1400">
              <a:latin typeface="楷体" panose="02010609060101010101" pitchFamily="49" charset="-122"/>
              <a:ea typeface="楷体" panose="02010609060101010101" pitchFamily="49" charset="-122"/>
            </a:rPr>
            <a:t>密码：</a:t>
          </a:r>
          <a:r>
            <a:rPr lang="en-US" altLang="zh-CN" sz="1400">
              <a:latin typeface="楷体" panose="02010609060101010101" pitchFamily="49" charset="-122"/>
              <a:ea typeface="楷体" panose="02010609060101010101" pitchFamily="49" charset="-122"/>
            </a:rPr>
            <a:t>003</a:t>
          </a:r>
          <a:endParaRPr lang="zh-CN" altLang="en-US" sz="1400">
            <a:latin typeface="楷体" panose="02010609060101010101" pitchFamily="49" charset="-122"/>
            <a:ea typeface="楷体" panose="02010609060101010101" pitchFamily="49" charset="-122"/>
          </a:endParaRPr>
        </a:p>
      </xdr:txBody>
    </xdr:sp>
    <xdr:clientData/>
  </xdr:oneCellAnchor>
  <xdr:twoCellAnchor editAs="oneCell">
    <xdr:from>
      <xdr:col>13</xdr:col>
      <xdr:colOff>21864</xdr:colOff>
      <xdr:row>0</xdr:row>
      <xdr:rowOff>0</xdr:rowOff>
    </xdr:from>
    <xdr:to>
      <xdr:col>18</xdr:col>
      <xdr:colOff>428625</xdr:colOff>
      <xdr:row>34</xdr:row>
      <xdr:rowOff>133349</xdr:rowOff>
    </xdr:to>
    <xdr:pic>
      <xdr:nvPicPr>
        <xdr:cNvPr id="4" name="图片 3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36990" y="0"/>
          <a:ext cx="3836035" cy="5962015"/>
        </a:xfrm>
        <a:prstGeom prst="rect">
          <a:avLst/>
        </a:prstGeom>
      </xdr:spPr>
    </xdr:pic>
    <xdr:clientData/>
  </xdr:twoCellAnchor>
  <xdr:oneCellAnchor>
    <xdr:from>
      <xdr:col>8</xdr:col>
      <xdr:colOff>38101</xdr:colOff>
      <xdr:row>7</xdr:row>
      <xdr:rowOff>66674</xdr:rowOff>
    </xdr:from>
    <xdr:ext cx="4152900" cy="3276601"/>
    <xdr:sp>
      <xdr:nvSpPr>
        <xdr:cNvPr id="12" name="TextBox 11"/>
        <xdr:cNvSpPr txBox="1"/>
      </xdr:nvSpPr>
      <xdr:spPr>
        <a:xfrm>
          <a:off x="5524500" y="1266190"/>
          <a:ext cx="4152900" cy="32772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altLang="zh-CN" sz="1600">
              <a:solidFill>
                <a:schemeClr val="tx1"/>
              </a:solidFill>
              <a:effectLst/>
              <a:latin typeface="楷体" panose="02010609060101010101" pitchFamily="49" charset="-122"/>
              <a:ea typeface="楷体" panose="02010609060101010101" pitchFamily="49" charset="-122"/>
              <a:cs typeface="+mn-cs"/>
            </a:rPr>
            <a:t>1,</a:t>
          </a:r>
          <a:r>
            <a:rPr lang="zh-CN" altLang="zh-CN" sz="1600">
              <a:solidFill>
                <a:schemeClr val="tx1"/>
              </a:solidFill>
              <a:effectLst/>
              <a:latin typeface="楷体" panose="02010609060101010101" pitchFamily="49" charset="-122"/>
              <a:ea typeface="楷体" panose="02010609060101010101" pitchFamily="49" charset="-122"/>
              <a:cs typeface="+mn-cs"/>
            </a:rPr>
            <a:t>设置用户的切换，实现不同权限下的功能</a:t>
          </a:r>
          <a:endParaRPr lang="zh-CN" altLang="zh-CN" sz="1600">
            <a:effectLst/>
            <a:latin typeface="楷体" panose="02010609060101010101" pitchFamily="49" charset="-122"/>
            <a:ea typeface="楷体" panose="02010609060101010101" pitchFamily="49" charset="-122"/>
          </a:endParaRPr>
        </a:p>
        <a:p>
          <a:endParaRPr lang="en-US" altLang="zh-CN" sz="1600">
            <a:solidFill>
              <a:schemeClr val="tx1"/>
            </a:solidFill>
            <a:effectLst/>
            <a:latin typeface="楷体" panose="02010609060101010101" pitchFamily="49" charset="-122"/>
            <a:ea typeface="楷体" panose="02010609060101010101" pitchFamily="49" charset="-122"/>
            <a:cs typeface="+mn-cs"/>
          </a:endParaRPr>
        </a:p>
        <a:p>
          <a:r>
            <a:rPr lang="en-US" altLang="zh-CN" sz="1600">
              <a:solidFill>
                <a:schemeClr val="tx1"/>
              </a:solidFill>
              <a:effectLst/>
              <a:latin typeface="楷体" panose="02010609060101010101" pitchFamily="49" charset="-122"/>
              <a:ea typeface="楷体" panose="02010609060101010101" pitchFamily="49" charset="-122"/>
              <a:cs typeface="+mn-cs"/>
            </a:rPr>
            <a:t>2</a:t>
          </a:r>
          <a:r>
            <a:rPr lang="zh-CN" altLang="zh-CN" sz="1600">
              <a:solidFill>
                <a:schemeClr val="tx1"/>
              </a:solidFill>
              <a:effectLst/>
              <a:latin typeface="楷体" panose="02010609060101010101" pitchFamily="49" charset="-122"/>
              <a:ea typeface="楷体" panose="02010609060101010101" pitchFamily="49" charset="-122"/>
              <a:cs typeface="+mn-cs"/>
            </a:rPr>
            <a:t>，查询会计科目并可新增会计科目</a:t>
          </a:r>
          <a:endParaRPr lang="zh-CN" altLang="zh-CN" sz="1600">
            <a:effectLst/>
            <a:latin typeface="楷体" panose="02010609060101010101" pitchFamily="49" charset="-122"/>
            <a:ea typeface="楷体" panose="02010609060101010101" pitchFamily="49" charset="-122"/>
          </a:endParaRPr>
        </a:p>
        <a:p>
          <a:endParaRPr lang="en-US" altLang="zh-CN" sz="1600">
            <a:solidFill>
              <a:schemeClr val="tx1"/>
            </a:solidFill>
            <a:effectLst/>
            <a:latin typeface="楷体" panose="02010609060101010101" pitchFamily="49" charset="-122"/>
            <a:ea typeface="楷体" panose="02010609060101010101" pitchFamily="49" charset="-122"/>
            <a:cs typeface="+mn-cs"/>
          </a:endParaRPr>
        </a:p>
        <a:p>
          <a:r>
            <a:rPr lang="en-US" altLang="zh-CN" sz="1600">
              <a:solidFill>
                <a:schemeClr val="tx1"/>
              </a:solidFill>
              <a:effectLst/>
              <a:latin typeface="楷体" panose="02010609060101010101" pitchFamily="49" charset="-122"/>
              <a:ea typeface="楷体" panose="02010609060101010101" pitchFamily="49" charset="-122"/>
              <a:cs typeface="+mn-cs"/>
            </a:rPr>
            <a:t>3.</a:t>
          </a:r>
          <a:r>
            <a:rPr lang="zh-CN" altLang="zh-CN" sz="1600">
              <a:solidFill>
                <a:schemeClr val="tx1"/>
              </a:solidFill>
              <a:effectLst/>
              <a:latin typeface="楷体" panose="02010609060101010101" pitchFamily="49" charset="-122"/>
              <a:ea typeface="楷体" panose="02010609060101010101" pitchFamily="49" charset="-122"/>
              <a:cs typeface="+mn-cs"/>
            </a:rPr>
            <a:t>录入会计凭证并可以对凭证进行修改</a:t>
          </a:r>
          <a:endParaRPr lang="zh-CN" altLang="zh-CN" sz="1600">
            <a:effectLst/>
            <a:latin typeface="楷体" panose="02010609060101010101" pitchFamily="49" charset="-122"/>
            <a:ea typeface="楷体" panose="02010609060101010101" pitchFamily="49" charset="-122"/>
          </a:endParaRPr>
        </a:p>
        <a:p>
          <a:endParaRPr lang="en-US" altLang="zh-CN" sz="1600">
            <a:solidFill>
              <a:schemeClr val="tx1"/>
            </a:solidFill>
            <a:effectLst/>
            <a:latin typeface="楷体" panose="02010609060101010101" pitchFamily="49" charset="-122"/>
            <a:ea typeface="楷体" panose="02010609060101010101" pitchFamily="49" charset="-122"/>
            <a:cs typeface="+mn-cs"/>
          </a:endParaRPr>
        </a:p>
        <a:p>
          <a:r>
            <a:rPr lang="en-US" altLang="zh-CN" sz="1600">
              <a:solidFill>
                <a:schemeClr val="tx1"/>
              </a:solidFill>
              <a:effectLst/>
              <a:latin typeface="楷体" panose="02010609060101010101" pitchFamily="49" charset="-122"/>
              <a:ea typeface="楷体" panose="02010609060101010101" pitchFamily="49" charset="-122"/>
              <a:cs typeface="+mn-cs"/>
            </a:rPr>
            <a:t>4.</a:t>
          </a:r>
          <a:r>
            <a:rPr lang="zh-CN" altLang="zh-CN" sz="1600">
              <a:solidFill>
                <a:schemeClr val="tx1"/>
              </a:solidFill>
              <a:effectLst/>
              <a:latin typeface="楷体" panose="02010609060101010101" pitchFamily="49" charset="-122"/>
              <a:ea typeface="楷体" panose="02010609060101010101" pitchFamily="49" charset="-122"/>
              <a:cs typeface="+mn-cs"/>
            </a:rPr>
            <a:t>录入期初余额并可以进行试算</a:t>
          </a:r>
          <a:endParaRPr lang="zh-CN" altLang="zh-CN" sz="1600">
            <a:effectLst/>
            <a:latin typeface="楷体" panose="02010609060101010101" pitchFamily="49" charset="-122"/>
            <a:ea typeface="楷体" panose="02010609060101010101" pitchFamily="49" charset="-122"/>
          </a:endParaRPr>
        </a:p>
        <a:p>
          <a:endParaRPr lang="en-US" altLang="zh-CN" sz="1600">
            <a:solidFill>
              <a:schemeClr val="tx1"/>
            </a:solidFill>
            <a:effectLst/>
            <a:latin typeface="楷体" panose="02010609060101010101" pitchFamily="49" charset="-122"/>
            <a:ea typeface="楷体" panose="02010609060101010101" pitchFamily="49" charset="-122"/>
            <a:cs typeface="+mn-cs"/>
          </a:endParaRPr>
        </a:p>
        <a:p>
          <a:r>
            <a:rPr lang="en-US" altLang="zh-CN" sz="1600">
              <a:solidFill>
                <a:schemeClr val="tx1"/>
              </a:solidFill>
              <a:effectLst/>
              <a:latin typeface="楷体" panose="02010609060101010101" pitchFamily="49" charset="-122"/>
              <a:ea typeface="楷体" panose="02010609060101010101" pitchFamily="49" charset="-122"/>
              <a:cs typeface="+mn-cs"/>
            </a:rPr>
            <a:t>5,</a:t>
          </a:r>
          <a:r>
            <a:rPr lang="zh-CN" altLang="zh-CN" sz="1600">
              <a:solidFill>
                <a:schemeClr val="tx1"/>
              </a:solidFill>
              <a:effectLst/>
              <a:latin typeface="楷体" panose="02010609060101010101" pitchFamily="49" charset="-122"/>
              <a:ea typeface="楷体" panose="02010609060101010101" pitchFamily="49" charset="-122"/>
              <a:cs typeface="+mn-cs"/>
            </a:rPr>
            <a:t>自动记账</a:t>
          </a:r>
          <a:endParaRPr lang="zh-CN" altLang="zh-CN" sz="1600">
            <a:effectLst/>
            <a:latin typeface="楷体" panose="02010609060101010101" pitchFamily="49" charset="-122"/>
            <a:ea typeface="楷体" panose="02010609060101010101" pitchFamily="49" charset="-122"/>
          </a:endParaRPr>
        </a:p>
        <a:p>
          <a:endParaRPr lang="en-US" altLang="zh-CN" sz="1600">
            <a:solidFill>
              <a:schemeClr val="tx1"/>
            </a:solidFill>
            <a:effectLst/>
            <a:latin typeface="楷体" panose="02010609060101010101" pitchFamily="49" charset="-122"/>
            <a:ea typeface="楷体" panose="02010609060101010101" pitchFamily="49" charset="-122"/>
            <a:cs typeface="+mn-cs"/>
          </a:endParaRPr>
        </a:p>
        <a:p>
          <a:r>
            <a:rPr lang="en-US" altLang="zh-CN" sz="1600">
              <a:solidFill>
                <a:schemeClr val="tx1"/>
              </a:solidFill>
              <a:effectLst/>
              <a:latin typeface="楷体" panose="02010609060101010101" pitchFamily="49" charset="-122"/>
              <a:ea typeface="楷体" panose="02010609060101010101" pitchFamily="49" charset="-122"/>
              <a:cs typeface="+mn-cs"/>
            </a:rPr>
            <a:t>6.</a:t>
          </a:r>
          <a:r>
            <a:rPr lang="zh-CN" altLang="zh-CN" sz="1600">
              <a:solidFill>
                <a:schemeClr val="tx1"/>
              </a:solidFill>
              <a:effectLst/>
              <a:latin typeface="楷体" panose="02010609060101010101" pitchFamily="49" charset="-122"/>
              <a:ea typeface="楷体" panose="02010609060101010101" pitchFamily="49" charset="-122"/>
              <a:cs typeface="+mn-cs"/>
            </a:rPr>
            <a:t>财务表的生</a:t>
          </a:r>
          <a:r>
            <a:rPr lang="zh-CN" altLang="en-US" sz="1600">
              <a:solidFill>
                <a:schemeClr val="tx1"/>
              </a:solidFill>
              <a:effectLst/>
              <a:latin typeface="楷体" panose="02010609060101010101" pitchFamily="49" charset="-122"/>
              <a:ea typeface="楷体" panose="02010609060101010101" pitchFamily="49" charset="-122"/>
              <a:cs typeface="+mn-cs"/>
            </a:rPr>
            <a:t>成</a:t>
          </a:r>
          <a:endParaRPr lang="zh-CN" altLang="zh-CN" sz="1600">
            <a:effectLst/>
            <a:latin typeface="楷体" panose="02010609060101010101" pitchFamily="49" charset="-122"/>
            <a:ea typeface="楷体" panose="02010609060101010101" pitchFamily="49" charset="-122"/>
          </a:endParaRPr>
        </a:p>
      </xdr:txBody>
    </xdr:sp>
    <xdr:clientData/>
  </xdr:oneCellAnchor>
  <xdr:twoCellAnchor>
    <xdr:from>
      <xdr:col>9</xdr:col>
      <xdr:colOff>647700</xdr:colOff>
      <xdr:row>0</xdr:row>
      <xdr:rowOff>47625</xdr:rowOff>
    </xdr:from>
    <xdr:to>
      <xdr:col>12</xdr:col>
      <xdr:colOff>457200</xdr:colOff>
      <xdr:row>4</xdr:row>
      <xdr:rowOff>152400</xdr:rowOff>
    </xdr:to>
    <xdr:sp>
      <xdr:nvSpPr>
        <xdr:cNvPr id="13" name="椭圆 12"/>
        <xdr:cNvSpPr/>
      </xdr:nvSpPr>
      <xdr:spPr>
        <a:xfrm>
          <a:off x="6819900" y="47625"/>
          <a:ext cx="1866900" cy="790575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400">
              <a:solidFill>
                <a:schemeClr val="tx1"/>
              </a:solidFill>
              <a:effectLst/>
              <a:latin typeface="楷体" panose="02010609060101010101" pitchFamily="49" charset="-122"/>
              <a:ea typeface="楷体" panose="02010609060101010101" pitchFamily="49" charset="-122"/>
              <a:cs typeface="+mn-cs"/>
            </a:rPr>
            <a:t> 程小疯的财务系统</a:t>
          </a:r>
          <a:r>
            <a:rPr lang="en-US" altLang="zh-CN" sz="1400">
              <a:solidFill>
                <a:schemeClr val="tx1"/>
              </a:solidFill>
              <a:effectLst/>
              <a:latin typeface="楷体" panose="02010609060101010101" pitchFamily="49" charset="-122"/>
              <a:ea typeface="楷体" panose="02010609060101010101" pitchFamily="49" charset="-122"/>
              <a:cs typeface="+mn-cs"/>
            </a:rPr>
            <a:t>~</a:t>
          </a:r>
          <a:r>
            <a:rPr lang="zh-CN" altLang="en-US" sz="1100" b="0"/>
            <a:t>的</a:t>
          </a:r>
          <a:endParaRPr lang="zh-CN" altLang="en-US" sz="1100" b="0"/>
        </a:p>
      </xdr:txBody>
    </xdr:sp>
    <xdr:clientData/>
  </xdr:twoCellAnchor>
  <xdr:twoCellAnchor>
    <xdr:from>
      <xdr:col>14</xdr:col>
      <xdr:colOff>19050</xdr:colOff>
      <xdr:row>2</xdr:row>
      <xdr:rowOff>123825</xdr:rowOff>
    </xdr:from>
    <xdr:to>
      <xdr:col>14</xdr:col>
      <xdr:colOff>419100</xdr:colOff>
      <xdr:row>4</xdr:row>
      <xdr:rowOff>104775</xdr:rowOff>
    </xdr:to>
    <xdr:sp>
      <xdr:nvSpPr>
        <xdr:cNvPr id="14" name="椭圆 13"/>
        <xdr:cNvSpPr/>
      </xdr:nvSpPr>
      <xdr:spPr>
        <a:xfrm>
          <a:off x="9620250" y="466725"/>
          <a:ext cx="400050" cy="323850"/>
        </a:xfrm>
        <a:prstGeom prst="ellipse">
          <a:avLst/>
        </a:prstGeom>
        <a:solidFill>
          <a:sysClr val="window" lastClr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12</xdr:col>
      <xdr:colOff>561975</xdr:colOff>
      <xdr:row>1</xdr:row>
      <xdr:rowOff>28575</xdr:rowOff>
    </xdr:from>
    <xdr:to>
      <xdr:col>14</xdr:col>
      <xdr:colOff>47625</xdr:colOff>
      <xdr:row>3</xdr:row>
      <xdr:rowOff>123825</xdr:rowOff>
    </xdr:to>
    <xdr:sp>
      <xdr:nvSpPr>
        <xdr:cNvPr id="15" name="椭圆 14"/>
        <xdr:cNvSpPr/>
      </xdr:nvSpPr>
      <xdr:spPr>
        <a:xfrm>
          <a:off x="8791575" y="200025"/>
          <a:ext cx="857250" cy="438150"/>
        </a:xfrm>
        <a:prstGeom prst="ellipse">
          <a:avLst/>
        </a:prstGeom>
        <a:solidFill>
          <a:sysClr val="window" lastClr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27</xdr:row>
          <xdr:rowOff>133350</xdr:rowOff>
        </xdr:from>
        <xdr:to>
          <xdr:col>10</xdr:col>
          <xdr:colOff>228600</xdr:colOff>
          <xdr:row>30</xdr:row>
          <xdr:rowOff>9525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5629275" y="4762500"/>
              <a:ext cx="145732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6</xdr:row>
          <xdr:rowOff>114300</xdr:rowOff>
        </xdr:from>
        <xdr:to>
          <xdr:col>2</xdr:col>
          <xdr:colOff>514350</xdr:colOff>
          <xdr:row>6</xdr:row>
          <xdr:rowOff>371475</xdr:rowOff>
        </xdr:to>
        <xdr:sp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1038225" y="1428750"/>
              <a:ext cx="838200" cy="257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</xdr:colOff>
          <xdr:row>6</xdr:row>
          <xdr:rowOff>104775</xdr:rowOff>
        </xdr:from>
        <xdr:to>
          <xdr:col>4</xdr:col>
          <xdr:colOff>609600</xdr:colOff>
          <xdr:row>6</xdr:row>
          <xdr:rowOff>361950</xdr:rowOff>
        </xdr:to>
        <xdr:sp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2505075" y="1419225"/>
              <a:ext cx="838200" cy="257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638175</xdr:colOff>
          <xdr:row>6</xdr:row>
          <xdr:rowOff>85725</xdr:rowOff>
        </xdr:from>
        <xdr:to>
          <xdr:col>7</xdr:col>
          <xdr:colOff>104775</xdr:colOff>
          <xdr:row>6</xdr:row>
          <xdr:rowOff>342900</xdr:rowOff>
        </xdr:to>
        <xdr:sp>
          <xdr:nvSpPr>
            <xdr:cNvPr id="7171" name="CommandButton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4057650" y="1400175"/>
              <a:ext cx="838200" cy="257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352425</xdr:colOff>
          <xdr:row>8</xdr:row>
          <xdr:rowOff>114300</xdr:rowOff>
        </xdr:from>
        <xdr:to>
          <xdr:col>2</xdr:col>
          <xdr:colOff>504825</xdr:colOff>
          <xdr:row>8</xdr:row>
          <xdr:rowOff>371475</xdr:rowOff>
        </xdr:to>
        <xdr:sp>
          <xdr:nvSpPr>
            <xdr:cNvPr id="7172" name="CommandButton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1028700" y="2352675"/>
              <a:ext cx="838200" cy="257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8</xdr:row>
          <xdr:rowOff>114300</xdr:rowOff>
        </xdr:from>
        <xdr:to>
          <xdr:col>4</xdr:col>
          <xdr:colOff>590550</xdr:colOff>
          <xdr:row>8</xdr:row>
          <xdr:rowOff>371475</xdr:rowOff>
        </xdr:to>
        <xdr:sp>
          <xdr:nvSpPr>
            <xdr:cNvPr id="7174" name="CommandButton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2486025" y="2352675"/>
              <a:ext cx="838200" cy="257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11</xdr:row>
          <xdr:rowOff>28575</xdr:rowOff>
        </xdr:from>
        <xdr:to>
          <xdr:col>2</xdr:col>
          <xdr:colOff>466725</xdr:colOff>
          <xdr:row>12</xdr:row>
          <xdr:rowOff>114300</xdr:rowOff>
        </xdr:to>
        <xdr:sp>
          <xdr:nvSpPr>
            <xdr:cNvPr id="7175" name="CommandButton5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990600" y="3324225"/>
              <a:ext cx="838200" cy="257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11</xdr:row>
          <xdr:rowOff>0</xdr:rowOff>
        </xdr:from>
        <xdr:to>
          <xdr:col>4</xdr:col>
          <xdr:colOff>542925</xdr:colOff>
          <xdr:row>12</xdr:row>
          <xdr:rowOff>85725</xdr:rowOff>
        </xdr:to>
        <xdr:sp>
          <xdr:nvSpPr>
            <xdr:cNvPr id="7176" name="CommandButton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>
            <a:xfrm>
              <a:off x="2438400" y="3295650"/>
              <a:ext cx="838200" cy="257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476250</xdr:colOff>
          <xdr:row>11</xdr:row>
          <xdr:rowOff>9525</xdr:rowOff>
        </xdr:from>
        <xdr:to>
          <xdr:col>6</xdr:col>
          <xdr:colOff>628650</xdr:colOff>
          <xdr:row>12</xdr:row>
          <xdr:rowOff>95250</xdr:rowOff>
        </xdr:to>
        <xdr:sp>
          <xdr:nvSpPr>
            <xdr:cNvPr id="7177" name="CommandButton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>
            <a:xfrm>
              <a:off x="3895725" y="3305175"/>
              <a:ext cx="838200" cy="257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13</xdr:row>
          <xdr:rowOff>95250</xdr:rowOff>
        </xdr:from>
        <xdr:to>
          <xdr:col>2</xdr:col>
          <xdr:colOff>457200</xdr:colOff>
          <xdr:row>13</xdr:row>
          <xdr:rowOff>352425</xdr:rowOff>
        </xdr:to>
        <xdr:sp>
          <xdr:nvSpPr>
            <xdr:cNvPr id="7178" name="CommandButton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981075" y="3743325"/>
              <a:ext cx="838200" cy="257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13</xdr:row>
          <xdr:rowOff>57150</xdr:rowOff>
        </xdr:from>
        <xdr:to>
          <xdr:col>4</xdr:col>
          <xdr:colOff>533400</xdr:colOff>
          <xdr:row>13</xdr:row>
          <xdr:rowOff>314325</xdr:rowOff>
        </xdr:to>
        <xdr:sp>
          <xdr:nvSpPr>
            <xdr:cNvPr id="7179" name="CommandButton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2428875" y="3705225"/>
              <a:ext cx="838200" cy="257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476250</xdr:colOff>
          <xdr:row>13</xdr:row>
          <xdr:rowOff>28575</xdr:rowOff>
        </xdr:from>
        <xdr:to>
          <xdr:col>6</xdr:col>
          <xdr:colOff>628650</xdr:colOff>
          <xdr:row>13</xdr:row>
          <xdr:rowOff>285750</xdr:rowOff>
        </xdr:to>
        <xdr:sp>
          <xdr:nvSpPr>
            <xdr:cNvPr id="7180" name="CommandButton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3895725" y="3676650"/>
              <a:ext cx="838200" cy="257175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9</xdr:col>
      <xdr:colOff>0</xdr:colOff>
      <xdr:row>1</xdr:row>
      <xdr:rowOff>161924</xdr:rowOff>
    </xdr:from>
    <xdr:to>
      <xdr:col>12</xdr:col>
      <xdr:colOff>276225</xdr:colOff>
      <xdr:row>9</xdr:row>
      <xdr:rowOff>13824</xdr:rowOff>
    </xdr:to>
    <xdr:pic>
      <xdr:nvPicPr>
        <xdr:cNvPr id="3" name="图片 2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332740"/>
          <a:ext cx="2781300" cy="2376170"/>
        </a:xfrm>
        <a:prstGeom prst="rect">
          <a:avLst/>
        </a:prstGeom>
      </xdr:spPr>
    </xdr:pic>
    <xdr:clientData/>
  </xdr:twoCellAnchor>
  <xdr:twoCellAnchor>
    <xdr:from>
      <xdr:col>10</xdr:col>
      <xdr:colOff>657226</xdr:colOff>
      <xdr:row>8</xdr:row>
      <xdr:rowOff>228601</xdr:rowOff>
    </xdr:from>
    <xdr:to>
      <xdr:col>11</xdr:col>
      <xdr:colOff>142876</xdr:colOff>
      <xdr:row>8</xdr:row>
      <xdr:rowOff>361951</xdr:rowOff>
    </xdr:to>
    <xdr:sp>
      <xdr:nvSpPr>
        <xdr:cNvPr id="4" name="椭圆 3"/>
        <xdr:cNvSpPr/>
      </xdr:nvSpPr>
      <xdr:spPr>
        <a:xfrm>
          <a:off x="7772400" y="2466975"/>
          <a:ext cx="171450" cy="133350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247651</xdr:colOff>
      <xdr:row>8</xdr:row>
      <xdr:rowOff>409575</xdr:rowOff>
    </xdr:from>
    <xdr:to>
      <xdr:col>11</xdr:col>
      <xdr:colOff>504825</xdr:colOff>
      <xdr:row>9</xdr:row>
      <xdr:rowOff>104774</xdr:rowOff>
    </xdr:to>
    <xdr:sp>
      <xdr:nvSpPr>
        <xdr:cNvPr id="19" name="椭圆 18"/>
        <xdr:cNvSpPr/>
      </xdr:nvSpPr>
      <xdr:spPr>
        <a:xfrm>
          <a:off x="8048625" y="2647950"/>
          <a:ext cx="257175" cy="151765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523875</xdr:colOff>
      <xdr:row>8</xdr:row>
      <xdr:rowOff>447674</xdr:rowOff>
    </xdr:from>
    <xdr:to>
      <xdr:col>14</xdr:col>
      <xdr:colOff>47625</xdr:colOff>
      <xdr:row>11</xdr:row>
      <xdr:rowOff>104775</xdr:rowOff>
    </xdr:to>
    <xdr:sp>
      <xdr:nvSpPr>
        <xdr:cNvPr id="20" name="椭圆 19"/>
        <xdr:cNvSpPr/>
      </xdr:nvSpPr>
      <xdr:spPr>
        <a:xfrm>
          <a:off x="8324850" y="2685415"/>
          <a:ext cx="1581150" cy="715010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200" b="1">
              <a:latin typeface="楷体" panose="02010609060101010101" pitchFamily="49" charset="-122"/>
              <a:ea typeface="楷体" panose="02010609060101010101" pitchFamily="49" charset="-122"/>
            </a:rPr>
            <a:t>  注意权限哟，二狗子</a:t>
          </a:r>
          <a:endParaRPr lang="zh-CN" altLang="en-US" sz="1200" b="1">
            <a:latin typeface="楷体" panose="02010609060101010101" pitchFamily="49" charset="-122"/>
            <a:ea typeface="楷体" panose="02010609060101010101" pitchFamily="49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13</xdr:row>
          <xdr:rowOff>114300</xdr:rowOff>
        </xdr:from>
        <xdr:to>
          <xdr:col>9</xdr:col>
          <xdr:colOff>1047750</xdr:colOff>
          <xdr:row>13</xdr:row>
          <xdr:rowOff>361950</xdr:rowOff>
        </xdr:to>
        <xdr:sp>
          <xdr:nvSpPr>
            <xdr:cNvPr id="7183" name="CommandButton12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6057900" y="3762375"/>
              <a:ext cx="97155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612775</xdr:colOff>
          <xdr:row>8</xdr:row>
          <xdr:rowOff>127000</xdr:rowOff>
        </xdr:from>
        <xdr:to>
          <xdr:col>7</xdr:col>
          <xdr:colOff>79375</xdr:colOff>
          <xdr:row>8</xdr:row>
          <xdr:rowOff>384175</xdr:rowOff>
        </xdr:to>
        <xdr:sp>
          <xdr:nvSpPr>
            <xdr:cNvPr id="7184" name="CommandButton13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4032250" y="2365375"/>
              <a:ext cx="838200" cy="2571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5</xdr:row>
          <xdr:rowOff>123825</xdr:rowOff>
        </xdr:from>
        <xdr:to>
          <xdr:col>9</xdr:col>
          <xdr:colOff>571500</xdr:colOff>
          <xdr:row>6</xdr:row>
          <xdr:rowOff>114300</xdr:rowOff>
        </xdr:to>
        <xdr:sp>
          <xdr:nvSpPr>
            <xdr:cNvPr id="1026" name="返回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11163300" y="981075"/>
              <a:ext cx="1057275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</xdr:row>
          <xdr:rowOff>152400</xdr:rowOff>
        </xdr:from>
        <xdr:to>
          <xdr:col>10</xdr:col>
          <xdr:colOff>133350</xdr:colOff>
          <xdr:row>4</xdr:row>
          <xdr:rowOff>57150</xdr:rowOff>
        </xdr:to>
        <xdr:sp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10839450" y="323850"/>
              <a:ext cx="1628775" cy="4191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0</xdr:row>
          <xdr:rowOff>161925</xdr:rowOff>
        </xdr:from>
        <xdr:to>
          <xdr:col>8</xdr:col>
          <xdr:colOff>133350</xdr:colOff>
          <xdr:row>3</xdr:row>
          <xdr:rowOff>19050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9258300" y="161925"/>
              <a:ext cx="104775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476250</xdr:colOff>
          <xdr:row>4</xdr:row>
          <xdr:rowOff>9525</xdr:rowOff>
        </xdr:from>
        <xdr:to>
          <xdr:col>8</xdr:col>
          <xdr:colOff>152400</xdr:colOff>
          <xdr:row>5</xdr:row>
          <xdr:rowOff>209550</xdr:rowOff>
        </xdr:to>
        <xdr:sp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9277350" y="695325"/>
              <a:ext cx="104775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</xdr:col>
      <xdr:colOff>590550</xdr:colOff>
      <xdr:row>0</xdr:row>
      <xdr:rowOff>76835</xdr:rowOff>
    </xdr:from>
    <xdr:to>
      <xdr:col>3</xdr:col>
      <xdr:colOff>297180</xdr:colOff>
      <xdr:row>1</xdr:row>
      <xdr:rowOff>908685</xdr:rowOff>
    </xdr:to>
    <xdr:pic>
      <xdr:nvPicPr>
        <xdr:cNvPr id="3" name="图片 2" descr="timg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3105150" y="76835"/>
          <a:ext cx="1078230" cy="10128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504825</xdr:colOff>
          <xdr:row>1</xdr:row>
          <xdr:rowOff>704850</xdr:rowOff>
        </xdr:from>
        <xdr:to>
          <xdr:col>18</xdr:col>
          <xdr:colOff>504825</xdr:colOff>
          <xdr:row>2</xdr:row>
          <xdr:rowOff>104775</xdr:rowOff>
        </xdr:to>
        <xdr:sp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11410950" y="885825"/>
              <a:ext cx="1371600" cy="4032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508000</xdr:colOff>
          <xdr:row>2</xdr:row>
          <xdr:rowOff>384175</xdr:rowOff>
        </xdr:from>
        <xdr:to>
          <xdr:col>18</xdr:col>
          <xdr:colOff>508000</xdr:colOff>
          <xdr:row>4</xdr:row>
          <xdr:rowOff>0</xdr:rowOff>
        </xdr:to>
        <xdr:sp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11414125" y="1568450"/>
              <a:ext cx="1371600" cy="4032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511175</xdr:colOff>
          <xdr:row>5</xdr:row>
          <xdr:rowOff>15875</xdr:rowOff>
        </xdr:from>
        <xdr:to>
          <xdr:col>18</xdr:col>
          <xdr:colOff>511175</xdr:colOff>
          <xdr:row>6</xdr:row>
          <xdr:rowOff>88900</xdr:rowOff>
        </xdr:to>
        <xdr:sp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11417300" y="2317750"/>
              <a:ext cx="1371600" cy="4032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</xdr:col>
      <xdr:colOff>590550</xdr:colOff>
      <xdr:row>0</xdr:row>
      <xdr:rowOff>76835</xdr:rowOff>
    </xdr:from>
    <xdr:to>
      <xdr:col>3</xdr:col>
      <xdr:colOff>297180</xdr:colOff>
      <xdr:row>1</xdr:row>
      <xdr:rowOff>908685</xdr:rowOff>
    </xdr:to>
    <xdr:pic>
      <xdr:nvPicPr>
        <xdr:cNvPr id="3" name="图片 2" descr="timg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3105150" y="76835"/>
          <a:ext cx="1078230" cy="10128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1</xdr:row>
          <xdr:rowOff>266700</xdr:rowOff>
        </xdr:from>
        <xdr:to>
          <xdr:col>18</xdr:col>
          <xdr:colOff>323850</xdr:colOff>
          <xdr:row>1</xdr:row>
          <xdr:rowOff>638175</xdr:rowOff>
        </xdr:to>
        <xdr:sp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11563350" y="447675"/>
              <a:ext cx="118110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536575</xdr:colOff>
          <xdr:row>1</xdr:row>
          <xdr:rowOff>860425</xdr:rowOff>
        </xdr:from>
        <xdr:to>
          <xdr:col>18</xdr:col>
          <xdr:colOff>346075</xdr:colOff>
          <xdr:row>2</xdr:row>
          <xdr:rowOff>228600</xdr:rowOff>
        </xdr:to>
        <xdr:sp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11585575" y="1041400"/>
              <a:ext cx="118110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530225</xdr:colOff>
          <xdr:row>3</xdr:row>
          <xdr:rowOff>6350</xdr:rowOff>
        </xdr:from>
        <xdr:to>
          <xdr:col>18</xdr:col>
          <xdr:colOff>339725</xdr:colOff>
          <xdr:row>4</xdr:row>
          <xdr:rowOff>47625</xdr:rowOff>
        </xdr:to>
        <xdr:sp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11579225" y="1647825"/>
              <a:ext cx="118110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4</xdr:row>
          <xdr:rowOff>257175</xdr:rowOff>
        </xdr:from>
        <xdr:to>
          <xdr:col>18</xdr:col>
          <xdr:colOff>352425</xdr:colOff>
          <xdr:row>5</xdr:row>
          <xdr:rowOff>298450</xdr:rowOff>
        </xdr:to>
        <xdr:sp>
          <xdr:nvSpPr>
            <xdr:cNvPr id="11270" name="CommandButton4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11591925" y="2228850"/>
              <a:ext cx="118110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555625</xdr:colOff>
          <xdr:row>6</xdr:row>
          <xdr:rowOff>196850</xdr:rowOff>
        </xdr:from>
        <xdr:to>
          <xdr:col>18</xdr:col>
          <xdr:colOff>365125</xdr:colOff>
          <xdr:row>7</xdr:row>
          <xdr:rowOff>238125</xdr:rowOff>
        </xdr:to>
        <xdr:sp>
          <xdr:nvSpPr>
            <xdr:cNvPr id="11271" name="CommandButton5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11604625" y="2828925"/>
              <a:ext cx="118110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558800</xdr:colOff>
          <xdr:row>8</xdr:row>
          <xdr:rowOff>104775</xdr:rowOff>
        </xdr:from>
        <xdr:to>
          <xdr:col>18</xdr:col>
          <xdr:colOff>368300</xdr:colOff>
          <xdr:row>9</xdr:row>
          <xdr:rowOff>146050</xdr:rowOff>
        </xdr:to>
        <xdr:sp>
          <xdr:nvSpPr>
            <xdr:cNvPr id="11272" name="CommandButton6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11607800" y="3397250"/>
              <a:ext cx="118110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247650</xdr:colOff>
          <xdr:row>2</xdr:row>
          <xdr:rowOff>57150</xdr:rowOff>
        </xdr:from>
        <xdr:to>
          <xdr:col>15</xdr:col>
          <xdr:colOff>533400</xdr:colOff>
          <xdr:row>2</xdr:row>
          <xdr:rowOff>361950</xdr:rowOff>
        </xdr:to>
        <xdr:sp>
          <xdr:nvSpPr>
            <xdr:cNvPr id="11273" name="Spinner 9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>
            <a:xfrm>
              <a:off x="10420350" y="1241425"/>
              <a:ext cx="600075" cy="3048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28</xdr:row>
          <xdr:rowOff>19050</xdr:rowOff>
        </xdr:from>
        <xdr:to>
          <xdr:col>4</xdr:col>
          <xdr:colOff>1095375</xdr:colOff>
          <xdr:row>30</xdr:row>
          <xdr:rowOff>47625</xdr:rowOff>
        </xdr:to>
        <xdr:sp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5619750" y="4905375"/>
              <a:ext cx="104775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4</xdr:col>
      <xdr:colOff>504825</xdr:colOff>
      <xdr:row>0</xdr:row>
      <xdr:rowOff>248920</xdr:rowOff>
    </xdr:from>
    <xdr:to>
      <xdr:col>5</xdr:col>
      <xdr:colOff>306705</xdr:colOff>
      <xdr:row>1</xdr:row>
      <xdr:rowOff>956945</xdr:rowOff>
    </xdr:to>
    <xdr:pic>
      <xdr:nvPicPr>
        <xdr:cNvPr id="6" name="图片 5" descr="timg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3533775" y="248920"/>
          <a:ext cx="1078230" cy="10128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1</xdr:row>
          <xdr:rowOff>114300</xdr:rowOff>
        </xdr:from>
        <xdr:to>
          <xdr:col>14</xdr:col>
          <xdr:colOff>638175</xdr:colOff>
          <xdr:row>1</xdr:row>
          <xdr:rowOff>517525</xdr:rowOff>
        </xdr:to>
        <xdr:sp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11868150" y="419100"/>
              <a:ext cx="1371600" cy="4032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4</xdr:col>
      <xdr:colOff>504825</xdr:colOff>
      <xdr:row>0</xdr:row>
      <xdr:rowOff>248920</xdr:rowOff>
    </xdr:from>
    <xdr:to>
      <xdr:col>5</xdr:col>
      <xdr:colOff>306705</xdr:colOff>
      <xdr:row>1</xdr:row>
      <xdr:rowOff>956945</xdr:rowOff>
    </xdr:to>
    <xdr:pic>
      <xdr:nvPicPr>
        <xdr:cNvPr id="2" name="图片 1" descr="timg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3905250" y="248920"/>
          <a:ext cx="1078230" cy="10128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</xdr:row>
          <xdr:rowOff>0</xdr:rowOff>
        </xdr:from>
        <xdr:to>
          <xdr:col>14</xdr:col>
          <xdr:colOff>361950</xdr:colOff>
          <xdr:row>1</xdr:row>
          <xdr:rowOff>403225</xdr:rowOff>
        </xdr:to>
        <xdr:sp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11963400" y="304800"/>
              <a:ext cx="1371600" cy="4032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</xdr:col>
      <xdr:colOff>171450</xdr:colOff>
      <xdr:row>0</xdr:row>
      <xdr:rowOff>134620</xdr:rowOff>
    </xdr:from>
    <xdr:to>
      <xdr:col>2</xdr:col>
      <xdr:colOff>1249680</xdr:colOff>
      <xdr:row>1</xdr:row>
      <xdr:rowOff>664845</xdr:rowOff>
    </xdr:to>
    <xdr:pic>
      <xdr:nvPicPr>
        <xdr:cNvPr id="2" name="图片 1" descr="timg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3314700" y="134620"/>
          <a:ext cx="1078230" cy="10128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0</xdr:row>
          <xdr:rowOff>409575</xdr:rowOff>
        </xdr:from>
        <xdr:to>
          <xdr:col>7</xdr:col>
          <xdr:colOff>381000</xdr:colOff>
          <xdr:row>1</xdr:row>
          <xdr:rowOff>330200</xdr:rowOff>
        </xdr:to>
        <xdr:sp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11782425" y="409575"/>
              <a:ext cx="1371600" cy="4032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</xdr:col>
      <xdr:colOff>400050</xdr:colOff>
      <xdr:row>0</xdr:row>
      <xdr:rowOff>114935</xdr:rowOff>
    </xdr:from>
    <xdr:to>
      <xdr:col>3</xdr:col>
      <xdr:colOff>20955</xdr:colOff>
      <xdr:row>1</xdr:row>
      <xdr:rowOff>683260</xdr:rowOff>
    </xdr:to>
    <xdr:pic>
      <xdr:nvPicPr>
        <xdr:cNvPr id="2" name="图片 1" descr="timg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3067050" y="114935"/>
          <a:ext cx="1078230" cy="10128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409575</xdr:colOff>
          <xdr:row>0</xdr:row>
          <xdr:rowOff>415925</xdr:rowOff>
        </xdr:from>
        <xdr:to>
          <xdr:col>9</xdr:col>
          <xdr:colOff>466725</xdr:colOff>
          <xdr:row>1</xdr:row>
          <xdr:rowOff>374650</xdr:rowOff>
        </xdr:to>
        <xdr:sp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11820525" y="415925"/>
              <a:ext cx="1371600" cy="4032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</xdr:col>
      <xdr:colOff>2371725</xdr:colOff>
      <xdr:row>0</xdr:row>
      <xdr:rowOff>10795</xdr:rowOff>
    </xdr:from>
    <xdr:to>
      <xdr:col>2</xdr:col>
      <xdr:colOff>373380</xdr:colOff>
      <xdr:row>1</xdr:row>
      <xdr:rowOff>566420</xdr:rowOff>
    </xdr:to>
    <xdr:pic>
      <xdr:nvPicPr>
        <xdr:cNvPr id="2" name="图片 1" descr="timg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3390900" y="10795"/>
          <a:ext cx="1078230" cy="10128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0</xdr:row>
          <xdr:rowOff>254000</xdr:rowOff>
        </xdr:from>
        <xdr:to>
          <xdr:col>7</xdr:col>
          <xdr:colOff>76200</xdr:colOff>
          <xdr:row>1</xdr:row>
          <xdr:rowOff>200025</xdr:rowOff>
        </xdr:to>
        <xdr:sp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11010900" y="254000"/>
              <a:ext cx="1371600" cy="4032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</xdr:col>
      <xdr:colOff>1266825</xdr:colOff>
      <xdr:row>0</xdr:row>
      <xdr:rowOff>635</xdr:rowOff>
    </xdr:from>
    <xdr:to>
      <xdr:col>3</xdr:col>
      <xdr:colOff>506730</xdr:colOff>
      <xdr:row>1</xdr:row>
      <xdr:rowOff>657860</xdr:rowOff>
    </xdr:to>
    <xdr:pic>
      <xdr:nvPicPr>
        <xdr:cNvPr id="2" name="图片 1" descr="timg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3381375" y="635"/>
          <a:ext cx="1078230" cy="10128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0</xdr:row>
          <xdr:rowOff>298450</xdr:rowOff>
        </xdr:from>
        <xdr:to>
          <xdr:col>9</xdr:col>
          <xdr:colOff>561975</xdr:colOff>
          <xdr:row>1</xdr:row>
          <xdr:rowOff>346075</xdr:rowOff>
        </xdr:to>
        <xdr:sp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11868150" y="298450"/>
              <a:ext cx="1371600" cy="4032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3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5.xml"/><Relationship Id="rId8" Type="http://schemas.openxmlformats.org/officeDocument/2006/relationships/image" Target="../media/image7.wmf"/><Relationship Id="rId7" Type="http://schemas.openxmlformats.org/officeDocument/2006/relationships/control" Target="../activeX/activeX4.xml"/><Relationship Id="rId6" Type="http://schemas.openxmlformats.org/officeDocument/2006/relationships/image" Target="../media/image6.wmf"/><Relationship Id="rId5" Type="http://schemas.openxmlformats.org/officeDocument/2006/relationships/control" Target="../activeX/activeX3.xml"/><Relationship Id="rId4" Type="http://schemas.openxmlformats.org/officeDocument/2006/relationships/image" Target="../media/image5.wmf"/><Relationship Id="rId3" Type="http://schemas.openxmlformats.org/officeDocument/2006/relationships/control" Target="../activeX/activeX2.xml"/><Relationship Id="rId28" Type="http://schemas.openxmlformats.org/officeDocument/2006/relationships/image" Target="../media/image17.wmf"/><Relationship Id="rId27" Type="http://schemas.openxmlformats.org/officeDocument/2006/relationships/control" Target="../activeX/activeX14.xml"/><Relationship Id="rId26" Type="http://schemas.openxmlformats.org/officeDocument/2006/relationships/image" Target="../media/image16.wmf"/><Relationship Id="rId25" Type="http://schemas.openxmlformats.org/officeDocument/2006/relationships/control" Target="../activeX/activeX13.xml"/><Relationship Id="rId24" Type="http://schemas.openxmlformats.org/officeDocument/2006/relationships/image" Target="../media/image15.wmf"/><Relationship Id="rId23" Type="http://schemas.openxmlformats.org/officeDocument/2006/relationships/control" Target="../activeX/activeX12.xml"/><Relationship Id="rId22" Type="http://schemas.openxmlformats.org/officeDocument/2006/relationships/image" Target="../media/image14.wmf"/><Relationship Id="rId21" Type="http://schemas.openxmlformats.org/officeDocument/2006/relationships/control" Target="../activeX/activeX11.xml"/><Relationship Id="rId20" Type="http://schemas.openxmlformats.org/officeDocument/2006/relationships/image" Target="../media/image13.wmf"/><Relationship Id="rId2" Type="http://schemas.openxmlformats.org/officeDocument/2006/relationships/vmlDrawing" Target="../drawings/vmlDrawing2.vml"/><Relationship Id="rId19" Type="http://schemas.openxmlformats.org/officeDocument/2006/relationships/control" Target="../activeX/activeX10.xml"/><Relationship Id="rId18" Type="http://schemas.openxmlformats.org/officeDocument/2006/relationships/image" Target="../media/image12.wmf"/><Relationship Id="rId17" Type="http://schemas.openxmlformats.org/officeDocument/2006/relationships/control" Target="../activeX/activeX9.xml"/><Relationship Id="rId16" Type="http://schemas.openxmlformats.org/officeDocument/2006/relationships/image" Target="../media/image11.wmf"/><Relationship Id="rId15" Type="http://schemas.openxmlformats.org/officeDocument/2006/relationships/control" Target="../activeX/activeX8.xml"/><Relationship Id="rId14" Type="http://schemas.openxmlformats.org/officeDocument/2006/relationships/image" Target="../media/image10.wmf"/><Relationship Id="rId13" Type="http://schemas.openxmlformats.org/officeDocument/2006/relationships/control" Target="../activeX/activeX7.xml"/><Relationship Id="rId12" Type="http://schemas.openxmlformats.org/officeDocument/2006/relationships/image" Target="../media/image9.wmf"/><Relationship Id="rId11" Type="http://schemas.openxmlformats.org/officeDocument/2006/relationships/control" Target="../activeX/activeX6.xml"/><Relationship Id="rId10" Type="http://schemas.openxmlformats.org/officeDocument/2006/relationships/image" Target="../media/image8.wmf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6" Type="http://schemas.openxmlformats.org/officeDocument/2006/relationships/image" Target="../media/image19.wmf"/><Relationship Id="rId5" Type="http://schemas.openxmlformats.org/officeDocument/2006/relationships/control" Target="../activeX/activeX16.xml"/><Relationship Id="rId4" Type="http://schemas.openxmlformats.org/officeDocument/2006/relationships/image" Target="../media/image18.wmf"/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6" Type="http://schemas.openxmlformats.org/officeDocument/2006/relationships/image" Target="../media/image21.wmf"/><Relationship Id="rId5" Type="http://schemas.openxmlformats.org/officeDocument/2006/relationships/control" Target="../activeX/activeX18.xml"/><Relationship Id="rId4" Type="http://schemas.openxmlformats.org/officeDocument/2006/relationships/image" Target="../media/image20.wmf"/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wmf"/><Relationship Id="rId7" Type="http://schemas.openxmlformats.org/officeDocument/2006/relationships/control" Target="../activeX/activeX21.xml"/><Relationship Id="rId6" Type="http://schemas.openxmlformats.org/officeDocument/2006/relationships/image" Target="../media/image24.wmf"/><Relationship Id="rId5" Type="http://schemas.openxmlformats.org/officeDocument/2006/relationships/control" Target="../activeX/activeX20.xml"/><Relationship Id="rId4" Type="http://schemas.openxmlformats.org/officeDocument/2006/relationships/image" Target="../media/image23.wmf"/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25.xml"/><Relationship Id="rId8" Type="http://schemas.openxmlformats.org/officeDocument/2006/relationships/image" Target="../media/image28.wmf"/><Relationship Id="rId7" Type="http://schemas.openxmlformats.org/officeDocument/2006/relationships/control" Target="../activeX/activeX24.xml"/><Relationship Id="rId6" Type="http://schemas.openxmlformats.org/officeDocument/2006/relationships/image" Target="../media/image27.wmf"/><Relationship Id="rId5" Type="http://schemas.openxmlformats.org/officeDocument/2006/relationships/control" Target="../activeX/activeX23.xml"/><Relationship Id="rId4" Type="http://schemas.openxmlformats.org/officeDocument/2006/relationships/image" Target="../media/image26.wmf"/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6.vml"/><Relationship Id="rId15" Type="http://schemas.openxmlformats.org/officeDocument/2006/relationships/ctrlProp" Target="../ctrlProps/ctrlProp28.xml"/><Relationship Id="rId14" Type="http://schemas.openxmlformats.org/officeDocument/2006/relationships/image" Target="../media/image31.wmf"/><Relationship Id="rId13" Type="http://schemas.openxmlformats.org/officeDocument/2006/relationships/control" Target="../activeX/activeX27.xml"/><Relationship Id="rId12" Type="http://schemas.openxmlformats.org/officeDocument/2006/relationships/image" Target="../media/image30.wmf"/><Relationship Id="rId11" Type="http://schemas.openxmlformats.org/officeDocument/2006/relationships/control" Target="../activeX/activeX26.xml"/><Relationship Id="rId10" Type="http://schemas.openxmlformats.org/officeDocument/2006/relationships/image" Target="../media/image29.wmf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image" Target="../media/image21.wmf"/><Relationship Id="rId3" Type="http://schemas.openxmlformats.org/officeDocument/2006/relationships/control" Target="../activeX/activeX2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image" Target="../media/image25.wmf"/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4" Type="http://schemas.openxmlformats.org/officeDocument/2006/relationships/image" Target="../media/image25.wmf"/><Relationship Id="rId3" Type="http://schemas.openxmlformats.org/officeDocument/2006/relationships/control" Target="../activeX/activeX3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image" Target="../media/image25.wmf"/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4" Type="http://schemas.openxmlformats.org/officeDocument/2006/relationships/image" Target="../media/image25.wmf"/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4" Type="http://schemas.openxmlformats.org/officeDocument/2006/relationships/image" Target="../media/image25.wmf"/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4" Type="http://schemas.openxmlformats.org/officeDocument/2006/relationships/image" Target="../media/image32.wmf"/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XFD1048576"/>
  <sheetViews>
    <sheetView tabSelected="1" workbookViewId="0">
      <selection activeCell="A1" sqref="$A1:$XFD1048576"/>
    </sheetView>
  </sheetViews>
  <sheetFormatPr defaultColWidth="9" defaultRowHeight="13.5"/>
  <cols>
    <col min="1" max="16384" width="9" style="1"/>
  </cols>
  <sheetData/>
  <mergeCells count="1">
    <mergeCell ref="A1:XFD1048576"/>
  </mergeCells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8</xdr:col>
                <xdr:colOff>142875</xdr:colOff>
                <xdr:row>27</xdr:row>
                <xdr:rowOff>133350</xdr:rowOff>
              </from>
              <to>
                <xdr:col>10</xdr:col>
                <xdr:colOff>228600</xdr:colOff>
                <xdr:row>30</xdr:row>
                <xdr:rowOff>9525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X105"/>
  <sheetViews>
    <sheetView topLeftCell="A4" workbookViewId="0">
      <selection activeCell="A1" sqref="A1"/>
    </sheetView>
  </sheetViews>
  <sheetFormatPr defaultColWidth="9" defaultRowHeight="13.5"/>
  <cols>
    <col min="1" max="1" width="8.875" style="16" customWidth="1"/>
    <col min="9" max="9" width="6.625" style="16" customWidth="1"/>
    <col min="10" max="10" width="14.875" style="16" customWidth="1"/>
    <col min="11" max="20" width="9" style="16"/>
    <col min="21" max="24" width="9" style="367"/>
  </cols>
  <sheetData>
    <row r="1" s="16" customFormat="1"/>
    <row r="2" s="16" customFormat="1"/>
    <row r="3" spans="2:8">
      <c r="B3" s="368" t="s">
        <v>0</v>
      </c>
      <c r="C3" s="369"/>
      <c r="D3" s="369"/>
      <c r="E3" s="369"/>
      <c r="F3" s="369"/>
      <c r="G3" s="369"/>
      <c r="H3" s="370"/>
    </row>
    <row r="4" spans="2:14">
      <c r="B4" s="371"/>
      <c r="C4" s="372"/>
      <c r="D4" s="372"/>
      <c r="E4" s="372"/>
      <c r="F4" s="372"/>
      <c r="G4" s="372"/>
      <c r="H4" s="373"/>
      <c r="M4" s="57"/>
      <c r="N4" s="57"/>
    </row>
    <row r="5" ht="21" customHeight="1" spans="2:14">
      <c r="B5" s="374"/>
      <c r="C5" s="375"/>
      <c r="D5" s="375"/>
      <c r="E5" s="375"/>
      <c r="F5" s="375"/>
      <c r="G5" s="375"/>
      <c r="H5" s="376"/>
      <c r="M5" s="57"/>
      <c r="N5" s="57"/>
    </row>
    <row r="6" ht="28.5" customHeight="1" spans="2:8">
      <c r="B6" s="377" t="s">
        <v>1</v>
      </c>
      <c r="C6" s="378"/>
      <c r="D6" s="378"/>
      <c r="E6" s="378"/>
      <c r="F6" s="378"/>
      <c r="G6" s="378"/>
      <c r="H6" s="379"/>
    </row>
    <row r="7" ht="46.5" customHeight="1" spans="2:14">
      <c r="B7" s="380"/>
      <c r="C7" s="381"/>
      <c r="D7" s="381"/>
      <c r="E7" s="381"/>
      <c r="F7" s="381"/>
      <c r="G7" s="381"/>
      <c r="H7" s="382"/>
      <c r="M7" s="57"/>
      <c r="N7" s="57"/>
    </row>
    <row r="8" customFormat="1" ht="26.25" customHeight="1" spans="1:24">
      <c r="A8" s="16"/>
      <c r="B8" s="377" t="s">
        <v>2</v>
      </c>
      <c r="C8" s="378"/>
      <c r="D8" s="378"/>
      <c r="E8" s="378"/>
      <c r="F8" s="378"/>
      <c r="G8" s="378"/>
      <c r="H8" s="379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367"/>
      <c r="V8" s="367"/>
      <c r="W8" s="367"/>
      <c r="X8" s="367"/>
    </row>
    <row r="9" customFormat="1" ht="36" customHeight="1" spans="1:24">
      <c r="A9" s="16"/>
      <c r="B9" s="380"/>
      <c r="C9" s="381"/>
      <c r="D9" s="381"/>
      <c r="E9" s="381"/>
      <c r="F9" s="381"/>
      <c r="G9" s="381"/>
      <c r="H9" s="382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367"/>
      <c r="V9" s="367"/>
      <c r="W9" s="367"/>
      <c r="X9" s="367"/>
    </row>
    <row r="10" customFormat="1" ht="33.75" customHeight="1" spans="1:24">
      <c r="A10" s="16"/>
      <c r="B10" s="377" t="s">
        <v>3</v>
      </c>
      <c r="C10" s="378"/>
      <c r="D10" s="378"/>
      <c r="E10" s="378"/>
      <c r="F10" s="378"/>
      <c r="G10" s="378"/>
      <c r="H10" s="379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367"/>
      <c r="V10" s="367"/>
      <c r="W10" s="367"/>
      <c r="X10" s="367"/>
    </row>
    <row r="11" spans="2:8">
      <c r="B11" s="383"/>
      <c r="C11" s="384"/>
      <c r="D11" s="384"/>
      <c r="E11" s="384"/>
      <c r="F11" s="384"/>
      <c r="G11" s="384"/>
      <c r="H11" s="385"/>
    </row>
    <row r="12" spans="2:8">
      <c r="B12" s="386"/>
      <c r="C12" s="387"/>
      <c r="D12" s="387"/>
      <c r="E12" s="387"/>
      <c r="F12" s="387"/>
      <c r="G12" s="387"/>
      <c r="H12" s="388"/>
    </row>
    <row r="13" ht="14.25" spans="2:11">
      <c r="B13" s="386"/>
      <c r="C13" s="387"/>
      <c r="D13" s="387"/>
      <c r="E13" s="387"/>
      <c r="F13" s="387"/>
      <c r="G13" s="387"/>
      <c r="H13" s="388"/>
      <c r="J13" s="392" t="s">
        <v>4</v>
      </c>
      <c r="K13" s="393" t="s">
        <v>5</v>
      </c>
    </row>
    <row r="14" ht="35.25" customHeight="1" spans="2:8">
      <c r="B14" s="389"/>
      <c r="C14" s="390"/>
      <c r="D14" s="390"/>
      <c r="E14" s="390"/>
      <c r="F14" s="390"/>
      <c r="G14" s="390"/>
      <c r="H14" s="391"/>
    </row>
    <row r="15" s="16" customFormat="1"/>
    <row r="16" s="16" customFormat="1"/>
    <row r="17" s="16" customFormat="1"/>
    <row r="18" s="16" customFormat="1"/>
    <row r="19" s="16" customFormat="1"/>
    <row r="20" s="16" customFormat="1"/>
    <row r="21" s="16" customFormat="1"/>
    <row r="22" s="16" customFormat="1"/>
    <row r="23" s="16" customFormat="1"/>
    <row r="24" s="16" customFormat="1"/>
    <row r="25" s="16" customFormat="1"/>
    <row r="26" s="16" customFormat="1"/>
    <row r="27" s="16" customFormat="1"/>
    <row r="28" s="16" customFormat="1"/>
    <row r="29" s="16" customFormat="1"/>
    <row r="30" s="16" customFormat="1"/>
    <row r="31" s="16" customFormat="1"/>
    <row r="32" s="16" customFormat="1"/>
    <row r="33" s="16" customFormat="1"/>
    <row r="34" s="16" customFormat="1"/>
    <row r="35" s="16" customFormat="1"/>
    <row r="36" s="16" customFormat="1"/>
    <row r="37" s="16" customFormat="1"/>
    <row r="38" s="16" customFormat="1"/>
    <row r="39" s="16" customFormat="1"/>
    <row r="40" s="16" customFormat="1"/>
    <row r="41" s="16" customFormat="1"/>
    <row r="42" s="16" customFormat="1"/>
    <row r="43" s="16" customFormat="1"/>
    <row r="44" s="16" customFormat="1"/>
    <row r="45" s="16" customFormat="1"/>
    <row r="46" s="16" customFormat="1"/>
    <row r="47" s="16" customFormat="1"/>
    <row r="48" s="16" customFormat="1"/>
    <row r="49" s="16" customFormat="1"/>
    <row r="50" s="16" customFormat="1"/>
    <row r="51" s="16" customFormat="1"/>
    <row r="52" s="16" customFormat="1"/>
    <row r="53" s="16" customFormat="1"/>
    <row r="54" s="16" customFormat="1"/>
    <row r="55" s="16" customFormat="1"/>
    <row r="56" s="16" customFormat="1"/>
    <row r="57" s="16" customFormat="1"/>
    <row r="58" s="16" customFormat="1"/>
    <row r="59" s="16" customFormat="1"/>
    <row r="60" s="16" customFormat="1"/>
    <row r="61" s="16" customFormat="1"/>
    <row r="62" s="16" customFormat="1"/>
    <row r="63" s="16" customFormat="1"/>
    <row r="64" s="16" customFormat="1"/>
    <row r="65" s="16" customFormat="1"/>
    <row r="66" s="16" customFormat="1"/>
    <row r="67" s="16" customFormat="1"/>
    <row r="68" s="16" customFormat="1"/>
    <row r="69" s="16" customFormat="1"/>
    <row r="70" s="16" customFormat="1"/>
    <row r="71" s="16" customFormat="1"/>
    <row r="72" s="16" customFormat="1"/>
    <row r="73" s="16" customFormat="1"/>
    <row r="74" s="16" customFormat="1"/>
    <row r="75" s="16" customFormat="1"/>
    <row r="76" s="16" customFormat="1"/>
    <row r="77" s="16" customFormat="1"/>
    <row r="78" s="16" customFormat="1"/>
    <row r="79" s="16" customFormat="1"/>
    <row r="80" s="16" customFormat="1"/>
    <row r="81" s="16" customFormat="1"/>
    <row r="82" s="16" customFormat="1"/>
    <row r="83" s="16" customFormat="1"/>
    <row r="84" s="16" customFormat="1"/>
    <row r="85" s="16" customFormat="1"/>
    <row r="86" s="16" customFormat="1"/>
    <row r="87" s="16" customFormat="1"/>
    <row r="88" s="16" customFormat="1"/>
    <row r="89" s="16" customFormat="1"/>
    <row r="90" s="16" customFormat="1"/>
    <row r="91" s="16" customFormat="1"/>
    <row r="92" s="16" customFormat="1"/>
    <row r="93" s="16" customFormat="1"/>
    <row r="94" s="16" customFormat="1"/>
    <row r="95" s="16" customFormat="1"/>
    <row r="96" s="16" customFormat="1"/>
    <row r="97" s="16" customFormat="1"/>
    <row r="98" s="16" customFormat="1"/>
    <row r="99" s="16" customFormat="1"/>
    <row r="100" s="16" customFormat="1"/>
    <row r="101" s="16" customFormat="1"/>
    <row r="102" s="16" customFormat="1"/>
    <row r="103" s="16" customFormat="1"/>
    <row r="104" s="16" customFormat="1"/>
    <row r="105" s="16" customFormat="1"/>
  </sheetData>
  <mergeCells count="9">
    <mergeCell ref="B6:H6"/>
    <mergeCell ref="B7:H7"/>
    <mergeCell ref="M7:N7"/>
    <mergeCell ref="B8:H8"/>
    <mergeCell ref="B9:H9"/>
    <mergeCell ref="B10:H10"/>
    <mergeCell ref="B11:H14"/>
    <mergeCell ref="M4:N5"/>
    <mergeCell ref="B3:H5"/>
  </mergeCells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r:id="rId4">
            <anchor moveWithCells="1">
              <from>
                <xdr:col>1</xdr:col>
                <xdr:colOff>361950</xdr:colOff>
                <xdr:row>6</xdr:row>
                <xdr:rowOff>114300</xdr:rowOff>
              </from>
              <to>
                <xdr:col>2</xdr:col>
                <xdr:colOff>514350</xdr:colOff>
                <xdr:row>6</xdr:row>
                <xdr:rowOff>371475</xdr:rowOff>
              </to>
            </anchor>
          </controlPr>
        </control>
      </mc:Choice>
      <mc:Fallback>
        <control shapeId="7169" r:id="rId3" name="CommandButton1"/>
      </mc:Fallback>
    </mc:AlternateContent>
    <mc:AlternateContent xmlns:mc="http://schemas.openxmlformats.org/markup-compatibility/2006">
      <mc:Choice Requires="x14">
        <control shapeId="7170" r:id="rId5" name="CommandButton2">
          <controlPr defaultSize="0" r:id="rId6">
            <anchor moveWithCells="1">
              <from>
                <xdr:col>3</xdr:col>
                <xdr:colOff>457200</xdr:colOff>
                <xdr:row>6</xdr:row>
                <xdr:rowOff>104775</xdr:rowOff>
              </from>
              <to>
                <xdr:col>4</xdr:col>
                <xdr:colOff>609600</xdr:colOff>
                <xdr:row>6</xdr:row>
                <xdr:rowOff>361950</xdr:rowOff>
              </to>
            </anchor>
          </controlPr>
        </control>
      </mc:Choice>
      <mc:Fallback>
        <control shapeId="7170" r:id="rId5" name="CommandButton2"/>
      </mc:Fallback>
    </mc:AlternateContent>
    <mc:AlternateContent xmlns:mc="http://schemas.openxmlformats.org/markup-compatibility/2006">
      <mc:Choice Requires="x14">
        <control shapeId="7171" r:id="rId7" name="CommandButton3">
          <controlPr defaultSize="0" r:id="rId8">
            <anchor moveWithCells="1">
              <from>
                <xdr:col>5</xdr:col>
                <xdr:colOff>638175</xdr:colOff>
                <xdr:row>6</xdr:row>
                <xdr:rowOff>85725</xdr:rowOff>
              </from>
              <to>
                <xdr:col>7</xdr:col>
                <xdr:colOff>104775</xdr:colOff>
                <xdr:row>6</xdr:row>
                <xdr:rowOff>342900</xdr:rowOff>
              </to>
            </anchor>
          </controlPr>
        </control>
      </mc:Choice>
      <mc:Fallback>
        <control shapeId="7171" r:id="rId7" name="CommandButton3"/>
      </mc:Fallback>
    </mc:AlternateContent>
    <mc:AlternateContent xmlns:mc="http://schemas.openxmlformats.org/markup-compatibility/2006">
      <mc:Choice Requires="x14">
        <control shapeId="7172" r:id="rId9" name="CommandButton4">
          <controlPr defaultSize="0" r:id="rId10">
            <anchor moveWithCells="1">
              <from>
                <xdr:col>1</xdr:col>
                <xdr:colOff>352425</xdr:colOff>
                <xdr:row>8</xdr:row>
                <xdr:rowOff>114300</xdr:rowOff>
              </from>
              <to>
                <xdr:col>2</xdr:col>
                <xdr:colOff>504825</xdr:colOff>
                <xdr:row>8</xdr:row>
                <xdr:rowOff>371475</xdr:rowOff>
              </to>
            </anchor>
          </controlPr>
        </control>
      </mc:Choice>
      <mc:Fallback>
        <control shapeId="7172" r:id="rId9" name="CommandButton4"/>
      </mc:Fallback>
    </mc:AlternateContent>
    <mc:AlternateContent xmlns:mc="http://schemas.openxmlformats.org/markup-compatibility/2006">
      <mc:Choice Requires="x14">
        <control shapeId="7174" r:id="rId11" name="CommandButton6">
          <controlPr defaultSize="0" r:id="rId12">
            <anchor moveWithCells="1">
              <from>
                <xdr:col>3</xdr:col>
                <xdr:colOff>438150</xdr:colOff>
                <xdr:row>8</xdr:row>
                <xdr:rowOff>114300</xdr:rowOff>
              </from>
              <to>
                <xdr:col>4</xdr:col>
                <xdr:colOff>590550</xdr:colOff>
                <xdr:row>8</xdr:row>
                <xdr:rowOff>371475</xdr:rowOff>
              </to>
            </anchor>
          </controlPr>
        </control>
      </mc:Choice>
      <mc:Fallback>
        <control shapeId="7174" r:id="rId11" name="CommandButton6"/>
      </mc:Fallback>
    </mc:AlternateContent>
    <mc:AlternateContent xmlns:mc="http://schemas.openxmlformats.org/markup-compatibility/2006">
      <mc:Choice Requires="x14">
        <control shapeId="7175" r:id="rId13" name="CommandButton5">
          <controlPr defaultSize="0" r:id="rId14">
            <anchor moveWithCells="1">
              <from>
                <xdr:col>1</xdr:col>
                <xdr:colOff>314325</xdr:colOff>
                <xdr:row>11</xdr:row>
                <xdr:rowOff>28575</xdr:rowOff>
              </from>
              <to>
                <xdr:col>2</xdr:col>
                <xdr:colOff>466725</xdr:colOff>
                <xdr:row>12</xdr:row>
                <xdr:rowOff>114300</xdr:rowOff>
              </to>
            </anchor>
          </controlPr>
        </control>
      </mc:Choice>
      <mc:Fallback>
        <control shapeId="7175" r:id="rId13" name="CommandButton5"/>
      </mc:Fallback>
    </mc:AlternateContent>
    <mc:AlternateContent xmlns:mc="http://schemas.openxmlformats.org/markup-compatibility/2006">
      <mc:Choice Requires="x14">
        <control shapeId="7176" r:id="rId15" name="CommandButton7">
          <controlPr defaultSize="0" r:id="rId16">
            <anchor moveWithCells="1">
              <from>
                <xdr:col>3</xdr:col>
                <xdr:colOff>390525</xdr:colOff>
                <xdr:row>11</xdr:row>
                <xdr:rowOff>0</xdr:rowOff>
              </from>
              <to>
                <xdr:col>4</xdr:col>
                <xdr:colOff>542925</xdr:colOff>
                <xdr:row>12</xdr:row>
                <xdr:rowOff>85725</xdr:rowOff>
              </to>
            </anchor>
          </controlPr>
        </control>
      </mc:Choice>
      <mc:Fallback>
        <control shapeId="7176" r:id="rId15" name="CommandButton7"/>
      </mc:Fallback>
    </mc:AlternateContent>
    <mc:AlternateContent xmlns:mc="http://schemas.openxmlformats.org/markup-compatibility/2006">
      <mc:Choice Requires="x14">
        <control shapeId="7177" r:id="rId17" name="CommandButton8">
          <controlPr defaultSize="0" r:id="rId18">
            <anchor moveWithCells="1">
              <from>
                <xdr:col>5</xdr:col>
                <xdr:colOff>476250</xdr:colOff>
                <xdr:row>11</xdr:row>
                <xdr:rowOff>9525</xdr:rowOff>
              </from>
              <to>
                <xdr:col>6</xdr:col>
                <xdr:colOff>628650</xdr:colOff>
                <xdr:row>12</xdr:row>
                <xdr:rowOff>95250</xdr:rowOff>
              </to>
            </anchor>
          </controlPr>
        </control>
      </mc:Choice>
      <mc:Fallback>
        <control shapeId="7177" r:id="rId17" name="CommandButton8"/>
      </mc:Fallback>
    </mc:AlternateContent>
    <mc:AlternateContent xmlns:mc="http://schemas.openxmlformats.org/markup-compatibility/2006">
      <mc:Choice Requires="x14">
        <control shapeId="7178" r:id="rId19" name="CommandButton9">
          <controlPr defaultSize="0" r:id="rId20">
            <anchor moveWithCells="1">
              <from>
                <xdr:col>1</xdr:col>
                <xdr:colOff>304800</xdr:colOff>
                <xdr:row>13</xdr:row>
                <xdr:rowOff>95250</xdr:rowOff>
              </from>
              <to>
                <xdr:col>2</xdr:col>
                <xdr:colOff>457200</xdr:colOff>
                <xdr:row>13</xdr:row>
                <xdr:rowOff>352425</xdr:rowOff>
              </to>
            </anchor>
          </controlPr>
        </control>
      </mc:Choice>
      <mc:Fallback>
        <control shapeId="7178" r:id="rId19" name="CommandButton9"/>
      </mc:Fallback>
    </mc:AlternateContent>
    <mc:AlternateContent xmlns:mc="http://schemas.openxmlformats.org/markup-compatibility/2006">
      <mc:Choice Requires="x14">
        <control shapeId="7179" r:id="rId21" name="CommandButton10">
          <controlPr defaultSize="0" r:id="rId22">
            <anchor moveWithCells="1">
              <from>
                <xdr:col>3</xdr:col>
                <xdr:colOff>381000</xdr:colOff>
                <xdr:row>13</xdr:row>
                <xdr:rowOff>57150</xdr:rowOff>
              </from>
              <to>
                <xdr:col>4</xdr:col>
                <xdr:colOff>533400</xdr:colOff>
                <xdr:row>13</xdr:row>
                <xdr:rowOff>314325</xdr:rowOff>
              </to>
            </anchor>
          </controlPr>
        </control>
      </mc:Choice>
      <mc:Fallback>
        <control shapeId="7179" r:id="rId21" name="CommandButton10"/>
      </mc:Fallback>
    </mc:AlternateContent>
    <mc:AlternateContent xmlns:mc="http://schemas.openxmlformats.org/markup-compatibility/2006">
      <mc:Choice Requires="x14">
        <control shapeId="7180" r:id="rId23" name="CommandButton11">
          <controlPr defaultSize="0" r:id="rId24">
            <anchor moveWithCells="1">
              <from>
                <xdr:col>5</xdr:col>
                <xdr:colOff>476250</xdr:colOff>
                <xdr:row>13</xdr:row>
                <xdr:rowOff>28575</xdr:rowOff>
              </from>
              <to>
                <xdr:col>6</xdr:col>
                <xdr:colOff>628650</xdr:colOff>
                <xdr:row>13</xdr:row>
                <xdr:rowOff>285750</xdr:rowOff>
              </to>
            </anchor>
          </controlPr>
        </control>
      </mc:Choice>
      <mc:Fallback>
        <control shapeId="7180" r:id="rId23" name="CommandButton11"/>
      </mc:Fallback>
    </mc:AlternateContent>
    <mc:AlternateContent xmlns:mc="http://schemas.openxmlformats.org/markup-compatibility/2006">
      <mc:Choice Requires="x14">
        <control shapeId="7183" r:id="rId25" name="CommandButton12">
          <controlPr defaultSize="0" r:id="rId26">
            <anchor moveWithCells="1">
              <from>
                <xdr:col>9</xdr:col>
                <xdr:colOff>76200</xdr:colOff>
                <xdr:row>13</xdr:row>
                <xdr:rowOff>114300</xdr:rowOff>
              </from>
              <to>
                <xdr:col>9</xdr:col>
                <xdr:colOff>1047750</xdr:colOff>
                <xdr:row>13</xdr:row>
                <xdr:rowOff>361950</xdr:rowOff>
              </to>
            </anchor>
          </controlPr>
        </control>
      </mc:Choice>
      <mc:Fallback>
        <control shapeId="7183" r:id="rId25" name="CommandButton12"/>
      </mc:Fallback>
    </mc:AlternateContent>
    <mc:AlternateContent xmlns:mc="http://schemas.openxmlformats.org/markup-compatibility/2006">
      <mc:Choice Requires="x14">
        <control shapeId="7184" r:id="rId27" name="CommandButton13">
          <controlPr defaultSize="0" r:id="rId28">
            <anchor moveWithCells="1">
              <from>
                <xdr:col>5</xdr:col>
                <xdr:colOff>612775</xdr:colOff>
                <xdr:row>8</xdr:row>
                <xdr:rowOff>127000</xdr:rowOff>
              </from>
              <to>
                <xdr:col>7</xdr:col>
                <xdr:colOff>79375</xdr:colOff>
                <xdr:row>8</xdr:row>
                <xdr:rowOff>384175</xdr:rowOff>
              </to>
            </anchor>
          </controlPr>
        </control>
      </mc:Choice>
      <mc:Fallback>
        <control shapeId="7184" r:id="rId27" name="CommandButton1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V227"/>
  <sheetViews>
    <sheetView workbookViewId="0">
      <pane xSplit="2" ySplit="7" topLeftCell="C8" activePane="bottomRight" state="frozen"/>
      <selection/>
      <selection pane="topRight"/>
      <selection pane="bottomLeft"/>
      <selection pane="bottomRight" activeCell="A15" sqref="$A15:$XFD15"/>
    </sheetView>
  </sheetViews>
  <sheetFormatPr defaultColWidth="9" defaultRowHeight="13.5"/>
  <cols>
    <col min="1" max="1" width="12.875" style="193" customWidth="1"/>
    <col min="2" max="2" width="18.625" customWidth="1"/>
    <col min="3" max="3" width="45" customWidth="1"/>
    <col min="4" max="4" width="17.875" customWidth="1"/>
    <col min="5" max="5" width="15.5" customWidth="1"/>
    <col min="6" max="6" width="15" customWidth="1"/>
    <col min="7" max="7" width="10" customWidth="1"/>
    <col min="11" max="20" width="9" customWidth="1"/>
  </cols>
  <sheetData>
    <row r="1" spans="2:22">
      <c r="B1" s="253" t="s">
        <v>6</v>
      </c>
      <c r="C1" s="254"/>
      <c r="D1" s="196"/>
      <c r="E1" s="196"/>
      <c r="F1" s="196"/>
      <c r="G1" s="255"/>
      <c r="H1" s="256"/>
      <c r="I1" s="256"/>
      <c r="J1" s="256"/>
      <c r="K1" s="256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2:22">
      <c r="B2" s="257"/>
      <c r="C2" s="258"/>
      <c r="D2" s="196"/>
      <c r="E2" s="196"/>
      <c r="F2" s="196"/>
      <c r="G2" s="255"/>
      <c r="H2" s="256"/>
      <c r="I2" s="256"/>
      <c r="J2" s="256"/>
      <c r="K2" s="256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spans="2:22">
      <c r="B3" s="259"/>
      <c r="C3" s="258"/>
      <c r="D3" s="196"/>
      <c r="E3" s="196"/>
      <c r="F3" s="196"/>
      <c r="G3" s="255"/>
      <c r="H3" s="256"/>
      <c r="I3" s="256"/>
      <c r="J3" s="256"/>
      <c r="K3" s="256"/>
      <c r="L3" s="1"/>
      <c r="M3" s="1"/>
      <c r="N3" s="1"/>
      <c r="O3" s="1"/>
      <c r="P3" s="1"/>
      <c r="Q3" s="1"/>
      <c r="R3" s="1"/>
      <c r="S3" s="1"/>
      <c r="T3" s="1"/>
      <c r="U3" s="1"/>
      <c r="V3" s="1"/>
    </row>
    <row r="4" spans="2:22">
      <c r="B4" s="259"/>
      <c r="C4" s="258"/>
      <c r="D4" s="196"/>
      <c r="E4" s="196"/>
      <c r="F4" s="196"/>
      <c r="G4" s="255"/>
      <c r="H4" s="256"/>
      <c r="I4" s="256"/>
      <c r="J4" s="256"/>
      <c r="K4" s="256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2:22">
      <c r="B5" s="259"/>
      <c r="C5" s="258"/>
      <c r="D5" s="196"/>
      <c r="E5" s="196"/>
      <c r="F5" s="196"/>
      <c r="G5" s="255"/>
      <c r="H5" s="256"/>
      <c r="I5" s="256"/>
      <c r="J5" s="256"/>
      <c r="K5" s="256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ht="28.5" customHeight="1" spans="2:22">
      <c r="B6" s="260" t="s">
        <v>7</v>
      </c>
      <c r="C6" s="261"/>
      <c r="D6" s="262"/>
      <c r="E6" s="262"/>
      <c r="F6" s="262"/>
      <c r="G6" s="255"/>
      <c r="H6" s="256"/>
      <c r="I6" s="256"/>
      <c r="J6" s="256"/>
      <c r="K6" s="256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ht="29.25" customHeight="1" spans="2:22">
      <c r="B7" s="263" t="s">
        <v>8</v>
      </c>
      <c r="C7" s="264" t="s">
        <v>9</v>
      </c>
      <c r="D7" s="265" t="s">
        <v>10</v>
      </c>
      <c r="E7" s="266" t="s">
        <v>11</v>
      </c>
      <c r="F7" s="267" t="s">
        <v>12</v>
      </c>
      <c r="G7" s="268"/>
      <c r="H7" s="256"/>
      <c r="I7" s="256"/>
      <c r="J7" s="256"/>
      <c r="K7" s="256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ht="30" customHeight="1" spans="2:22">
      <c r="B8" s="269">
        <v>1001</v>
      </c>
      <c r="C8" s="394" t="s">
        <v>13</v>
      </c>
      <c r="D8" s="271"/>
      <c r="E8" s="272"/>
      <c r="F8" s="273"/>
      <c r="G8" s="274"/>
      <c r="H8" s="274"/>
      <c r="I8" s="274"/>
      <c r="J8" s="274"/>
      <c r="K8" s="274"/>
      <c r="L8" s="274"/>
      <c r="M8" s="274"/>
      <c r="N8" s="274"/>
      <c r="O8" s="274"/>
      <c r="P8" s="274"/>
      <c r="Q8" s="274"/>
      <c r="R8" s="274"/>
      <c r="S8" s="334"/>
      <c r="T8" s="334"/>
      <c r="U8" s="334"/>
      <c r="V8" s="334"/>
    </row>
    <row r="9" s="16" customFormat="1" ht="30" customHeight="1" spans="1:22">
      <c r="A9" s="193"/>
      <c r="B9" s="275">
        <v>1002</v>
      </c>
      <c r="C9" s="395" t="s">
        <v>14</v>
      </c>
      <c r="D9" s="277"/>
      <c r="E9" s="208"/>
      <c r="F9" s="278"/>
      <c r="G9" s="274"/>
      <c r="H9" s="274"/>
      <c r="I9" s="274"/>
      <c r="J9" s="274"/>
      <c r="K9" s="274"/>
      <c r="L9" s="274"/>
      <c r="M9" s="274"/>
      <c r="N9" s="274"/>
      <c r="O9" s="274"/>
      <c r="P9" s="274"/>
      <c r="Q9" s="274"/>
      <c r="R9" s="274"/>
      <c r="S9" s="334"/>
      <c r="T9" s="334"/>
      <c r="U9" s="334"/>
      <c r="V9" s="334"/>
    </row>
    <row r="10" s="16" customFormat="1" ht="30" customHeight="1" spans="1:22">
      <c r="A10" s="193"/>
      <c r="B10" s="279">
        <v>100201</v>
      </c>
      <c r="C10" s="396" t="s">
        <v>15</v>
      </c>
      <c r="D10" s="281"/>
      <c r="E10" s="208"/>
      <c r="F10" s="278"/>
      <c r="G10" s="274"/>
      <c r="H10" s="274"/>
      <c r="I10" s="274"/>
      <c r="J10" s="274"/>
      <c r="K10" s="274"/>
      <c r="L10" s="274"/>
      <c r="M10" s="274"/>
      <c r="N10" s="274"/>
      <c r="O10" s="274"/>
      <c r="P10" s="274"/>
      <c r="Q10" s="274"/>
      <c r="R10" s="274"/>
      <c r="S10" s="334"/>
      <c r="T10" s="334"/>
      <c r="U10" s="334"/>
      <c r="V10" s="334"/>
    </row>
    <row r="11" s="16" customFormat="1" ht="30" customHeight="1" spans="1:22">
      <c r="A11" s="193"/>
      <c r="B11" s="279">
        <v>100202</v>
      </c>
      <c r="C11" s="396" t="s">
        <v>16</v>
      </c>
      <c r="D11" s="281"/>
      <c r="E11" s="208"/>
      <c r="F11" s="278"/>
      <c r="G11" s="274"/>
      <c r="H11" s="274"/>
      <c r="I11" s="274"/>
      <c r="J11" s="274"/>
      <c r="K11" s="274"/>
      <c r="L11" s="274"/>
      <c r="M11" s="274"/>
      <c r="N11" s="274"/>
      <c r="O11" s="274"/>
      <c r="P11" s="274"/>
      <c r="Q11" s="274"/>
      <c r="R11" s="274"/>
      <c r="S11" s="334"/>
      <c r="T11" s="334"/>
      <c r="U11" s="334"/>
      <c r="V11" s="334"/>
    </row>
    <row r="12" s="16" customFormat="1" ht="30" customHeight="1" spans="1:22">
      <c r="A12" s="193"/>
      <c r="B12" s="279">
        <v>10020201</v>
      </c>
      <c r="C12" s="396" t="s">
        <v>17</v>
      </c>
      <c r="D12" s="281"/>
      <c r="E12" s="208"/>
      <c r="F12" s="278"/>
      <c r="G12" s="274"/>
      <c r="H12" s="274"/>
      <c r="I12" s="274"/>
      <c r="J12" s="274"/>
      <c r="K12" s="274"/>
      <c r="L12" s="274"/>
      <c r="M12" s="274"/>
      <c r="N12" s="274"/>
      <c r="O12" s="274"/>
      <c r="P12" s="274"/>
      <c r="Q12" s="274"/>
      <c r="R12" s="274"/>
      <c r="S12" s="334"/>
      <c r="T12" s="334"/>
      <c r="U12" s="334"/>
      <c r="V12" s="334"/>
    </row>
    <row r="13" s="16" customFormat="1" ht="30" customHeight="1" spans="1:22">
      <c r="A13" s="193"/>
      <c r="B13" s="282">
        <v>100203</v>
      </c>
      <c r="C13" s="397" t="s">
        <v>18</v>
      </c>
      <c r="D13" s="284"/>
      <c r="E13" s="285"/>
      <c r="F13" s="286"/>
      <c r="G13" s="274"/>
      <c r="H13" s="274"/>
      <c r="I13" s="274"/>
      <c r="J13" s="274"/>
      <c r="K13" s="274"/>
      <c r="L13" s="274"/>
      <c r="M13" s="274"/>
      <c r="N13" s="274"/>
      <c r="O13" s="274"/>
      <c r="P13" s="274"/>
      <c r="Q13" s="274"/>
      <c r="R13" s="274"/>
      <c r="S13" s="334"/>
      <c r="T13" s="334"/>
      <c r="U13" s="334"/>
      <c r="V13" s="334"/>
    </row>
    <row r="14" s="16" customFormat="1" ht="30" customHeight="1" spans="1:22">
      <c r="A14" s="193"/>
      <c r="B14" s="269">
        <v>1003</v>
      </c>
      <c r="C14" s="398" t="s">
        <v>19</v>
      </c>
      <c r="D14" s="288"/>
      <c r="E14" s="289"/>
      <c r="F14" s="290"/>
      <c r="G14" s="274"/>
      <c r="H14" s="274"/>
      <c r="I14" s="274"/>
      <c r="J14" s="274"/>
      <c r="K14" s="274"/>
      <c r="L14" s="274"/>
      <c r="M14" s="274"/>
      <c r="N14" s="274"/>
      <c r="O14" s="274"/>
      <c r="P14" s="274"/>
      <c r="Q14" s="274"/>
      <c r="R14" s="274"/>
      <c r="S14" s="334"/>
      <c r="T14" s="334"/>
      <c r="U14" s="334"/>
      <c r="V14" s="334"/>
    </row>
    <row r="15" s="16" customFormat="1" ht="30" customHeight="1" spans="1:22">
      <c r="A15" s="193"/>
      <c r="B15" s="291">
        <v>1011</v>
      </c>
      <c r="C15" s="399" t="s">
        <v>20</v>
      </c>
      <c r="D15" s="293"/>
      <c r="E15" s="294"/>
      <c r="F15" s="295"/>
      <c r="G15" s="274"/>
      <c r="H15" s="274"/>
      <c r="I15" s="274"/>
      <c r="J15" s="274"/>
      <c r="K15" s="274"/>
      <c r="L15" s="274"/>
      <c r="M15" s="274"/>
      <c r="N15" s="274"/>
      <c r="O15" s="274"/>
      <c r="P15" s="274"/>
      <c r="Q15" s="274"/>
      <c r="R15" s="274"/>
      <c r="S15" s="334"/>
      <c r="T15" s="334"/>
      <c r="U15" s="334"/>
      <c r="V15" s="334"/>
    </row>
    <row r="16" ht="30" customHeight="1" spans="2:22">
      <c r="B16" s="296">
        <v>1012</v>
      </c>
      <c r="C16" s="400" t="s">
        <v>21</v>
      </c>
      <c r="D16" s="298"/>
      <c r="E16" s="211"/>
      <c r="F16" s="299"/>
      <c r="G16" s="274"/>
      <c r="H16" s="274"/>
      <c r="I16" s="274"/>
      <c r="J16" s="274"/>
      <c r="K16" s="274"/>
      <c r="L16" s="274"/>
      <c r="M16" s="274"/>
      <c r="N16" s="274"/>
      <c r="O16" s="274"/>
      <c r="P16" s="274"/>
      <c r="Q16" s="274"/>
      <c r="R16" s="274"/>
      <c r="S16" s="334"/>
      <c r="T16" s="334"/>
      <c r="U16" s="334"/>
      <c r="V16" s="334"/>
    </row>
    <row r="17" ht="30" customHeight="1" spans="2:22">
      <c r="B17" s="296">
        <v>1021</v>
      </c>
      <c r="C17" s="400" t="s">
        <v>22</v>
      </c>
      <c r="D17" s="298"/>
      <c r="E17" s="211"/>
      <c r="F17" s="299"/>
      <c r="G17" s="274"/>
      <c r="H17" s="274"/>
      <c r="I17" s="274"/>
      <c r="J17" s="274"/>
      <c r="K17" s="274"/>
      <c r="L17" s="274"/>
      <c r="M17" s="274"/>
      <c r="N17" s="274"/>
      <c r="O17" s="274"/>
      <c r="P17" s="274"/>
      <c r="Q17" s="274"/>
      <c r="R17" s="274"/>
      <c r="S17" s="334"/>
      <c r="T17" s="334"/>
      <c r="U17" s="334"/>
      <c r="V17" s="334"/>
    </row>
    <row r="18" ht="30" customHeight="1" spans="2:22">
      <c r="B18" s="300">
        <v>1031</v>
      </c>
      <c r="C18" s="401" t="s">
        <v>23</v>
      </c>
      <c r="D18" s="302"/>
      <c r="E18" s="303"/>
      <c r="F18" s="304"/>
      <c r="G18" s="274"/>
      <c r="H18" s="274"/>
      <c r="I18" s="274"/>
      <c r="J18" s="274"/>
      <c r="K18" s="274"/>
      <c r="L18" s="274"/>
      <c r="M18" s="274"/>
      <c r="N18" s="274"/>
      <c r="O18" s="274"/>
      <c r="P18" s="274"/>
      <c r="Q18" s="274"/>
      <c r="R18" s="274"/>
      <c r="S18" s="334"/>
      <c r="T18" s="334"/>
      <c r="U18" s="334"/>
      <c r="V18" s="334"/>
    </row>
    <row r="19" ht="30" customHeight="1" spans="2:22">
      <c r="B19" s="291">
        <v>1101</v>
      </c>
      <c r="C19" s="399" t="s">
        <v>24</v>
      </c>
      <c r="D19" s="293"/>
      <c r="E19" s="294"/>
      <c r="F19" s="295"/>
      <c r="G19" s="274"/>
      <c r="H19" s="274"/>
      <c r="I19" s="274"/>
      <c r="J19" s="274"/>
      <c r="K19" s="274"/>
      <c r="L19" s="274"/>
      <c r="M19" s="274"/>
      <c r="N19" s="274"/>
      <c r="O19" s="274"/>
      <c r="P19" s="274"/>
      <c r="Q19" s="274"/>
      <c r="R19" s="274"/>
      <c r="S19" s="334"/>
      <c r="T19" s="334"/>
      <c r="U19" s="334"/>
      <c r="V19" s="334"/>
    </row>
    <row r="20" ht="30" customHeight="1" spans="2:22">
      <c r="B20" s="296">
        <v>1111</v>
      </c>
      <c r="C20" s="400" t="s">
        <v>25</v>
      </c>
      <c r="D20" s="298"/>
      <c r="E20" s="211"/>
      <c r="F20" s="299"/>
      <c r="G20" s="274"/>
      <c r="H20" s="274"/>
      <c r="I20" s="274"/>
      <c r="J20" s="274"/>
      <c r="K20" s="274"/>
      <c r="L20" s="274"/>
      <c r="M20" s="274"/>
      <c r="N20" s="274"/>
      <c r="O20" s="274"/>
      <c r="P20" s="274"/>
      <c r="Q20" s="274"/>
      <c r="R20" s="274"/>
      <c r="S20" s="334"/>
      <c r="T20" s="334"/>
      <c r="U20" s="334"/>
      <c r="V20" s="334"/>
    </row>
    <row r="21" ht="30" customHeight="1" spans="2:22">
      <c r="B21" s="296">
        <v>1121</v>
      </c>
      <c r="C21" s="400" t="s">
        <v>26</v>
      </c>
      <c r="D21" s="402" t="s">
        <v>27</v>
      </c>
      <c r="E21" s="211"/>
      <c r="F21" s="299"/>
      <c r="G21" s="274"/>
      <c r="H21" s="274"/>
      <c r="I21" s="274"/>
      <c r="J21" s="274"/>
      <c r="K21" s="274"/>
      <c r="L21" s="274"/>
      <c r="M21" s="274"/>
      <c r="N21" s="274"/>
      <c r="O21" s="274"/>
      <c r="P21" s="274"/>
      <c r="Q21" s="274"/>
      <c r="R21" s="274"/>
      <c r="S21" s="334"/>
      <c r="T21" s="334"/>
      <c r="U21" s="334"/>
      <c r="V21" s="334"/>
    </row>
    <row r="22" ht="30" customHeight="1" spans="2:22">
      <c r="B22" s="305">
        <v>1122</v>
      </c>
      <c r="C22" s="403" t="s">
        <v>28</v>
      </c>
      <c r="D22" s="307"/>
      <c r="E22" s="308"/>
      <c r="F22" s="309"/>
      <c r="G22" s="274"/>
      <c r="H22" s="274"/>
      <c r="I22" s="274"/>
      <c r="J22" s="274"/>
      <c r="K22" s="274"/>
      <c r="L22" s="274"/>
      <c r="M22" s="274"/>
      <c r="N22" s="274"/>
      <c r="O22" s="274"/>
      <c r="P22" s="274"/>
      <c r="Q22" s="274"/>
      <c r="R22" s="274"/>
      <c r="S22" s="334"/>
      <c r="T22" s="334"/>
      <c r="U22" s="334"/>
      <c r="V22" s="334"/>
    </row>
    <row r="23" ht="30" customHeight="1" spans="2:22">
      <c r="B23" s="269">
        <v>1123</v>
      </c>
      <c r="C23" s="398" t="s">
        <v>29</v>
      </c>
      <c r="D23" s="404" t="s">
        <v>30</v>
      </c>
      <c r="E23" s="289"/>
      <c r="F23" s="290"/>
      <c r="G23" s="274"/>
      <c r="H23" s="274"/>
      <c r="I23" s="274"/>
      <c r="J23" s="274"/>
      <c r="K23" s="274"/>
      <c r="L23" s="274"/>
      <c r="M23" s="274"/>
      <c r="N23" s="274"/>
      <c r="O23" s="274"/>
      <c r="P23" s="274"/>
      <c r="Q23" s="274"/>
      <c r="R23" s="274"/>
      <c r="S23" s="334"/>
      <c r="T23" s="334"/>
      <c r="U23" s="334"/>
      <c r="V23" s="334"/>
    </row>
    <row r="24" ht="30" customHeight="1" spans="2:22">
      <c r="B24" s="291">
        <v>1131</v>
      </c>
      <c r="C24" s="399" t="s">
        <v>31</v>
      </c>
      <c r="D24" s="293"/>
      <c r="E24" s="294"/>
      <c r="F24" s="295"/>
      <c r="G24" s="274"/>
      <c r="H24" s="274"/>
      <c r="I24" s="274"/>
      <c r="J24" s="274"/>
      <c r="K24" s="274"/>
      <c r="L24" s="274"/>
      <c r="M24" s="274"/>
      <c r="N24" s="274"/>
      <c r="O24" s="274"/>
      <c r="P24" s="274"/>
      <c r="Q24" s="274"/>
      <c r="R24" s="274"/>
      <c r="S24" s="334"/>
      <c r="T24" s="334"/>
      <c r="U24" s="334"/>
      <c r="V24" s="334"/>
    </row>
    <row r="25" ht="30" customHeight="1" spans="2:22">
      <c r="B25" s="296">
        <v>1132</v>
      </c>
      <c r="C25" s="400" t="s">
        <v>32</v>
      </c>
      <c r="D25" s="298"/>
      <c r="E25" s="211"/>
      <c r="F25" s="299"/>
      <c r="G25" s="274"/>
      <c r="H25" s="274"/>
      <c r="I25" s="274"/>
      <c r="J25" s="274"/>
      <c r="K25" s="274"/>
      <c r="L25" s="274"/>
      <c r="M25" s="274"/>
      <c r="N25" s="274"/>
      <c r="O25" s="274"/>
      <c r="P25" s="274"/>
      <c r="Q25" s="274"/>
      <c r="R25" s="274"/>
      <c r="S25" s="334"/>
      <c r="T25" s="334"/>
      <c r="U25" s="334"/>
      <c r="V25" s="334"/>
    </row>
    <row r="26" ht="30" customHeight="1" spans="2:22">
      <c r="B26" s="296">
        <v>1201</v>
      </c>
      <c r="C26" s="400" t="s">
        <v>33</v>
      </c>
      <c r="D26" s="298"/>
      <c r="E26" s="211"/>
      <c r="F26" s="299"/>
      <c r="G26" s="274"/>
      <c r="H26" s="274"/>
      <c r="I26" s="274"/>
      <c r="J26" s="274"/>
      <c r="K26" s="274"/>
      <c r="L26" s="274"/>
      <c r="M26" s="274"/>
      <c r="N26" s="274"/>
      <c r="O26" s="274"/>
      <c r="P26" s="274"/>
      <c r="Q26" s="274"/>
      <c r="R26" s="274"/>
      <c r="S26" s="334"/>
      <c r="T26" s="334"/>
      <c r="U26" s="334"/>
      <c r="V26" s="334"/>
    </row>
    <row r="27" ht="30" customHeight="1" spans="2:22">
      <c r="B27" s="296">
        <v>1211</v>
      </c>
      <c r="C27" s="400" t="s">
        <v>34</v>
      </c>
      <c r="D27" s="298"/>
      <c r="E27" s="211"/>
      <c r="F27" s="299"/>
      <c r="G27" s="274"/>
      <c r="H27" s="274"/>
      <c r="I27" s="274"/>
      <c r="J27" s="274"/>
      <c r="K27" s="274"/>
      <c r="L27" s="274"/>
      <c r="M27" s="274"/>
      <c r="N27" s="274"/>
      <c r="O27" s="274"/>
      <c r="P27" s="274"/>
      <c r="Q27" s="274"/>
      <c r="R27" s="274"/>
      <c r="S27" s="334"/>
      <c r="T27" s="334"/>
      <c r="U27" s="334"/>
      <c r="V27" s="334"/>
    </row>
    <row r="28" ht="30" customHeight="1" spans="2:22">
      <c r="B28" s="296">
        <v>1212</v>
      </c>
      <c r="C28" s="400" t="s">
        <v>35</v>
      </c>
      <c r="D28" s="298"/>
      <c r="E28" s="211"/>
      <c r="F28" s="299"/>
      <c r="G28" s="274"/>
      <c r="H28" s="274"/>
      <c r="I28" s="274"/>
      <c r="J28" s="274"/>
      <c r="K28" s="274"/>
      <c r="L28" s="274"/>
      <c r="M28" s="274"/>
      <c r="N28" s="274"/>
      <c r="O28" s="274"/>
      <c r="P28" s="274"/>
      <c r="Q28" s="274"/>
      <c r="R28" s="274"/>
      <c r="S28" s="334"/>
      <c r="T28" s="334"/>
      <c r="U28" s="334"/>
      <c r="V28" s="334"/>
    </row>
    <row r="29" ht="30" customHeight="1" spans="2:22">
      <c r="B29" s="311">
        <v>1221</v>
      </c>
      <c r="C29" s="405" t="s">
        <v>36</v>
      </c>
      <c r="D29" s="313"/>
      <c r="E29" s="214"/>
      <c r="F29" s="314"/>
      <c r="G29" s="274"/>
      <c r="H29" s="274"/>
      <c r="I29" s="274"/>
      <c r="J29" s="274"/>
      <c r="K29" s="274"/>
      <c r="L29" s="274"/>
      <c r="M29" s="274"/>
      <c r="N29" s="274"/>
      <c r="O29" s="274"/>
      <c r="P29" s="274"/>
      <c r="Q29" s="274"/>
      <c r="R29" s="274"/>
      <c r="S29" s="334"/>
      <c r="T29" s="334"/>
      <c r="U29" s="334"/>
      <c r="V29" s="334"/>
    </row>
    <row r="30" ht="30" customHeight="1" spans="2:22">
      <c r="B30" s="315">
        <v>122101</v>
      </c>
      <c r="C30" s="406" t="s">
        <v>37</v>
      </c>
      <c r="D30" s="407" t="s">
        <v>38</v>
      </c>
      <c r="E30" s="318"/>
      <c r="F30" s="319"/>
      <c r="G30" s="274"/>
      <c r="H30" s="274"/>
      <c r="I30" s="274"/>
      <c r="J30" s="274"/>
      <c r="K30" s="274"/>
      <c r="L30" s="274"/>
      <c r="M30" s="274"/>
      <c r="N30" s="274"/>
      <c r="O30" s="274"/>
      <c r="P30" s="274"/>
      <c r="Q30" s="274"/>
      <c r="R30" s="274"/>
      <c r="S30" s="334"/>
      <c r="T30" s="334"/>
      <c r="U30" s="334"/>
      <c r="V30" s="334"/>
    </row>
    <row r="31" ht="30" customHeight="1" spans="2:22">
      <c r="B31" s="320">
        <v>122102</v>
      </c>
      <c r="C31" s="408" t="s">
        <v>39</v>
      </c>
      <c r="D31" s="409" t="s">
        <v>40</v>
      </c>
      <c r="E31" s="323"/>
      <c r="F31" s="324"/>
      <c r="G31" s="274"/>
      <c r="H31" s="274"/>
      <c r="I31" s="274"/>
      <c r="J31" s="274"/>
      <c r="K31" s="274"/>
      <c r="L31" s="274"/>
      <c r="M31" s="274"/>
      <c r="N31" s="274"/>
      <c r="O31" s="274"/>
      <c r="P31" s="274"/>
      <c r="Q31" s="274"/>
      <c r="R31" s="274"/>
      <c r="S31" s="334"/>
      <c r="T31" s="334"/>
      <c r="U31" s="334"/>
      <c r="V31" s="334"/>
    </row>
    <row r="32" ht="30" customHeight="1" spans="2:22">
      <c r="B32" s="291">
        <v>1231</v>
      </c>
      <c r="C32" s="399" t="s">
        <v>41</v>
      </c>
      <c r="D32" s="293"/>
      <c r="E32" s="294"/>
      <c r="F32" s="295"/>
      <c r="G32" s="274"/>
      <c r="H32" s="274"/>
      <c r="I32" s="274"/>
      <c r="J32" s="274"/>
      <c r="K32" s="274"/>
      <c r="L32" s="274"/>
      <c r="M32" s="274"/>
      <c r="N32" s="274"/>
      <c r="O32" s="274"/>
      <c r="P32" s="274"/>
      <c r="Q32" s="274"/>
      <c r="R32" s="274"/>
      <c r="S32" s="334"/>
      <c r="T32" s="334"/>
      <c r="U32" s="334"/>
      <c r="V32" s="334"/>
    </row>
    <row r="33" ht="30" customHeight="1" spans="2:22">
      <c r="B33" s="296">
        <v>1301</v>
      </c>
      <c r="C33" s="400" t="s">
        <v>42</v>
      </c>
      <c r="D33" s="298"/>
      <c r="E33" s="211"/>
      <c r="F33" s="299"/>
      <c r="G33" s="274"/>
      <c r="H33" s="274"/>
      <c r="I33" s="274"/>
      <c r="J33" s="274"/>
      <c r="K33" s="274"/>
      <c r="L33" s="274"/>
      <c r="M33" s="274"/>
      <c r="N33" s="274"/>
      <c r="O33" s="274"/>
      <c r="P33" s="274"/>
      <c r="Q33" s="274"/>
      <c r="R33" s="274"/>
      <c r="S33" s="334"/>
      <c r="T33" s="334"/>
      <c r="U33" s="334"/>
      <c r="V33" s="334"/>
    </row>
    <row r="34" ht="30" customHeight="1" spans="2:22">
      <c r="B34" s="296">
        <v>1302</v>
      </c>
      <c r="C34" s="400" t="s">
        <v>43</v>
      </c>
      <c r="D34" s="298"/>
      <c r="E34" s="211"/>
      <c r="F34" s="299"/>
      <c r="G34" s="274"/>
      <c r="H34" s="274"/>
      <c r="I34" s="274"/>
      <c r="J34" s="274"/>
      <c r="K34" s="274"/>
      <c r="L34" s="274"/>
      <c r="M34" s="274"/>
      <c r="N34" s="274"/>
      <c r="O34" s="274"/>
      <c r="P34" s="274"/>
      <c r="Q34" s="274"/>
      <c r="R34" s="274"/>
      <c r="S34" s="334"/>
      <c r="T34" s="334"/>
      <c r="U34" s="334"/>
      <c r="V34" s="334"/>
    </row>
    <row r="35" ht="30" customHeight="1" spans="2:22">
      <c r="B35" s="296">
        <v>1303</v>
      </c>
      <c r="C35" s="400" t="s">
        <v>44</v>
      </c>
      <c r="D35" s="298"/>
      <c r="E35" s="211"/>
      <c r="F35" s="299"/>
      <c r="G35" s="274"/>
      <c r="H35" s="274"/>
      <c r="I35" s="274"/>
      <c r="J35" s="274"/>
      <c r="K35" s="274"/>
      <c r="L35" s="274"/>
      <c r="M35" s="274"/>
      <c r="N35" s="274"/>
      <c r="O35" s="274"/>
      <c r="P35" s="274"/>
      <c r="Q35" s="274"/>
      <c r="R35" s="274"/>
      <c r="S35" s="334"/>
      <c r="T35" s="334"/>
      <c r="U35" s="334"/>
      <c r="V35" s="334"/>
    </row>
    <row r="36" ht="30" customHeight="1" spans="2:22">
      <c r="B36" s="296">
        <v>1304</v>
      </c>
      <c r="C36" s="400" t="s">
        <v>45</v>
      </c>
      <c r="D36" s="298"/>
      <c r="E36" s="211"/>
      <c r="F36" s="299"/>
      <c r="G36" s="274"/>
      <c r="H36" s="274"/>
      <c r="I36" s="274"/>
      <c r="J36" s="274"/>
      <c r="K36" s="274"/>
      <c r="L36" s="274"/>
      <c r="M36" s="274"/>
      <c r="N36" s="274"/>
      <c r="O36" s="274"/>
      <c r="P36" s="274"/>
      <c r="Q36" s="274"/>
      <c r="R36" s="274"/>
      <c r="S36" s="334"/>
      <c r="T36" s="334"/>
      <c r="U36" s="334"/>
      <c r="V36" s="334"/>
    </row>
    <row r="37" ht="30" customHeight="1" spans="2:22">
      <c r="B37" s="296">
        <v>1311</v>
      </c>
      <c r="C37" s="400" t="s">
        <v>46</v>
      </c>
      <c r="D37" s="298"/>
      <c r="E37" s="211"/>
      <c r="F37" s="299"/>
      <c r="G37" s="274"/>
      <c r="H37" s="274"/>
      <c r="I37" s="274"/>
      <c r="J37" s="274"/>
      <c r="K37" s="274"/>
      <c r="L37" s="274"/>
      <c r="M37" s="274"/>
      <c r="N37" s="274"/>
      <c r="O37" s="274"/>
      <c r="P37" s="274"/>
      <c r="Q37" s="274"/>
      <c r="R37" s="274"/>
      <c r="S37" s="334"/>
      <c r="T37" s="334"/>
      <c r="U37" s="334"/>
      <c r="V37" s="334"/>
    </row>
    <row r="38" ht="30" customHeight="1" spans="2:22">
      <c r="B38" s="296">
        <v>1321</v>
      </c>
      <c r="C38" s="400" t="s">
        <v>47</v>
      </c>
      <c r="D38" s="298"/>
      <c r="E38" s="211"/>
      <c r="F38" s="299"/>
      <c r="G38" s="274"/>
      <c r="H38" s="274"/>
      <c r="I38" s="274"/>
      <c r="J38" s="274"/>
      <c r="K38" s="274"/>
      <c r="L38" s="274"/>
      <c r="M38" s="274"/>
      <c r="N38" s="274"/>
      <c r="O38" s="274"/>
      <c r="P38" s="274"/>
      <c r="Q38" s="274"/>
      <c r="R38" s="274"/>
      <c r="S38" s="334"/>
      <c r="T38" s="334"/>
      <c r="U38" s="334"/>
      <c r="V38" s="334"/>
    </row>
    <row r="39" ht="30" customHeight="1" spans="2:22">
      <c r="B39" s="305">
        <v>1401</v>
      </c>
      <c r="C39" s="403" t="s">
        <v>48</v>
      </c>
      <c r="D39" s="307"/>
      <c r="E39" s="308"/>
      <c r="F39" s="309"/>
      <c r="G39" s="274"/>
      <c r="H39" s="274"/>
      <c r="I39" s="274"/>
      <c r="J39" s="274"/>
      <c r="K39" s="274"/>
      <c r="L39" s="274"/>
      <c r="M39" s="274"/>
      <c r="N39" s="274"/>
      <c r="O39" s="274"/>
      <c r="P39" s="274"/>
      <c r="Q39" s="274"/>
      <c r="R39" s="274"/>
      <c r="S39" s="334"/>
      <c r="T39" s="334"/>
      <c r="U39" s="334"/>
      <c r="V39" s="334"/>
    </row>
    <row r="40" ht="30" customHeight="1" spans="2:22">
      <c r="B40" s="269">
        <v>1402</v>
      </c>
      <c r="C40" s="398" t="s">
        <v>49</v>
      </c>
      <c r="D40" s="288"/>
      <c r="E40" s="289"/>
      <c r="F40" s="290"/>
      <c r="G40" s="274"/>
      <c r="H40" s="274"/>
      <c r="I40" s="274"/>
      <c r="J40" s="274"/>
      <c r="K40" s="274"/>
      <c r="L40" s="274"/>
      <c r="M40" s="274"/>
      <c r="N40" s="274"/>
      <c r="O40" s="274"/>
      <c r="P40" s="274"/>
      <c r="Q40" s="274"/>
      <c r="R40" s="274"/>
      <c r="S40" s="334"/>
      <c r="T40" s="334"/>
      <c r="U40" s="334"/>
      <c r="V40" s="334"/>
    </row>
    <row r="41" ht="30" customHeight="1" spans="2:22">
      <c r="B41" s="325">
        <v>1403</v>
      </c>
      <c r="C41" s="410" t="s">
        <v>50</v>
      </c>
      <c r="D41" s="327"/>
      <c r="E41" s="328"/>
      <c r="F41" s="329"/>
      <c r="G41" s="274"/>
      <c r="H41" s="274"/>
      <c r="I41" s="274"/>
      <c r="J41" s="274"/>
      <c r="K41" s="274"/>
      <c r="L41" s="274"/>
      <c r="M41" s="274"/>
      <c r="N41" s="274"/>
      <c r="O41" s="274"/>
      <c r="P41" s="274"/>
      <c r="Q41" s="274"/>
      <c r="R41" s="274"/>
      <c r="S41" s="334"/>
      <c r="T41" s="334"/>
      <c r="U41" s="334"/>
      <c r="V41" s="334"/>
    </row>
    <row r="42" ht="30" customHeight="1" spans="2:22">
      <c r="B42" s="330">
        <v>140301</v>
      </c>
      <c r="C42" s="411" t="s">
        <v>51</v>
      </c>
      <c r="D42" s="332"/>
      <c r="E42" s="218"/>
      <c r="F42" s="333"/>
      <c r="G42" s="274"/>
      <c r="H42" s="274"/>
      <c r="I42" s="274"/>
      <c r="J42" s="274"/>
      <c r="K42" s="274"/>
      <c r="L42" s="274"/>
      <c r="M42" s="274"/>
      <c r="N42" s="274"/>
      <c r="O42" s="274"/>
      <c r="P42" s="274"/>
      <c r="Q42" s="274"/>
      <c r="R42" s="274"/>
      <c r="S42" s="334"/>
      <c r="T42" s="334"/>
      <c r="U42" s="334"/>
      <c r="V42" s="334"/>
    </row>
    <row r="43" ht="30" customHeight="1" spans="2:22">
      <c r="B43" s="330">
        <v>140302</v>
      </c>
      <c r="C43" s="411" t="s">
        <v>52</v>
      </c>
      <c r="D43" s="332"/>
      <c r="E43" s="218"/>
      <c r="F43" s="333"/>
      <c r="G43" s="274"/>
      <c r="H43" s="274"/>
      <c r="I43" s="274"/>
      <c r="J43" s="274"/>
      <c r="K43" s="274"/>
      <c r="L43" s="274"/>
      <c r="M43" s="274"/>
      <c r="N43" s="274"/>
      <c r="O43" s="274"/>
      <c r="P43" s="274"/>
      <c r="Q43" s="274"/>
      <c r="R43" s="274"/>
      <c r="S43" s="334"/>
      <c r="T43" s="334"/>
      <c r="U43" s="334"/>
      <c r="V43" s="334"/>
    </row>
    <row r="44" ht="30" customHeight="1" spans="2:22">
      <c r="B44" s="330">
        <v>140303</v>
      </c>
      <c r="C44" s="411" t="s">
        <v>53</v>
      </c>
      <c r="D44" s="332"/>
      <c r="E44" s="218"/>
      <c r="F44" s="333"/>
      <c r="G44" s="274"/>
      <c r="H44" s="274"/>
      <c r="I44" s="274"/>
      <c r="J44" s="274"/>
      <c r="K44" s="274"/>
      <c r="L44" s="274"/>
      <c r="M44" s="274"/>
      <c r="N44" s="274"/>
      <c r="O44" s="274"/>
      <c r="P44" s="274"/>
      <c r="Q44" s="274"/>
      <c r="R44" s="274"/>
      <c r="S44" s="334"/>
      <c r="T44" s="334"/>
      <c r="U44" s="334"/>
      <c r="V44" s="334"/>
    </row>
    <row r="45" ht="30" customHeight="1" spans="2:22">
      <c r="B45" s="296">
        <v>1404</v>
      </c>
      <c r="C45" s="400" t="s">
        <v>54</v>
      </c>
      <c r="D45" s="298"/>
      <c r="E45" s="211"/>
      <c r="F45" s="299"/>
      <c r="G45" s="274"/>
      <c r="H45" s="274"/>
      <c r="I45" s="274"/>
      <c r="J45" s="274"/>
      <c r="K45" s="274"/>
      <c r="L45" s="274"/>
      <c r="M45" s="274"/>
      <c r="N45" s="274"/>
      <c r="O45" s="274"/>
      <c r="P45" s="274"/>
      <c r="Q45" s="274"/>
      <c r="R45" s="274"/>
      <c r="S45" s="334"/>
      <c r="T45" s="334"/>
      <c r="U45" s="334"/>
      <c r="V45" s="334"/>
    </row>
    <row r="46" ht="30" customHeight="1" spans="2:22">
      <c r="B46" s="296">
        <v>1405</v>
      </c>
      <c r="C46" s="400" t="s">
        <v>55</v>
      </c>
      <c r="D46" s="298"/>
      <c r="E46" s="211"/>
      <c r="F46" s="299"/>
      <c r="G46" s="274"/>
      <c r="H46" s="274"/>
      <c r="I46" s="274"/>
      <c r="J46" s="274"/>
      <c r="K46" s="274"/>
      <c r="L46" s="274"/>
      <c r="M46" s="274"/>
      <c r="N46" s="274"/>
      <c r="O46" s="274"/>
      <c r="P46" s="274"/>
      <c r="Q46" s="274"/>
      <c r="R46" s="274"/>
      <c r="S46" s="334"/>
      <c r="T46" s="334"/>
      <c r="U46" s="334"/>
      <c r="V46" s="334"/>
    </row>
    <row r="47" ht="30" customHeight="1" spans="2:22">
      <c r="B47" s="296">
        <v>1406</v>
      </c>
      <c r="C47" s="400" t="s">
        <v>56</v>
      </c>
      <c r="D47" s="298"/>
      <c r="E47" s="211"/>
      <c r="F47" s="299"/>
      <c r="G47" s="274"/>
      <c r="H47" s="274"/>
      <c r="I47" s="274"/>
      <c r="J47" s="274"/>
      <c r="K47" s="274"/>
      <c r="L47" s="274"/>
      <c r="M47" s="274"/>
      <c r="N47" s="274"/>
      <c r="O47" s="274"/>
      <c r="P47" s="274"/>
      <c r="Q47" s="274"/>
      <c r="R47" s="274"/>
      <c r="S47" s="334"/>
      <c r="T47" s="334"/>
      <c r="U47" s="334"/>
      <c r="V47" s="334"/>
    </row>
    <row r="48" ht="30" customHeight="1" spans="2:22">
      <c r="B48" s="296">
        <v>1407</v>
      </c>
      <c r="C48" s="400" t="s">
        <v>57</v>
      </c>
      <c r="D48" s="298"/>
      <c r="E48" s="211"/>
      <c r="F48" s="299"/>
      <c r="G48" s="274"/>
      <c r="H48" s="274"/>
      <c r="I48" s="274"/>
      <c r="J48" s="274"/>
      <c r="K48" s="274"/>
      <c r="L48" s="274"/>
      <c r="M48" s="274"/>
      <c r="N48" s="274"/>
      <c r="O48" s="274"/>
      <c r="P48" s="274"/>
      <c r="Q48" s="274"/>
      <c r="R48" s="274"/>
      <c r="S48" s="334"/>
      <c r="T48" s="334"/>
      <c r="U48" s="334"/>
      <c r="V48" s="334"/>
    </row>
    <row r="49" ht="30" customHeight="1" spans="2:22">
      <c r="B49" s="296">
        <v>1408</v>
      </c>
      <c r="C49" s="400" t="s">
        <v>58</v>
      </c>
      <c r="D49" s="298"/>
      <c r="E49" s="211"/>
      <c r="F49" s="299"/>
      <c r="G49" s="274"/>
      <c r="H49" s="274"/>
      <c r="I49" s="274"/>
      <c r="J49" s="274"/>
      <c r="K49" s="274"/>
      <c r="L49" s="274"/>
      <c r="M49" s="274"/>
      <c r="N49" s="274"/>
      <c r="O49" s="274"/>
      <c r="P49" s="274"/>
      <c r="Q49" s="274"/>
      <c r="R49" s="274"/>
      <c r="S49" s="334"/>
      <c r="T49" s="334"/>
      <c r="U49" s="334"/>
      <c r="V49" s="334"/>
    </row>
    <row r="50" ht="30" customHeight="1" spans="2:22">
      <c r="B50" s="296">
        <v>1411</v>
      </c>
      <c r="C50" s="400" t="s">
        <v>59</v>
      </c>
      <c r="D50" s="298"/>
      <c r="E50" s="211"/>
      <c r="F50" s="299"/>
      <c r="G50" s="274"/>
      <c r="H50" s="274"/>
      <c r="I50" s="274"/>
      <c r="J50" s="274"/>
      <c r="K50" s="274"/>
      <c r="L50" s="274"/>
      <c r="M50" s="274"/>
      <c r="N50" s="274"/>
      <c r="O50" s="274"/>
      <c r="P50" s="274"/>
      <c r="Q50" s="274"/>
      <c r="R50" s="274"/>
      <c r="S50" s="334"/>
      <c r="T50" s="334"/>
      <c r="U50" s="334"/>
      <c r="V50" s="334"/>
    </row>
    <row r="51" ht="30" customHeight="1" spans="2:22">
      <c r="B51" s="296">
        <v>1421</v>
      </c>
      <c r="C51" s="400" t="s">
        <v>60</v>
      </c>
      <c r="D51" s="298"/>
      <c r="E51" s="211"/>
      <c r="F51" s="299"/>
      <c r="G51" s="274"/>
      <c r="H51" s="274"/>
      <c r="I51" s="274"/>
      <c r="J51" s="274"/>
      <c r="K51" s="274"/>
      <c r="L51" s="274"/>
      <c r="M51" s="274"/>
      <c r="N51" s="274"/>
      <c r="O51" s="274"/>
      <c r="P51" s="274"/>
      <c r="Q51" s="274"/>
      <c r="R51" s="274"/>
      <c r="S51" s="334"/>
      <c r="T51" s="334"/>
      <c r="U51" s="334"/>
      <c r="V51" s="334"/>
    </row>
    <row r="52" ht="30" customHeight="1" spans="2:22">
      <c r="B52" s="296">
        <v>1431</v>
      </c>
      <c r="C52" s="400" t="s">
        <v>61</v>
      </c>
      <c r="D52" s="298"/>
      <c r="E52" s="211"/>
      <c r="F52" s="299"/>
      <c r="G52" s="274"/>
      <c r="H52" s="274"/>
      <c r="I52" s="274"/>
      <c r="J52" s="274"/>
      <c r="K52" s="274"/>
      <c r="L52" s="274"/>
      <c r="M52" s="274"/>
      <c r="N52" s="274"/>
      <c r="O52" s="274"/>
      <c r="P52" s="274"/>
      <c r="Q52" s="274"/>
      <c r="R52" s="274"/>
      <c r="S52" s="334"/>
      <c r="T52" s="334"/>
      <c r="U52" s="334"/>
      <c r="V52" s="334"/>
    </row>
    <row r="53" ht="30" customHeight="1" spans="2:22">
      <c r="B53" s="296">
        <v>1441</v>
      </c>
      <c r="C53" s="400" t="s">
        <v>62</v>
      </c>
      <c r="D53" s="298"/>
      <c r="E53" s="211"/>
      <c r="F53" s="299"/>
      <c r="G53" s="274"/>
      <c r="H53" s="274"/>
      <c r="I53" s="274"/>
      <c r="J53" s="274"/>
      <c r="K53" s="274"/>
      <c r="L53" s="274"/>
      <c r="M53" s="274"/>
      <c r="N53" s="274"/>
      <c r="O53" s="274"/>
      <c r="P53" s="274"/>
      <c r="Q53" s="274"/>
      <c r="R53" s="274"/>
      <c r="S53" s="334"/>
      <c r="T53" s="334"/>
      <c r="U53" s="334"/>
      <c r="V53" s="334"/>
    </row>
    <row r="54" ht="30" customHeight="1" spans="2:22">
      <c r="B54" s="296">
        <v>1451</v>
      </c>
      <c r="C54" s="400" t="s">
        <v>63</v>
      </c>
      <c r="D54" s="298"/>
      <c r="E54" s="211"/>
      <c r="F54" s="299"/>
      <c r="G54" s="274"/>
      <c r="H54" s="274"/>
      <c r="I54" s="274"/>
      <c r="J54" s="274"/>
      <c r="K54" s="274"/>
      <c r="L54" s="274"/>
      <c r="M54" s="274"/>
      <c r="N54" s="274"/>
      <c r="O54" s="274"/>
      <c r="P54" s="274"/>
      <c r="Q54" s="274"/>
      <c r="R54" s="274"/>
      <c r="S54" s="334"/>
      <c r="T54" s="334"/>
      <c r="U54" s="334"/>
      <c r="V54" s="334"/>
    </row>
    <row r="55" ht="30" customHeight="1" spans="2:22">
      <c r="B55" s="296">
        <v>1461</v>
      </c>
      <c r="C55" s="400" t="s">
        <v>64</v>
      </c>
      <c r="D55" s="298"/>
      <c r="E55" s="211"/>
      <c r="F55" s="299"/>
      <c r="G55" s="274"/>
      <c r="H55" s="274"/>
      <c r="I55" s="274"/>
      <c r="J55" s="274"/>
      <c r="K55" s="274"/>
      <c r="L55" s="274"/>
      <c r="M55" s="274"/>
      <c r="N55" s="274"/>
      <c r="O55" s="274"/>
      <c r="P55" s="274"/>
      <c r="Q55" s="274"/>
      <c r="R55" s="274"/>
      <c r="S55" s="334"/>
      <c r="T55" s="334"/>
      <c r="U55" s="334"/>
      <c r="V55" s="334"/>
    </row>
    <row r="56" ht="30" customHeight="1" spans="2:22">
      <c r="B56" s="296">
        <v>1471</v>
      </c>
      <c r="C56" s="400" t="s">
        <v>65</v>
      </c>
      <c r="D56" s="298"/>
      <c r="E56" s="211"/>
      <c r="F56" s="299"/>
      <c r="G56" s="274"/>
      <c r="H56" s="274"/>
      <c r="I56" s="274"/>
      <c r="J56" s="274"/>
      <c r="K56" s="274"/>
      <c r="L56" s="274"/>
      <c r="M56" s="274"/>
      <c r="N56" s="274"/>
      <c r="O56" s="274"/>
      <c r="P56" s="274"/>
      <c r="Q56" s="274"/>
      <c r="R56" s="274"/>
      <c r="S56" s="334"/>
      <c r="T56" s="334"/>
      <c r="U56" s="334"/>
      <c r="V56" s="334"/>
    </row>
    <row r="57" ht="30" customHeight="1" spans="2:22">
      <c r="B57" s="296">
        <v>1501</v>
      </c>
      <c r="C57" s="400" t="s">
        <v>66</v>
      </c>
      <c r="D57" s="298"/>
      <c r="E57" s="211"/>
      <c r="F57" s="299"/>
      <c r="G57" s="274"/>
      <c r="H57" s="274"/>
      <c r="I57" s="274"/>
      <c r="J57" s="274"/>
      <c r="K57" s="274"/>
      <c r="L57" s="274"/>
      <c r="M57" s="274"/>
      <c r="N57" s="274"/>
      <c r="O57" s="274"/>
      <c r="P57" s="274"/>
      <c r="Q57" s="274"/>
      <c r="R57" s="274"/>
      <c r="S57" s="334"/>
      <c r="T57" s="334"/>
      <c r="U57" s="334"/>
      <c r="V57" s="334"/>
    </row>
    <row r="58" ht="30" customHeight="1" spans="2:22">
      <c r="B58" s="296">
        <v>1502</v>
      </c>
      <c r="C58" s="400" t="s">
        <v>67</v>
      </c>
      <c r="D58" s="298"/>
      <c r="E58" s="211"/>
      <c r="F58" s="299"/>
      <c r="G58" s="274"/>
      <c r="H58" s="274"/>
      <c r="I58" s="274"/>
      <c r="J58" s="274"/>
      <c r="K58" s="274"/>
      <c r="L58" s="274"/>
      <c r="M58" s="274"/>
      <c r="N58" s="274"/>
      <c r="O58" s="274"/>
      <c r="P58" s="274"/>
      <c r="Q58" s="274"/>
      <c r="R58" s="274"/>
      <c r="S58" s="334"/>
      <c r="T58" s="334"/>
      <c r="U58" s="334"/>
      <c r="V58" s="334"/>
    </row>
    <row r="59" ht="30" customHeight="1" spans="2:22">
      <c r="B59" s="296">
        <v>1503</v>
      </c>
      <c r="C59" s="400" t="s">
        <v>68</v>
      </c>
      <c r="D59" s="298"/>
      <c r="E59" s="211"/>
      <c r="F59" s="299"/>
      <c r="G59" s="274"/>
      <c r="H59" s="274"/>
      <c r="I59" s="274"/>
      <c r="J59" s="274"/>
      <c r="K59" s="274"/>
      <c r="L59" s="274"/>
      <c r="M59" s="274"/>
      <c r="N59" s="274"/>
      <c r="O59" s="274"/>
      <c r="P59" s="274"/>
      <c r="Q59" s="274"/>
      <c r="R59" s="274"/>
      <c r="S59" s="334"/>
      <c r="T59" s="334"/>
      <c r="U59" s="334"/>
      <c r="V59" s="334"/>
    </row>
    <row r="60" ht="30" customHeight="1" spans="2:22">
      <c r="B60" s="296">
        <v>1511</v>
      </c>
      <c r="C60" s="400" t="s">
        <v>69</v>
      </c>
      <c r="D60" s="298"/>
      <c r="E60" s="211"/>
      <c r="F60" s="299"/>
      <c r="G60" s="274"/>
      <c r="H60" s="274"/>
      <c r="I60" s="274"/>
      <c r="J60" s="274"/>
      <c r="K60" s="274"/>
      <c r="L60" s="274"/>
      <c r="M60" s="274"/>
      <c r="N60" s="274"/>
      <c r="O60" s="274"/>
      <c r="P60" s="274"/>
      <c r="Q60" s="274"/>
      <c r="R60" s="274"/>
      <c r="S60" s="334"/>
      <c r="T60" s="334"/>
      <c r="U60" s="334"/>
      <c r="V60" s="334"/>
    </row>
    <row r="61" ht="30" customHeight="1" spans="2:22">
      <c r="B61" s="296">
        <v>1512</v>
      </c>
      <c r="C61" s="400" t="s">
        <v>70</v>
      </c>
      <c r="D61" s="298"/>
      <c r="E61" s="211"/>
      <c r="F61" s="299"/>
      <c r="G61" s="274"/>
      <c r="H61" s="274"/>
      <c r="I61" s="274"/>
      <c r="J61" s="274"/>
      <c r="K61" s="274"/>
      <c r="L61" s="274"/>
      <c r="M61" s="274"/>
      <c r="N61" s="274"/>
      <c r="O61" s="274"/>
      <c r="P61" s="274"/>
      <c r="Q61" s="274"/>
      <c r="R61" s="274"/>
      <c r="S61" s="334"/>
      <c r="T61" s="334"/>
      <c r="U61" s="334"/>
      <c r="V61" s="334"/>
    </row>
    <row r="62" ht="30" customHeight="1" spans="2:22">
      <c r="B62" s="296">
        <v>1521</v>
      </c>
      <c r="C62" s="400" t="s">
        <v>71</v>
      </c>
      <c r="D62" s="298"/>
      <c r="E62" s="211"/>
      <c r="F62" s="299"/>
      <c r="G62" s="274"/>
      <c r="H62" s="274"/>
      <c r="I62" s="274"/>
      <c r="J62" s="274"/>
      <c r="K62" s="274"/>
      <c r="L62" s="274"/>
      <c r="M62" s="274"/>
      <c r="N62" s="274"/>
      <c r="O62" s="274"/>
      <c r="P62" s="274"/>
      <c r="Q62" s="274"/>
      <c r="R62" s="274"/>
      <c r="S62" s="334"/>
      <c r="T62" s="334"/>
      <c r="U62" s="334"/>
      <c r="V62" s="334"/>
    </row>
    <row r="63" ht="30" customHeight="1" spans="2:22">
      <c r="B63" s="296">
        <v>1531</v>
      </c>
      <c r="C63" s="400" t="s">
        <v>72</v>
      </c>
      <c r="D63" s="298"/>
      <c r="E63" s="211"/>
      <c r="F63" s="299"/>
      <c r="G63" s="274"/>
      <c r="H63" s="274"/>
      <c r="I63" s="274"/>
      <c r="J63" s="274"/>
      <c r="K63" s="274"/>
      <c r="L63" s="274"/>
      <c r="M63" s="274"/>
      <c r="N63" s="274"/>
      <c r="O63" s="274"/>
      <c r="P63" s="274"/>
      <c r="Q63" s="274"/>
      <c r="R63" s="274"/>
      <c r="S63" s="334"/>
      <c r="T63" s="334"/>
      <c r="U63" s="334"/>
      <c r="V63" s="334"/>
    </row>
    <row r="64" ht="30" customHeight="1" spans="2:22">
      <c r="B64" s="296">
        <v>1532</v>
      </c>
      <c r="C64" s="400" t="s">
        <v>73</v>
      </c>
      <c r="D64" s="298"/>
      <c r="E64" s="211"/>
      <c r="F64" s="299"/>
      <c r="G64" s="274"/>
      <c r="H64" s="274"/>
      <c r="I64" s="274"/>
      <c r="J64" s="274"/>
      <c r="K64" s="274"/>
      <c r="L64" s="274"/>
      <c r="M64" s="274"/>
      <c r="N64" s="274"/>
      <c r="O64" s="274"/>
      <c r="P64" s="274"/>
      <c r="Q64" s="274"/>
      <c r="R64" s="274"/>
      <c r="S64" s="334"/>
      <c r="T64" s="334"/>
      <c r="U64" s="334"/>
      <c r="V64" s="334"/>
    </row>
    <row r="65" ht="30" customHeight="1" spans="2:22">
      <c r="B65" s="296">
        <v>1541</v>
      </c>
      <c r="C65" s="400" t="s">
        <v>74</v>
      </c>
      <c r="D65" s="298"/>
      <c r="E65" s="211"/>
      <c r="F65" s="299"/>
      <c r="G65" s="274"/>
      <c r="H65" s="274"/>
      <c r="I65" s="274"/>
      <c r="J65" s="274"/>
      <c r="K65" s="274"/>
      <c r="L65" s="274"/>
      <c r="M65" s="274"/>
      <c r="N65" s="274"/>
      <c r="O65" s="274"/>
      <c r="P65" s="274"/>
      <c r="Q65" s="274"/>
      <c r="R65" s="274"/>
      <c r="S65" s="334"/>
      <c r="T65" s="334"/>
      <c r="U65" s="334"/>
      <c r="V65" s="334"/>
    </row>
    <row r="66" ht="30" customHeight="1" spans="2:22">
      <c r="B66" s="335">
        <v>1601</v>
      </c>
      <c r="C66" s="412" t="s">
        <v>75</v>
      </c>
      <c r="D66" s="337"/>
      <c r="E66" s="224"/>
      <c r="F66" s="338"/>
      <c r="G66" s="274"/>
      <c r="H66" s="274"/>
      <c r="I66" s="274"/>
      <c r="J66" s="274"/>
      <c r="K66" s="274"/>
      <c r="L66" s="274"/>
      <c r="M66" s="274"/>
      <c r="N66" s="274"/>
      <c r="O66" s="274"/>
      <c r="P66" s="274"/>
      <c r="Q66" s="274"/>
      <c r="R66" s="274"/>
      <c r="S66" s="334"/>
      <c r="T66" s="334"/>
      <c r="U66" s="334"/>
      <c r="V66" s="334"/>
    </row>
    <row r="67" ht="30" customHeight="1" spans="2:22">
      <c r="B67" s="335">
        <v>160101</v>
      </c>
      <c r="C67" s="412" t="s">
        <v>76</v>
      </c>
      <c r="D67" s="337"/>
      <c r="E67" s="224"/>
      <c r="F67" s="338"/>
      <c r="G67" s="274"/>
      <c r="H67" s="274"/>
      <c r="I67" s="274"/>
      <c r="J67" s="274"/>
      <c r="K67" s="274"/>
      <c r="L67" s="274"/>
      <c r="M67" s="274"/>
      <c r="N67" s="274"/>
      <c r="O67" s="274"/>
      <c r="P67" s="274"/>
      <c r="Q67" s="274"/>
      <c r="R67" s="274"/>
      <c r="S67" s="334"/>
      <c r="T67" s="334"/>
      <c r="U67" s="334"/>
      <c r="V67" s="334"/>
    </row>
    <row r="68" ht="30" customHeight="1" spans="2:22">
      <c r="B68" s="339">
        <v>1602</v>
      </c>
      <c r="C68" s="413" t="s">
        <v>77</v>
      </c>
      <c r="D68" s="341"/>
      <c r="E68" s="229"/>
      <c r="F68" s="342"/>
      <c r="G68" s="274"/>
      <c r="H68" s="274"/>
      <c r="I68" s="274"/>
      <c r="J68" s="274"/>
      <c r="K68" s="274"/>
      <c r="L68" s="274"/>
      <c r="M68" s="274"/>
      <c r="N68" s="274"/>
      <c r="O68" s="274"/>
      <c r="P68" s="274"/>
      <c r="Q68" s="274"/>
      <c r="R68" s="274"/>
      <c r="S68" s="334"/>
      <c r="T68" s="334"/>
      <c r="U68" s="334"/>
      <c r="V68" s="334"/>
    </row>
    <row r="69" ht="30" customHeight="1" spans="2:22">
      <c r="B69" s="339">
        <v>160201</v>
      </c>
      <c r="C69" s="413" t="s">
        <v>78</v>
      </c>
      <c r="D69" s="341"/>
      <c r="E69" s="229"/>
      <c r="F69" s="342"/>
      <c r="G69" s="274"/>
      <c r="H69" s="274"/>
      <c r="I69" s="274"/>
      <c r="J69" s="274"/>
      <c r="K69" s="274"/>
      <c r="L69" s="274"/>
      <c r="M69" s="274"/>
      <c r="N69" s="274"/>
      <c r="O69" s="274"/>
      <c r="P69" s="274"/>
      <c r="Q69" s="274"/>
      <c r="R69" s="274"/>
      <c r="S69" s="334"/>
      <c r="T69" s="334"/>
      <c r="U69" s="334"/>
      <c r="V69" s="334"/>
    </row>
    <row r="70" ht="30" customHeight="1" spans="2:22">
      <c r="B70" s="296">
        <v>1603</v>
      </c>
      <c r="C70" s="400" t="s">
        <v>79</v>
      </c>
      <c r="D70" s="298"/>
      <c r="E70" s="211"/>
      <c r="F70" s="299"/>
      <c r="G70" s="274"/>
      <c r="H70" s="274"/>
      <c r="I70" s="274"/>
      <c r="J70" s="274"/>
      <c r="K70" s="274"/>
      <c r="L70" s="274"/>
      <c r="M70" s="274"/>
      <c r="N70" s="274"/>
      <c r="O70" s="274"/>
      <c r="P70" s="274"/>
      <c r="Q70" s="274"/>
      <c r="R70" s="274"/>
      <c r="S70" s="334"/>
      <c r="T70" s="334"/>
      <c r="U70" s="334"/>
      <c r="V70" s="334"/>
    </row>
    <row r="71" ht="30" customHeight="1" spans="2:22">
      <c r="B71" s="343">
        <v>1604</v>
      </c>
      <c r="C71" s="414" t="s">
        <v>80</v>
      </c>
      <c r="D71" s="345"/>
      <c r="E71" s="233"/>
      <c r="F71" s="346"/>
      <c r="G71" s="274"/>
      <c r="H71" s="274"/>
      <c r="I71" s="274"/>
      <c r="J71" s="274"/>
      <c r="K71" s="274"/>
      <c r="L71" s="274"/>
      <c r="M71" s="274"/>
      <c r="N71" s="274"/>
      <c r="O71" s="274"/>
      <c r="P71" s="274"/>
      <c r="Q71" s="274"/>
      <c r="R71" s="274"/>
      <c r="S71" s="334"/>
      <c r="T71" s="334"/>
      <c r="U71" s="334"/>
      <c r="V71" s="334"/>
    </row>
    <row r="72" ht="30" customHeight="1" spans="2:22">
      <c r="B72" s="343">
        <v>160401</v>
      </c>
      <c r="C72" s="414" t="s">
        <v>81</v>
      </c>
      <c r="D72" s="345"/>
      <c r="E72" s="233"/>
      <c r="F72" s="346"/>
      <c r="G72" s="274"/>
      <c r="H72" s="274"/>
      <c r="I72" s="274"/>
      <c r="J72" s="274"/>
      <c r="K72" s="274"/>
      <c r="L72" s="274"/>
      <c r="M72" s="274"/>
      <c r="N72" s="274"/>
      <c r="O72" s="274"/>
      <c r="P72" s="274"/>
      <c r="Q72" s="274"/>
      <c r="R72" s="274"/>
      <c r="S72" s="334"/>
      <c r="T72" s="334"/>
      <c r="U72" s="334"/>
      <c r="V72" s="334"/>
    </row>
    <row r="73" ht="30" customHeight="1" spans="2:22">
      <c r="B73" s="296">
        <v>1605</v>
      </c>
      <c r="C73" s="400" t="s">
        <v>82</v>
      </c>
      <c r="D73" s="298"/>
      <c r="E73" s="211"/>
      <c r="F73" s="299"/>
      <c r="G73" s="274"/>
      <c r="H73" s="274"/>
      <c r="I73" s="274"/>
      <c r="J73" s="274"/>
      <c r="K73" s="274"/>
      <c r="L73" s="274"/>
      <c r="M73" s="274"/>
      <c r="N73" s="274"/>
      <c r="O73" s="274"/>
      <c r="P73" s="274"/>
      <c r="Q73" s="274"/>
      <c r="R73" s="274"/>
      <c r="S73" s="334"/>
      <c r="T73" s="334"/>
      <c r="U73" s="334"/>
      <c r="V73" s="334"/>
    </row>
    <row r="74" ht="30" customHeight="1" spans="2:22">
      <c r="B74" s="296">
        <v>1606</v>
      </c>
      <c r="C74" s="400" t="s">
        <v>83</v>
      </c>
      <c r="D74" s="298"/>
      <c r="E74" s="211"/>
      <c r="F74" s="299"/>
      <c r="G74" s="274"/>
      <c r="H74" s="274"/>
      <c r="I74" s="274"/>
      <c r="J74" s="274"/>
      <c r="K74" s="274"/>
      <c r="L74" s="274"/>
      <c r="M74" s="274"/>
      <c r="N74" s="274"/>
      <c r="O74" s="274"/>
      <c r="P74" s="274"/>
      <c r="Q74" s="274"/>
      <c r="R74" s="274"/>
      <c r="S74" s="334"/>
      <c r="T74" s="334"/>
      <c r="U74" s="334"/>
      <c r="V74" s="334"/>
    </row>
    <row r="75" ht="30" customHeight="1" spans="2:22">
      <c r="B75" s="296">
        <v>1611</v>
      </c>
      <c r="C75" s="400" t="s">
        <v>84</v>
      </c>
      <c r="D75" s="298"/>
      <c r="E75" s="211"/>
      <c r="F75" s="299"/>
      <c r="G75" s="274"/>
      <c r="H75" s="274"/>
      <c r="I75" s="274"/>
      <c r="J75" s="274"/>
      <c r="K75" s="274"/>
      <c r="L75" s="274"/>
      <c r="M75" s="274"/>
      <c r="N75" s="274"/>
      <c r="O75" s="274"/>
      <c r="P75" s="274"/>
      <c r="Q75" s="274"/>
      <c r="R75" s="274"/>
      <c r="S75" s="334"/>
      <c r="T75" s="334"/>
      <c r="U75" s="334"/>
      <c r="V75" s="334"/>
    </row>
    <row r="76" ht="30" customHeight="1" spans="2:22">
      <c r="B76" s="296">
        <v>1621</v>
      </c>
      <c r="C76" s="400" t="s">
        <v>85</v>
      </c>
      <c r="D76" s="298"/>
      <c r="E76" s="211"/>
      <c r="F76" s="299"/>
      <c r="G76" s="274"/>
      <c r="H76" s="274"/>
      <c r="I76" s="274"/>
      <c r="J76" s="274"/>
      <c r="K76" s="274"/>
      <c r="L76" s="274"/>
      <c r="M76" s="274"/>
      <c r="N76" s="274"/>
      <c r="O76" s="274"/>
      <c r="P76" s="274"/>
      <c r="Q76" s="274"/>
      <c r="R76" s="274"/>
      <c r="S76" s="334"/>
      <c r="T76" s="334"/>
      <c r="U76" s="334"/>
      <c r="V76" s="334"/>
    </row>
    <row r="77" ht="30" customHeight="1" spans="2:22">
      <c r="B77" s="296">
        <v>1622</v>
      </c>
      <c r="C77" s="400" t="s">
        <v>86</v>
      </c>
      <c r="D77" s="298"/>
      <c r="E77" s="211"/>
      <c r="F77" s="299"/>
      <c r="G77" s="274"/>
      <c r="H77" s="274"/>
      <c r="I77" s="274"/>
      <c r="J77" s="274"/>
      <c r="K77" s="274"/>
      <c r="L77" s="274"/>
      <c r="M77" s="274"/>
      <c r="N77" s="274"/>
      <c r="O77" s="274"/>
      <c r="P77" s="274"/>
      <c r="Q77" s="274"/>
      <c r="R77" s="274"/>
      <c r="S77" s="334"/>
      <c r="T77" s="334"/>
      <c r="U77" s="334"/>
      <c r="V77" s="334"/>
    </row>
    <row r="78" ht="30" customHeight="1" spans="2:22">
      <c r="B78" s="296">
        <v>1623</v>
      </c>
      <c r="C78" s="400" t="s">
        <v>87</v>
      </c>
      <c r="D78" s="298"/>
      <c r="E78" s="211"/>
      <c r="F78" s="299"/>
      <c r="G78" s="274"/>
      <c r="H78" s="274"/>
      <c r="I78" s="274"/>
      <c r="J78" s="274"/>
      <c r="K78" s="274"/>
      <c r="L78" s="274"/>
      <c r="M78" s="274"/>
      <c r="N78" s="274"/>
      <c r="O78" s="274"/>
      <c r="P78" s="274"/>
      <c r="Q78" s="274"/>
      <c r="R78" s="274"/>
      <c r="S78" s="334"/>
      <c r="T78" s="334"/>
      <c r="U78" s="334"/>
      <c r="V78" s="334"/>
    </row>
    <row r="79" ht="30" customHeight="1" spans="2:22">
      <c r="B79" s="296">
        <v>1631</v>
      </c>
      <c r="C79" s="400" t="s">
        <v>88</v>
      </c>
      <c r="D79" s="298"/>
      <c r="E79" s="211"/>
      <c r="F79" s="299"/>
      <c r="G79" s="274"/>
      <c r="H79" s="274"/>
      <c r="I79" s="274"/>
      <c r="J79" s="274"/>
      <c r="K79" s="274"/>
      <c r="L79" s="274"/>
      <c r="M79" s="274"/>
      <c r="N79" s="274"/>
      <c r="O79" s="274"/>
      <c r="P79" s="274"/>
      <c r="Q79" s="274"/>
      <c r="R79" s="274"/>
      <c r="S79" s="334"/>
      <c r="T79" s="334"/>
      <c r="U79" s="334"/>
      <c r="V79" s="334"/>
    </row>
    <row r="80" ht="30" customHeight="1" spans="2:22">
      <c r="B80" s="296">
        <v>1632</v>
      </c>
      <c r="C80" s="400" t="s">
        <v>89</v>
      </c>
      <c r="D80" s="298"/>
      <c r="E80" s="211"/>
      <c r="F80" s="299"/>
      <c r="G80" s="274"/>
      <c r="H80" s="274"/>
      <c r="I80" s="274"/>
      <c r="J80" s="274"/>
      <c r="K80" s="274"/>
      <c r="L80" s="274"/>
      <c r="M80" s="274"/>
      <c r="N80" s="274"/>
      <c r="O80" s="274"/>
      <c r="P80" s="274"/>
      <c r="Q80" s="274"/>
      <c r="R80" s="274"/>
      <c r="S80" s="334"/>
      <c r="T80" s="334"/>
      <c r="U80" s="334"/>
      <c r="V80" s="334"/>
    </row>
    <row r="81" ht="30" customHeight="1" spans="2:22">
      <c r="B81" s="296">
        <v>1701</v>
      </c>
      <c r="C81" s="400" t="s">
        <v>90</v>
      </c>
      <c r="D81" s="298"/>
      <c r="E81" s="211"/>
      <c r="F81" s="299"/>
      <c r="G81" s="274"/>
      <c r="H81" s="274"/>
      <c r="I81" s="274"/>
      <c r="J81" s="274"/>
      <c r="K81" s="274"/>
      <c r="L81" s="274"/>
      <c r="M81" s="274"/>
      <c r="N81" s="274"/>
      <c r="O81" s="274"/>
      <c r="P81" s="274"/>
      <c r="Q81" s="274"/>
      <c r="R81" s="274"/>
      <c r="S81" s="334"/>
      <c r="T81" s="334"/>
      <c r="U81" s="334"/>
      <c r="V81" s="334"/>
    </row>
    <row r="82" ht="30" customHeight="1" spans="2:22">
      <c r="B82" s="296">
        <v>1702</v>
      </c>
      <c r="C82" s="400" t="s">
        <v>91</v>
      </c>
      <c r="D82" s="298"/>
      <c r="E82" s="211"/>
      <c r="F82" s="299"/>
      <c r="G82" s="274"/>
      <c r="H82" s="274"/>
      <c r="I82" s="274"/>
      <c r="J82" s="274"/>
      <c r="K82" s="274"/>
      <c r="L82" s="274"/>
      <c r="M82" s="274"/>
      <c r="N82" s="274"/>
      <c r="O82" s="274"/>
      <c r="P82" s="274"/>
      <c r="Q82" s="274"/>
      <c r="R82" s="274"/>
      <c r="S82" s="334"/>
      <c r="T82" s="334"/>
      <c r="U82" s="334"/>
      <c r="V82" s="334"/>
    </row>
    <row r="83" ht="30" customHeight="1" spans="2:22">
      <c r="B83" s="296">
        <v>1703</v>
      </c>
      <c r="C83" s="400" t="s">
        <v>92</v>
      </c>
      <c r="D83" s="298"/>
      <c r="E83" s="211"/>
      <c r="F83" s="299"/>
      <c r="G83" s="274"/>
      <c r="H83" s="274"/>
      <c r="I83" s="274"/>
      <c r="J83" s="274"/>
      <c r="K83" s="274"/>
      <c r="L83" s="274"/>
      <c r="M83" s="274"/>
      <c r="N83" s="274"/>
      <c r="O83" s="274"/>
      <c r="P83" s="274"/>
      <c r="Q83" s="274"/>
      <c r="R83" s="274"/>
      <c r="S83" s="334"/>
      <c r="T83" s="334"/>
      <c r="U83" s="334"/>
      <c r="V83" s="334"/>
    </row>
    <row r="84" ht="30" customHeight="1" spans="2:22">
      <c r="B84" s="296">
        <v>1711</v>
      </c>
      <c r="C84" s="400" t="s">
        <v>93</v>
      </c>
      <c r="D84" s="298"/>
      <c r="E84" s="211"/>
      <c r="F84" s="299"/>
      <c r="G84" s="274"/>
      <c r="H84" s="274"/>
      <c r="I84" s="274"/>
      <c r="J84" s="274"/>
      <c r="K84" s="274"/>
      <c r="L84" s="274"/>
      <c r="M84" s="274"/>
      <c r="N84" s="274"/>
      <c r="O84" s="274"/>
      <c r="P84" s="274"/>
      <c r="Q84" s="274"/>
      <c r="R84" s="274"/>
      <c r="S84" s="334"/>
      <c r="T84" s="334"/>
      <c r="U84" s="334"/>
      <c r="V84" s="334"/>
    </row>
    <row r="85" ht="30" customHeight="1" spans="2:22">
      <c r="B85" s="300">
        <v>1801</v>
      </c>
      <c r="C85" s="401" t="s">
        <v>94</v>
      </c>
      <c r="D85" s="302"/>
      <c r="E85" s="303"/>
      <c r="F85" s="304"/>
      <c r="G85" s="274"/>
      <c r="H85" s="274"/>
      <c r="I85" s="274"/>
      <c r="J85" s="274"/>
      <c r="K85" s="274"/>
      <c r="L85" s="274"/>
      <c r="M85" s="274"/>
      <c r="N85" s="274"/>
      <c r="O85" s="274"/>
      <c r="P85" s="274"/>
      <c r="Q85" s="274"/>
      <c r="R85" s="274"/>
      <c r="S85" s="334"/>
      <c r="T85" s="334"/>
      <c r="U85" s="334"/>
      <c r="V85" s="334"/>
    </row>
    <row r="86" ht="30" customHeight="1" spans="2:22">
      <c r="B86" s="347">
        <v>1811</v>
      </c>
      <c r="C86" s="415" t="s">
        <v>95</v>
      </c>
      <c r="D86" s="349"/>
      <c r="E86" s="350"/>
      <c r="F86" s="273"/>
      <c r="G86" s="274"/>
      <c r="H86" s="274"/>
      <c r="I86" s="274"/>
      <c r="J86" s="274"/>
      <c r="K86" s="274"/>
      <c r="L86" s="274"/>
      <c r="M86" s="274"/>
      <c r="N86" s="274"/>
      <c r="O86" s="274"/>
      <c r="P86" s="274"/>
      <c r="Q86" s="274"/>
      <c r="R86" s="274"/>
      <c r="S86" s="334"/>
      <c r="T86" s="334"/>
      <c r="U86" s="334"/>
      <c r="V86" s="334"/>
    </row>
    <row r="87" ht="30" customHeight="1" spans="2:22">
      <c r="B87" s="296">
        <v>1821</v>
      </c>
      <c r="C87" s="400" t="s">
        <v>96</v>
      </c>
      <c r="D87" s="298"/>
      <c r="E87" s="211"/>
      <c r="F87" s="299"/>
      <c r="G87" s="274"/>
      <c r="H87" s="274"/>
      <c r="I87" s="274"/>
      <c r="J87" s="274"/>
      <c r="K87" s="274"/>
      <c r="L87" s="274"/>
      <c r="M87" s="274"/>
      <c r="N87" s="274"/>
      <c r="O87" s="274"/>
      <c r="P87" s="274"/>
      <c r="Q87" s="274"/>
      <c r="R87" s="274"/>
      <c r="S87" s="334"/>
      <c r="T87" s="334"/>
      <c r="U87" s="334"/>
      <c r="V87" s="334"/>
    </row>
    <row r="88" ht="30" customHeight="1" spans="2:22">
      <c r="B88" s="296">
        <v>1901</v>
      </c>
      <c r="C88" s="400" t="s">
        <v>97</v>
      </c>
      <c r="D88" s="298"/>
      <c r="E88" s="211"/>
      <c r="F88" s="299"/>
      <c r="G88" s="274"/>
      <c r="H88" s="274"/>
      <c r="I88" s="274"/>
      <c r="J88" s="274"/>
      <c r="K88" s="274"/>
      <c r="L88" s="274"/>
      <c r="M88" s="274"/>
      <c r="N88" s="274"/>
      <c r="O88" s="274"/>
      <c r="P88" s="274"/>
      <c r="Q88" s="274"/>
      <c r="R88" s="274"/>
      <c r="S88" s="334"/>
      <c r="T88" s="334"/>
      <c r="U88" s="334"/>
      <c r="V88" s="334"/>
    </row>
    <row r="89" ht="30" customHeight="1" spans="2:22">
      <c r="B89" s="296">
        <v>2001</v>
      </c>
      <c r="C89" s="400" t="s">
        <v>98</v>
      </c>
      <c r="D89" s="298"/>
      <c r="E89" s="211"/>
      <c r="F89" s="299"/>
      <c r="G89" s="274"/>
      <c r="H89" s="274"/>
      <c r="I89" s="274"/>
      <c r="J89" s="274"/>
      <c r="K89" s="274"/>
      <c r="L89" s="274"/>
      <c r="M89" s="274"/>
      <c r="N89" s="274"/>
      <c r="O89" s="274"/>
      <c r="P89" s="274"/>
      <c r="Q89" s="274"/>
      <c r="R89" s="274"/>
      <c r="S89" s="334"/>
      <c r="T89" s="334"/>
      <c r="U89" s="334"/>
      <c r="V89" s="334"/>
    </row>
    <row r="90" ht="30" customHeight="1" spans="2:22">
      <c r="B90" s="296">
        <v>2002</v>
      </c>
      <c r="C90" s="400" t="s">
        <v>99</v>
      </c>
      <c r="D90" s="298"/>
      <c r="E90" s="211"/>
      <c r="F90" s="299"/>
      <c r="G90" s="274"/>
      <c r="H90" s="274"/>
      <c r="I90" s="274"/>
      <c r="J90" s="274"/>
      <c r="K90" s="274"/>
      <c r="L90" s="274"/>
      <c r="M90" s="274"/>
      <c r="N90" s="274"/>
      <c r="O90" s="274"/>
      <c r="P90" s="274"/>
      <c r="Q90" s="274"/>
      <c r="R90" s="274"/>
      <c r="S90" s="334"/>
      <c r="T90" s="334"/>
      <c r="U90" s="334"/>
      <c r="V90" s="334"/>
    </row>
    <row r="91" ht="30" customHeight="1" spans="2:22">
      <c r="B91" s="296">
        <v>2003</v>
      </c>
      <c r="C91" s="400" t="s">
        <v>100</v>
      </c>
      <c r="D91" s="298"/>
      <c r="E91" s="211"/>
      <c r="F91" s="299"/>
      <c r="G91" s="274"/>
      <c r="H91" s="274"/>
      <c r="I91" s="274"/>
      <c r="J91" s="274"/>
      <c r="K91" s="274"/>
      <c r="L91" s="274"/>
      <c r="M91" s="274"/>
      <c r="N91" s="274"/>
      <c r="O91" s="274"/>
      <c r="P91" s="274"/>
      <c r="Q91" s="274"/>
      <c r="R91" s="274"/>
      <c r="S91" s="334"/>
      <c r="T91" s="334"/>
      <c r="U91" s="334"/>
      <c r="V91" s="334"/>
    </row>
    <row r="92" ht="30" customHeight="1" spans="2:22">
      <c r="B92" s="296">
        <v>2004</v>
      </c>
      <c r="C92" s="400" t="s">
        <v>101</v>
      </c>
      <c r="D92" s="298"/>
      <c r="E92" s="211"/>
      <c r="F92" s="299"/>
      <c r="G92" s="274"/>
      <c r="H92" s="274"/>
      <c r="I92" s="274"/>
      <c r="J92" s="274"/>
      <c r="K92" s="274"/>
      <c r="L92" s="274"/>
      <c r="M92" s="274"/>
      <c r="N92" s="274"/>
      <c r="O92" s="274"/>
      <c r="P92" s="274"/>
      <c r="Q92" s="274"/>
      <c r="R92" s="274"/>
      <c r="S92" s="334"/>
      <c r="T92" s="334"/>
      <c r="U92" s="334"/>
      <c r="V92" s="334"/>
    </row>
    <row r="93" ht="30" customHeight="1" spans="2:22">
      <c r="B93" s="296">
        <v>2011</v>
      </c>
      <c r="C93" s="400" t="s">
        <v>102</v>
      </c>
      <c r="D93" s="298"/>
      <c r="E93" s="211"/>
      <c r="F93" s="299"/>
      <c r="G93" s="274"/>
      <c r="H93" s="274"/>
      <c r="I93" s="274"/>
      <c r="J93" s="274"/>
      <c r="K93" s="274"/>
      <c r="L93" s="274"/>
      <c r="M93" s="274"/>
      <c r="N93" s="274"/>
      <c r="O93" s="274"/>
      <c r="P93" s="274"/>
      <c r="Q93" s="274"/>
      <c r="R93" s="274"/>
      <c r="S93" s="334"/>
      <c r="T93" s="334"/>
      <c r="U93" s="334"/>
      <c r="V93" s="334"/>
    </row>
    <row r="94" ht="30" customHeight="1" spans="2:22">
      <c r="B94" s="296">
        <v>2012</v>
      </c>
      <c r="C94" s="400" t="s">
        <v>103</v>
      </c>
      <c r="D94" s="298"/>
      <c r="E94" s="211"/>
      <c r="F94" s="299"/>
      <c r="G94" s="274"/>
      <c r="H94" s="274"/>
      <c r="I94" s="274"/>
      <c r="J94" s="274"/>
      <c r="K94" s="274"/>
      <c r="L94" s="274"/>
      <c r="M94" s="274"/>
      <c r="N94" s="274"/>
      <c r="O94" s="274"/>
      <c r="P94" s="274"/>
      <c r="Q94" s="274"/>
      <c r="R94" s="274"/>
      <c r="S94" s="334"/>
      <c r="T94" s="334"/>
      <c r="U94" s="334"/>
      <c r="V94" s="334"/>
    </row>
    <row r="95" ht="30" customHeight="1" spans="2:22">
      <c r="B95" s="296">
        <v>2021</v>
      </c>
      <c r="C95" s="400" t="s">
        <v>104</v>
      </c>
      <c r="D95" s="298"/>
      <c r="E95" s="211"/>
      <c r="F95" s="299"/>
      <c r="G95" s="274"/>
      <c r="H95" s="274"/>
      <c r="I95" s="274"/>
      <c r="J95" s="274"/>
      <c r="K95" s="274"/>
      <c r="L95" s="274"/>
      <c r="M95" s="274"/>
      <c r="N95" s="274"/>
      <c r="O95" s="274"/>
      <c r="P95" s="274"/>
      <c r="Q95" s="274"/>
      <c r="R95" s="274"/>
      <c r="S95" s="334"/>
      <c r="T95" s="334"/>
      <c r="U95" s="334"/>
      <c r="V95" s="334"/>
    </row>
    <row r="96" ht="30" customHeight="1" spans="2:22">
      <c r="B96" s="296">
        <v>2101</v>
      </c>
      <c r="C96" s="400" t="s">
        <v>105</v>
      </c>
      <c r="D96" s="298"/>
      <c r="E96" s="211"/>
      <c r="F96" s="299"/>
      <c r="G96" s="274"/>
      <c r="H96" s="274"/>
      <c r="I96" s="274"/>
      <c r="J96" s="274"/>
      <c r="K96" s="274"/>
      <c r="L96" s="274"/>
      <c r="M96" s="274"/>
      <c r="N96" s="274"/>
      <c r="O96" s="274"/>
      <c r="P96" s="274"/>
      <c r="Q96" s="274"/>
      <c r="R96" s="274"/>
      <c r="S96" s="334"/>
      <c r="T96" s="334"/>
      <c r="U96" s="334"/>
      <c r="V96" s="334"/>
    </row>
    <row r="97" ht="30" customHeight="1" spans="2:22">
      <c r="B97" s="296">
        <v>2111</v>
      </c>
      <c r="C97" s="400" t="s">
        <v>106</v>
      </c>
      <c r="D97" s="298"/>
      <c r="E97" s="211"/>
      <c r="F97" s="299"/>
      <c r="G97" s="274"/>
      <c r="H97" s="274"/>
      <c r="I97" s="274"/>
      <c r="J97" s="274"/>
      <c r="K97" s="274"/>
      <c r="L97" s="274"/>
      <c r="M97" s="274"/>
      <c r="N97" s="274"/>
      <c r="O97" s="274"/>
      <c r="P97" s="274"/>
      <c r="Q97" s="274"/>
      <c r="R97" s="274"/>
      <c r="S97" s="334"/>
      <c r="T97" s="334"/>
      <c r="U97" s="334"/>
      <c r="V97" s="334"/>
    </row>
    <row r="98" ht="30" customHeight="1" spans="2:22">
      <c r="B98" s="296">
        <v>2201</v>
      </c>
      <c r="C98" s="400" t="s">
        <v>107</v>
      </c>
      <c r="D98" s="402" t="s">
        <v>30</v>
      </c>
      <c r="E98" s="211"/>
      <c r="F98" s="299"/>
      <c r="G98" s="274"/>
      <c r="H98" s="274"/>
      <c r="I98" s="274"/>
      <c r="J98" s="274"/>
      <c r="K98" s="274"/>
      <c r="L98" s="274"/>
      <c r="M98" s="274"/>
      <c r="N98" s="274"/>
      <c r="O98" s="274"/>
      <c r="P98" s="274"/>
      <c r="Q98" s="274"/>
      <c r="R98" s="274"/>
      <c r="S98" s="334"/>
      <c r="T98" s="334"/>
      <c r="U98" s="334"/>
      <c r="V98" s="334"/>
    </row>
    <row r="99" ht="30" customHeight="1" spans="2:22">
      <c r="B99" s="296">
        <v>2202</v>
      </c>
      <c r="C99" s="400" t="s">
        <v>108</v>
      </c>
      <c r="D99" s="298"/>
      <c r="E99" s="211"/>
      <c r="F99" s="299"/>
      <c r="G99" s="274"/>
      <c r="H99" s="274"/>
      <c r="I99" s="274"/>
      <c r="J99" s="274"/>
      <c r="K99" s="274"/>
      <c r="L99" s="274"/>
      <c r="M99" s="274"/>
      <c r="N99" s="274"/>
      <c r="O99" s="274"/>
      <c r="P99" s="274"/>
      <c r="Q99" s="274"/>
      <c r="R99" s="274"/>
      <c r="S99" s="334"/>
      <c r="T99" s="334"/>
      <c r="U99" s="334"/>
      <c r="V99" s="334"/>
    </row>
    <row r="100" ht="30" customHeight="1" spans="2:22">
      <c r="B100" s="296">
        <v>2203</v>
      </c>
      <c r="C100" s="400" t="s">
        <v>109</v>
      </c>
      <c r="D100" s="402" t="s">
        <v>27</v>
      </c>
      <c r="E100" s="211"/>
      <c r="F100" s="299"/>
      <c r="G100" s="274"/>
      <c r="H100" s="274"/>
      <c r="I100" s="274"/>
      <c r="J100" s="274"/>
      <c r="K100" s="274"/>
      <c r="L100" s="274"/>
      <c r="M100" s="274"/>
      <c r="N100" s="274"/>
      <c r="O100" s="274"/>
      <c r="P100" s="274"/>
      <c r="Q100" s="274"/>
      <c r="R100" s="274"/>
      <c r="S100" s="334"/>
      <c r="T100" s="334"/>
      <c r="U100" s="334"/>
      <c r="V100" s="334"/>
    </row>
    <row r="101" ht="30" customHeight="1" spans="2:22">
      <c r="B101" s="296">
        <v>2211</v>
      </c>
      <c r="C101" s="400" t="s">
        <v>110</v>
      </c>
      <c r="D101" s="298"/>
      <c r="E101" s="211"/>
      <c r="F101" s="299"/>
      <c r="G101" s="274"/>
      <c r="H101" s="274"/>
      <c r="I101" s="274"/>
      <c r="J101" s="274"/>
      <c r="K101" s="274"/>
      <c r="L101" s="274"/>
      <c r="M101" s="274"/>
      <c r="N101" s="274"/>
      <c r="O101" s="274"/>
      <c r="P101" s="274"/>
      <c r="Q101" s="274"/>
      <c r="R101" s="274"/>
      <c r="S101" s="334"/>
      <c r="T101" s="334"/>
      <c r="U101" s="334"/>
      <c r="V101" s="334"/>
    </row>
    <row r="102" ht="30" customHeight="1" spans="2:22">
      <c r="B102" s="351">
        <v>2221</v>
      </c>
      <c r="C102" s="416" t="s">
        <v>111</v>
      </c>
      <c r="D102" s="353"/>
      <c r="E102" s="237"/>
      <c r="F102" s="354"/>
      <c r="G102" s="274"/>
      <c r="H102" s="274"/>
      <c r="I102" s="274"/>
      <c r="J102" s="274"/>
      <c r="K102" s="274"/>
      <c r="L102" s="274"/>
      <c r="M102" s="274"/>
      <c r="N102" s="274"/>
      <c r="O102" s="274"/>
      <c r="P102" s="274"/>
      <c r="Q102" s="274"/>
      <c r="R102" s="274"/>
      <c r="S102" s="334"/>
      <c r="T102" s="334"/>
      <c r="U102" s="334"/>
      <c r="V102" s="334"/>
    </row>
    <row r="103" ht="30" customHeight="1" spans="2:22">
      <c r="B103" s="351">
        <v>222101</v>
      </c>
      <c r="C103" s="416" t="s">
        <v>112</v>
      </c>
      <c r="D103" s="353"/>
      <c r="E103" s="237"/>
      <c r="F103" s="354"/>
      <c r="G103" s="274"/>
      <c r="H103" s="274"/>
      <c r="I103" s="274"/>
      <c r="J103" s="274"/>
      <c r="K103" s="274"/>
      <c r="L103" s="274"/>
      <c r="M103" s="274"/>
      <c r="N103" s="274"/>
      <c r="O103" s="274"/>
      <c r="P103" s="274"/>
      <c r="Q103" s="274"/>
      <c r="R103" s="274"/>
      <c r="S103" s="334"/>
      <c r="T103" s="334"/>
      <c r="U103" s="334"/>
      <c r="V103" s="334"/>
    </row>
    <row r="104" ht="30" customHeight="1" spans="2:22">
      <c r="B104" s="351">
        <v>22210101</v>
      </c>
      <c r="C104" s="416" t="s">
        <v>113</v>
      </c>
      <c r="D104" s="353"/>
      <c r="E104" s="237"/>
      <c r="F104" s="354"/>
      <c r="G104" s="274"/>
      <c r="H104" s="274"/>
      <c r="I104" s="274"/>
      <c r="J104" s="274"/>
      <c r="K104" s="274"/>
      <c r="L104" s="274"/>
      <c r="M104" s="274"/>
      <c r="N104" s="274"/>
      <c r="O104" s="274"/>
      <c r="P104" s="274"/>
      <c r="Q104" s="274"/>
      <c r="R104" s="274"/>
      <c r="S104" s="334"/>
      <c r="T104" s="334"/>
      <c r="U104" s="334"/>
      <c r="V104" s="334"/>
    </row>
    <row r="105" ht="30" customHeight="1" spans="2:22">
      <c r="B105" s="351">
        <v>22210102</v>
      </c>
      <c r="C105" s="416" t="s">
        <v>114</v>
      </c>
      <c r="D105" s="353"/>
      <c r="E105" s="237"/>
      <c r="F105" s="354"/>
      <c r="G105" s="274"/>
      <c r="H105" s="274"/>
      <c r="I105" s="274"/>
      <c r="J105" s="274"/>
      <c r="K105" s="274"/>
      <c r="L105" s="274"/>
      <c r="M105" s="274"/>
      <c r="N105" s="274"/>
      <c r="O105" s="274"/>
      <c r="P105" s="274"/>
      <c r="Q105" s="274"/>
      <c r="R105" s="274"/>
      <c r="S105" s="334"/>
      <c r="T105" s="334"/>
      <c r="U105" s="334"/>
      <c r="V105" s="334"/>
    </row>
    <row r="106" ht="30" customHeight="1" spans="2:22">
      <c r="B106" s="351">
        <v>22210103</v>
      </c>
      <c r="C106" s="416" t="s">
        <v>115</v>
      </c>
      <c r="D106" s="353"/>
      <c r="E106" s="237"/>
      <c r="F106" s="354"/>
      <c r="G106" s="274"/>
      <c r="H106" s="274"/>
      <c r="I106" s="274"/>
      <c r="J106" s="274"/>
      <c r="K106" s="274"/>
      <c r="L106" s="274"/>
      <c r="M106" s="274"/>
      <c r="N106" s="274"/>
      <c r="O106" s="274"/>
      <c r="P106" s="274"/>
      <c r="Q106" s="274"/>
      <c r="R106" s="274"/>
      <c r="S106" s="334"/>
      <c r="T106" s="334"/>
      <c r="U106" s="334"/>
      <c r="V106" s="334"/>
    </row>
    <row r="107" ht="30" customHeight="1" spans="2:22">
      <c r="B107" s="296">
        <v>2231</v>
      </c>
      <c r="C107" s="400" t="s">
        <v>116</v>
      </c>
      <c r="D107" s="298"/>
      <c r="E107" s="211"/>
      <c r="F107" s="299"/>
      <c r="G107" s="274"/>
      <c r="H107" s="274"/>
      <c r="I107" s="274"/>
      <c r="J107" s="274"/>
      <c r="K107" s="274"/>
      <c r="L107" s="274"/>
      <c r="M107" s="274"/>
      <c r="N107" s="274"/>
      <c r="O107" s="274"/>
      <c r="P107" s="274"/>
      <c r="Q107" s="274"/>
      <c r="R107" s="274"/>
      <c r="S107" s="334"/>
      <c r="T107" s="334"/>
      <c r="U107" s="334"/>
      <c r="V107" s="334"/>
    </row>
    <row r="108" ht="30" customHeight="1" spans="2:22">
      <c r="B108" s="296">
        <v>2232</v>
      </c>
      <c r="C108" s="400" t="s">
        <v>117</v>
      </c>
      <c r="D108" s="298"/>
      <c r="E108" s="211"/>
      <c r="F108" s="299"/>
      <c r="G108" s="274"/>
      <c r="H108" s="274"/>
      <c r="I108" s="274"/>
      <c r="J108" s="274"/>
      <c r="K108" s="274"/>
      <c r="L108" s="274"/>
      <c r="M108" s="274"/>
      <c r="N108" s="274"/>
      <c r="O108" s="274"/>
      <c r="P108" s="274"/>
      <c r="Q108" s="274"/>
      <c r="R108" s="274"/>
      <c r="S108" s="334"/>
      <c r="T108" s="334"/>
      <c r="U108" s="334"/>
      <c r="V108" s="334"/>
    </row>
    <row r="109" ht="30" customHeight="1" spans="2:22">
      <c r="B109" s="296">
        <v>2241</v>
      </c>
      <c r="C109" s="400" t="s">
        <v>118</v>
      </c>
      <c r="D109" s="298"/>
      <c r="E109" s="211"/>
      <c r="F109" s="299"/>
      <c r="G109" s="274"/>
      <c r="H109" s="274"/>
      <c r="I109" s="274"/>
      <c r="J109" s="274"/>
      <c r="K109" s="274"/>
      <c r="L109" s="274"/>
      <c r="M109" s="274"/>
      <c r="N109" s="274"/>
      <c r="O109" s="274"/>
      <c r="P109" s="274"/>
      <c r="Q109" s="274"/>
      <c r="R109" s="274"/>
      <c r="S109" s="334"/>
      <c r="T109" s="334"/>
      <c r="U109" s="334"/>
      <c r="V109" s="334"/>
    </row>
    <row r="110" ht="30" customHeight="1" spans="2:22">
      <c r="B110" s="296">
        <v>2251</v>
      </c>
      <c r="C110" s="400" t="s">
        <v>119</v>
      </c>
      <c r="D110" s="298"/>
      <c r="E110" s="211"/>
      <c r="F110" s="299"/>
      <c r="G110" s="274"/>
      <c r="H110" s="274"/>
      <c r="I110" s="274"/>
      <c r="J110" s="274"/>
      <c r="K110" s="274"/>
      <c r="L110" s="274"/>
      <c r="M110" s="274"/>
      <c r="N110" s="274"/>
      <c r="O110" s="274"/>
      <c r="P110" s="274"/>
      <c r="Q110" s="274"/>
      <c r="R110" s="274"/>
      <c r="S110" s="334"/>
      <c r="T110" s="334"/>
      <c r="U110" s="334"/>
      <c r="V110" s="334"/>
    </row>
    <row r="111" ht="30" customHeight="1" spans="2:22">
      <c r="B111" s="296">
        <v>2261</v>
      </c>
      <c r="C111" s="400" t="s">
        <v>120</v>
      </c>
      <c r="D111" s="298"/>
      <c r="E111" s="211"/>
      <c r="F111" s="299"/>
      <c r="G111" s="274"/>
      <c r="H111" s="274"/>
      <c r="I111" s="274"/>
      <c r="J111" s="274"/>
      <c r="K111" s="274"/>
      <c r="L111" s="274"/>
      <c r="M111" s="274"/>
      <c r="N111" s="274"/>
      <c r="O111" s="274"/>
      <c r="P111" s="274"/>
      <c r="Q111" s="274"/>
      <c r="R111" s="274"/>
      <c r="S111" s="334"/>
      <c r="T111" s="334"/>
      <c r="U111" s="334"/>
      <c r="V111" s="334"/>
    </row>
    <row r="112" ht="30" customHeight="1" spans="2:22">
      <c r="B112" s="296">
        <v>2311</v>
      </c>
      <c r="C112" s="400" t="s">
        <v>121</v>
      </c>
      <c r="D112" s="298"/>
      <c r="E112" s="211"/>
      <c r="F112" s="299"/>
      <c r="G112" s="274"/>
      <c r="H112" s="274"/>
      <c r="I112" s="274"/>
      <c r="J112" s="274"/>
      <c r="K112" s="274"/>
      <c r="L112" s="274"/>
      <c r="M112" s="274"/>
      <c r="N112" s="274"/>
      <c r="O112" s="274"/>
      <c r="P112" s="274"/>
      <c r="Q112" s="274"/>
      <c r="R112" s="274"/>
      <c r="S112" s="334"/>
      <c r="T112" s="334"/>
      <c r="U112" s="334"/>
      <c r="V112" s="334"/>
    </row>
    <row r="113" ht="30" customHeight="1" spans="2:22">
      <c r="B113" s="296">
        <v>2312</v>
      </c>
      <c r="C113" s="400" t="s">
        <v>122</v>
      </c>
      <c r="D113" s="298"/>
      <c r="E113" s="211"/>
      <c r="F113" s="299"/>
      <c r="G113" s="274"/>
      <c r="H113" s="274"/>
      <c r="I113" s="274"/>
      <c r="J113" s="274"/>
      <c r="K113" s="274"/>
      <c r="L113" s="274"/>
      <c r="M113" s="274"/>
      <c r="N113" s="274"/>
      <c r="O113" s="274"/>
      <c r="P113" s="274"/>
      <c r="Q113" s="274"/>
      <c r="R113" s="274"/>
      <c r="S113" s="334"/>
      <c r="T113" s="334"/>
      <c r="U113" s="334"/>
      <c r="V113" s="334"/>
    </row>
    <row r="114" ht="30" customHeight="1" spans="2:22">
      <c r="B114" s="296">
        <v>2313</v>
      </c>
      <c r="C114" s="400" t="s">
        <v>123</v>
      </c>
      <c r="D114" s="298"/>
      <c r="E114" s="211"/>
      <c r="F114" s="299"/>
      <c r="G114" s="274"/>
      <c r="H114" s="274"/>
      <c r="I114" s="274"/>
      <c r="J114" s="274"/>
      <c r="K114" s="274"/>
      <c r="L114" s="274"/>
      <c r="M114" s="274"/>
      <c r="N114" s="274"/>
      <c r="O114" s="274"/>
      <c r="P114" s="274"/>
      <c r="Q114" s="274"/>
      <c r="R114" s="274"/>
      <c r="S114" s="334"/>
      <c r="T114" s="334"/>
      <c r="U114" s="334"/>
      <c r="V114" s="334"/>
    </row>
    <row r="115" ht="30" customHeight="1" spans="2:22">
      <c r="B115" s="296">
        <v>2314</v>
      </c>
      <c r="C115" s="400" t="s">
        <v>124</v>
      </c>
      <c r="D115" s="298"/>
      <c r="E115" s="211"/>
      <c r="F115" s="299"/>
      <c r="G115" s="274"/>
      <c r="H115" s="274"/>
      <c r="I115" s="274"/>
      <c r="J115" s="274"/>
      <c r="K115" s="274"/>
      <c r="L115" s="274"/>
      <c r="M115" s="274"/>
      <c r="N115" s="274"/>
      <c r="O115" s="274"/>
      <c r="P115" s="274"/>
      <c r="Q115" s="274"/>
      <c r="R115" s="274"/>
      <c r="S115" s="334"/>
      <c r="T115" s="334"/>
      <c r="U115" s="334"/>
      <c r="V115" s="334"/>
    </row>
    <row r="116" ht="30" customHeight="1" spans="2:22">
      <c r="B116" s="296">
        <v>2401</v>
      </c>
      <c r="C116" s="400" t="s">
        <v>125</v>
      </c>
      <c r="D116" s="298"/>
      <c r="E116" s="211"/>
      <c r="F116" s="299"/>
      <c r="G116" s="274"/>
      <c r="H116" s="274"/>
      <c r="I116" s="274"/>
      <c r="J116" s="274"/>
      <c r="K116" s="274"/>
      <c r="L116" s="274"/>
      <c r="M116" s="274"/>
      <c r="N116" s="274"/>
      <c r="O116" s="274"/>
      <c r="P116" s="274"/>
      <c r="Q116" s="274"/>
      <c r="R116" s="274"/>
      <c r="S116" s="334"/>
      <c r="T116" s="334"/>
      <c r="U116" s="334"/>
      <c r="V116" s="334"/>
    </row>
    <row r="117" ht="30" customHeight="1" spans="2:22">
      <c r="B117" s="296">
        <v>2501</v>
      </c>
      <c r="C117" s="400" t="s">
        <v>126</v>
      </c>
      <c r="D117" s="298"/>
      <c r="E117" s="211"/>
      <c r="F117" s="299"/>
      <c r="G117" s="274"/>
      <c r="H117" s="274"/>
      <c r="I117" s="274"/>
      <c r="J117" s="274"/>
      <c r="K117" s="274"/>
      <c r="L117" s="274"/>
      <c r="M117" s="274"/>
      <c r="N117" s="274"/>
      <c r="O117" s="274"/>
      <c r="P117" s="274"/>
      <c r="Q117" s="274"/>
      <c r="R117" s="274"/>
      <c r="S117" s="334"/>
      <c r="T117" s="334"/>
      <c r="U117" s="334"/>
      <c r="V117" s="334"/>
    </row>
    <row r="118" ht="30" customHeight="1" spans="2:22">
      <c r="B118" s="296">
        <v>2502</v>
      </c>
      <c r="C118" s="400" t="s">
        <v>127</v>
      </c>
      <c r="D118" s="298"/>
      <c r="E118" s="211"/>
      <c r="F118" s="299"/>
      <c r="G118" s="274"/>
      <c r="H118" s="274"/>
      <c r="I118" s="274"/>
      <c r="J118" s="274"/>
      <c r="K118" s="274"/>
      <c r="L118" s="274"/>
      <c r="M118" s="274"/>
      <c r="N118" s="274"/>
      <c r="O118" s="274"/>
      <c r="P118" s="274"/>
      <c r="Q118" s="274"/>
      <c r="R118" s="274"/>
      <c r="S118" s="334"/>
      <c r="T118" s="334"/>
      <c r="U118" s="334"/>
      <c r="V118" s="334"/>
    </row>
    <row r="119" ht="30" customHeight="1" spans="2:22">
      <c r="B119" s="296">
        <v>2601</v>
      </c>
      <c r="C119" s="400" t="s">
        <v>128</v>
      </c>
      <c r="D119" s="298"/>
      <c r="E119" s="211"/>
      <c r="F119" s="299"/>
      <c r="G119" s="274"/>
      <c r="H119" s="274"/>
      <c r="I119" s="274"/>
      <c r="J119" s="274"/>
      <c r="K119" s="274"/>
      <c r="L119" s="274"/>
      <c r="M119" s="274"/>
      <c r="N119" s="274"/>
      <c r="O119" s="274"/>
      <c r="P119" s="274"/>
      <c r="Q119" s="274"/>
      <c r="R119" s="274"/>
      <c r="S119" s="334"/>
      <c r="T119" s="334"/>
      <c r="U119" s="334"/>
      <c r="V119" s="334"/>
    </row>
    <row r="120" ht="30" customHeight="1" spans="2:22">
      <c r="B120" s="296">
        <v>2602</v>
      </c>
      <c r="C120" s="400" t="s">
        <v>129</v>
      </c>
      <c r="D120" s="298"/>
      <c r="E120" s="211"/>
      <c r="F120" s="299"/>
      <c r="G120" s="274"/>
      <c r="H120" s="274"/>
      <c r="I120" s="274"/>
      <c r="J120" s="274"/>
      <c r="K120" s="274"/>
      <c r="L120" s="274"/>
      <c r="M120" s="274"/>
      <c r="N120" s="274"/>
      <c r="O120" s="274"/>
      <c r="P120" s="274"/>
      <c r="Q120" s="274"/>
      <c r="R120" s="274"/>
      <c r="S120" s="334"/>
      <c r="T120" s="334"/>
      <c r="U120" s="334"/>
      <c r="V120" s="334"/>
    </row>
    <row r="121" ht="30" customHeight="1" spans="2:22">
      <c r="B121" s="296">
        <v>2611</v>
      </c>
      <c r="C121" s="400" t="s">
        <v>130</v>
      </c>
      <c r="D121" s="298"/>
      <c r="E121" s="211"/>
      <c r="F121" s="299"/>
      <c r="G121" s="274"/>
      <c r="H121" s="274"/>
      <c r="I121" s="274"/>
      <c r="J121" s="274"/>
      <c r="K121" s="274"/>
      <c r="L121" s="274"/>
      <c r="M121" s="274"/>
      <c r="N121" s="274"/>
      <c r="O121" s="274"/>
      <c r="P121" s="274"/>
      <c r="Q121" s="274"/>
      <c r="R121" s="274"/>
      <c r="S121" s="334"/>
      <c r="T121" s="334"/>
      <c r="U121" s="334"/>
      <c r="V121" s="334"/>
    </row>
    <row r="122" ht="30" customHeight="1" spans="2:22">
      <c r="B122" s="296">
        <v>2621</v>
      </c>
      <c r="C122" s="400" t="s">
        <v>131</v>
      </c>
      <c r="D122" s="298"/>
      <c r="E122" s="211"/>
      <c r="F122" s="299"/>
      <c r="G122" s="274"/>
      <c r="H122" s="274"/>
      <c r="I122" s="274"/>
      <c r="J122" s="274"/>
      <c r="K122" s="274"/>
      <c r="L122" s="274"/>
      <c r="M122" s="274"/>
      <c r="N122" s="274"/>
      <c r="O122" s="274"/>
      <c r="P122" s="274"/>
      <c r="Q122" s="274"/>
      <c r="R122" s="274"/>
      <c r="S122" s="334"/>
      <c r="T122" s="334"/>
      <c r="U122" s="334"/>
      <c r="V122" s="334"/>
    </row>
    <row r="123" ht="30" customHeight="1" spans="2:22">
      <c r="B123" s="296">
        <v>2701</v>
      </c>
      <c r="C123" s="400" t="s">
        <v>132</v>
      </c>
      <c r="D123" s="298"/>
      <c r="E123" s="211"/>
      <c r="F123" s="299"/>
      <c r="G123" s="274"/>
      <c r="H123" s="274"/>
      <c r="I123" s="274"/>
      <c r="J123" s="274"/>
      <c r="K123" s="274"/>
      <c r="L123" s="274"/>
      <c r="M123" s="274"/>
      <c r="N123" s="274"/>
      <c r="O123" s="274"/>
      <c r="P123" s="274"/>
      <c r="Q123" s="274"/>
      <c r="R123" s="274"/>
      <c r="S123" s="334"/>
      <c r="T123" s="334"/>
      <c r="U123" s="334"/>
      <c r="V123" s="334"/>
    </row>
    <row r="124" ht="30" customHeight="1" spans="2:22">
      <c r="B124" s="296">
        <v>2702</v>
      </c>
      <c r="C124" s="400" t="s">
        <v>133</v>
      </c>
      <c r="D124" s="298"/>
      <c r="E124" s="211"/>
      <c r="F124" s="299"/>
      <c r="G124" s="274"/>
      <c r="H124" s="274"/>
      <c r="I124" s="274"/>
      <c r="J124" s="274"/>
      <c r="K124" s="274"/>
      <c r="L124" s="274"/>
      <c r="M124" s="274"/>
      <c r="N124" s="274"/>
      <c r="O124" s="274"/>
      <c r="P124" s="274"/>
      <c r="Q124" s="274"/>
      <c r="R124" s="274"/>
      <c r="S124" s="334"/>
      <c r="T124" s="334"/>
      <c r="U124" s="334"/>
      <c r="V124" s="334"/>
    </row>
    <row r="125" ht="30" customHeight="1" spans="2:22">
      <c r="B125" s="296">
        <v>2711</v>
      </c>
      <c r="C125" s="400" t="s">
        <v>134</v>
      </c>
      <c r="D125" s="298"/>
      <c r="E125" s="211"/>
      <c r="F125" s="299"/>
      <c r="G125" s="274"/>
      <c r="H125" s="274"/>
      <c r="I125" s="274"/>
      <c r="J125" s="274"/>
      <c r="K125" s="274"/>
      <c r="L125" s="274"/>
      <c r="M125" s="274"/>
      <c r="N125" s="274"/>
      <c r="O125" s="274"/>
      <c r="P125" s="274"/>
      <c r="Q125" s="274"/>
      <c r="R125" s="274"/>
      <c r="S125" s="334"/>
      <c r="T125" s="334"/>
      <c r="U125" s="334"/>
      <c r="V125" s="334"/>
    </row>
    <row r="126" ht="30" customHeight="1" spans="2:22">
      <c r="B126" s="296">
        <v>2801</v>
      </c>
      <c r="C126" s="400" t="s">
        <v>135</v>
      </c>
      <c r="D126" s="298"/>
      <c r="E126" s="211"/>
      <c r="F126" s="299"/>
      <c r="G126" s="274"/>
      <c r="H126" s="274"/>
      <c r="I126" s="274"/>
      <c r="J126" s="274"/>
      <c r="K126" s="274"/>
      <c r="L126" s="274"/>
      <c r="M126" s="274"/>
      <c r="N126" s="274"/>
      <c r="O126" s="274"/>
      <c r="P126" s="274"/>
      <c r="Q126" s="274"/>
      <c r="R126" s="274"/>
      <c r="S126" s="334"/>
      <c r="T126" s="334"/>
      <c r="U126" s="334"/>
      <c r="V126" s="334"/>
    </row>
    <row r="127" ht="30" customHeight="1" spans="2:22">
      <c r="B127" s="296">
        <v>2901</v>
      </c>
      <c r="C127" s="400" t="s">
        <v>136</v>
      </c>
      <c r="D127" s="298"/>
      <c r="E127" s="211"/>
      <c r="F127" s="299"/>
      <c r="G127" s="274"/>
      <c r="H127" s="274"/>
      <c r="I127" s="274"/>
      <c r="J127" s="274"/>
      <c r="K127" s="274"/>
      <c r="L127" s="274"/>
      <c r="M127" s="274"/>
      <c r="N127" s="274"/>
      <c r="O127" s="274"/>
      <c r="P127" s="274"/>
      <c r="Q127" s="274"/>
      <c r="R127" s="274"/>
      <c r="S127" s="334"/>
      <c r="T127" s="334"/>
      <c r="U127" s="334"/>
      <c r="V127" s="334"/>
    </row>
    <row r="128" ht="30" customHeight="1" spans="2:22">
      <c r="B128" s="296">
        <v>3001</v>
      </c>
      <c r="C128" s="400" t="s">
        <v>137</v>
      </c>
      <c r="D128" s="298"/>
      <c r="E128" s="211"/>
      <c r="F128" s="299"/>
      <c r="G128" s="274"/>
      <c r="H128" s="274"/>
      <c r="I128" s="274"/>
      <c r="J128" s="274"/>
      <c r="K128" s="274"/>
      <c r="L128" s="274"/>
      <c r="M128" s="274"/>
      <c r="N128" s="274"/>
      <c r="O128" s="274"/>
      <c r="P128" s="274"/>
      <c r="Q128" s="274"/>
      <c r="R128" s="274"/>
      <c r="S128" s="334"/>
      <c r="T128" s="334"/>
      <c r="U128" s="334"/>
      <c r="V128" s="334"/>
    </row>
    <row r="129" ht="30" customHeight="1" spans="2:22">
      <c r="B129" s="296">
        <v>3002</v>
      </c>
      <c r="C129" s="400" t="s">
        <v>138</v>
      </c>
      <c r="D129" s="298"/>
      <c r="E129" s="211"/>
      <c r="F129" s="299"/>
      <c r="G129" s="274"/>
      <c r="H129" s="274"/>
      <c r="I129" s="274"/>
      <c r="J129" s="274"/>
      <c r="K129" s="274"/>
      <c r="L129" s="274"/>
      <c r="M129" s="274"/>
      <c r="N129" s="274"/>
      <c r="O129" s="274"/>
      <c r="P129" s="274"/>
      <c r="Q129" s="274"/>
      <c r="R129" s="274"/>
      <c r="S129" s="334"/>
      <c r="T129" s="334"/>
      <c r="U129" s="334"/>
      <c r="V129" s="334"/>
    </row>
    <row r="130" ht="30" customHeight="1" spans="2:22">
      <c r="B130" s="296">
        <v>3101</v>
      </c>
      <c r="C130" s="400" t="s">
        <v>139</v>
      </c>
      <c r="D130" s="298"/>
      <c r="E130" s="211"/>
      <c r="F130" s="299"/>
      <c r="G130" s="274"/>
      <c r="H130" s="274"/>
      <c r="I130" s="274"/>
      <c r="J130" s="274"/>
      <c r="K130" s="274"/>
      <c r="L130" s="274"/>
      <c r="M130" s="274"/>
      <c r="N130" s="274"/>
      <c r="O130" s="274"/>
      <c r="P130" s="274"/>
      <c r="Q130" s="274"/>
      <c r="R130" s="274"/>
      <c r="S130" s="334"/>
      <c r="T130" s="334"/>
      <c r="U130" s="334"/>
      <c r="V130" s="334"/>
    </row>
    <row r="131" ht="30" customHeight="1" spans="2:22">
      <c r="B131" s="296">
        <v>3201</v>
      </c>
      <c r="C131" s="400" t="s">
        <v>140</v>
      </c>
      <c r="D131" s="298"/>
      <c r="E131" s="211"/>
      <c r="F131" s="299"/>
      <c r="G131" s="274"/>
      <c r="H131" s="274"/>
      <c r="I131" s="274"/>
      <c r="J131" s="274"/>
      <c r="K131" s="274"/>
      <c r="L131" s="274"/>
      <c r="M131" s="274"/>
      <c r="N131" s="274"/>
      <c r="O131" s="274"/>
      <c r="P131" s="274"/>
      <c r="Q131" s="274"/>
      <c r="R131" s="274"/>
      <c r="S131" s="334"/>
      <c r="T131" s="334"/>
      <c r="U131" s="334"/>
      <c r="V131" s="334"/>
    </row>
    <row r="132" ht="30" customHeight="1" spans="2:22">
      <c r="B132" s="296">
        <v>3202</v>
      </c>
      <c r="C132" s="400" t="s">
        <v>141</v>
      </c>
      <c r="D132" s="298"/>
      <c r="E132" s="211"/>
      <c r="F132" s="299"/>
      <c r="G132" s="274"/>
      <c r="H132" s="274"/>
      <c r="I132" s="274"/>
      <c r="J132" s="274"/>
      <c r="K132" s="274"/>
      <c r="L132" s="274"/>
      <c r="M132" s="274"/>
      <c r="N132" s="274"/>
      <c r="O132" s="274"/>
      <c r="P132" s="274"/>
      <c r="Q132" s="274"/>
      <c r="R132" s="274"/>
      <c r="S132" s="334"/>
      <c r="T132" s="334"/>
      <c r="U132" s="334"/>
      <c r="V132" s="334"/>
    </row>
    <row r="133" ht="30" customHeight="1" spans="2:22">
      <c r="B133" s="296">
        <v>4001</v>
      </c>
      <c r="C133" s="400" t="s">
        <v>142</v>
      </c>
      <c r="D133" s="298"/>
      <c r="E133" s="211"/>
      <c r="F133" s="299"/>
      <c r="G133" s="274"/>
      <c r="H133" s="274"/>
      <c r="I133" s="274"/>
      <c r="J133" s="274"/>
      <c r="K133" s="274"/>
      <c r="L133" s="274"/>
      <c r="M133" s="274"/>
      <c r="N133" s="274"/>
      <c r="O133" s="274"/>
      <c r="P133" s="274"/>
      <c r="Q133" s="274"/>
      <c r="R133" s="274"/>
      <c r="S133" s="334"/>
      <c r="T133" s="334"/>
      <c r="U133" s="334"/>
      <c r="V133" s="334"/>
    </row>
    <row r="134" ht="30" customHeight="1" spans="2:22">
      <c r="B134" s="296">
        <v>4002</v>
      </c>
      <c r="C134" s="400" t="s">
        <v>143</v>
      </c>
      <c r="D134" s="298"/>
      <c r="E134" s="211"/>
      <c r="F134" s="299"/>
      <c r="G134" s="274"/>
      <c r="H134" s="274"/>
      <c r="I134" s="274"/>
      <c r="J134" s="274"/>
      <c r="K134" s="274"/>
      <c r="L134" s="274"/>
      <c r="M134" s="274"/>
      <c r="N134" s="274"/>
      <c r="O134" s="274"/>
      <c r="P134" s="274"/>
      <c r="Q134" s="274"/>
      <c r="R134" s="274"/>
      <c r="S134" s="334"/>
      <c r="T134" s="334"/>
      <c r="U134" s="334"/>
      <c r="V134" s="334"/>
    </row>
    <row r="135" ht="30" customHeight="1" spans="2:22">
      <c r="B135" s="296">
        <v>4101</v>
      </c>
      <c r="C135" s="400" t="s">
        <v>144</v>
      </c>
      <c r="D135" s="298"/>
      <c r="E135" s="211"/>
      <c r="F135" s="299"/>
      <c r="G135" s="274"/>
      <c r="H135" s="274"/>
      <c r="I135" s="274"/>
      <c r="J135" s="274"/>
      <c r="K135" s="274"/>
      <c r="L135" s="274"/>
      <c r="M135" s="274"/>
      <c r="N135" s="274"/>
      <c r="O135" s="274"/>
      <c r="P135" s="274"/>
      <c r="Q135" s="274"/>
      <c r="R135" s="274"/>
      <c r="S135" s="334"/>
      <c r="T135" s="334"/>
      <c r="U135" s="334"/>
      <c r="V135" s="334"/>
    </row>
    <row r="136" ht="30" customHeight="1" spans="2:22">
      <c r="B136" s="296">
        <v>4102</v>
      </c>
      <c r="C136" s="400" t="s">
        <v>145</v>
      </c>
      <c r="D136" s="298"/>
      <c r="E136" s="211"/>
      <c r="F136" s="299"/>
      <c r="G136" s="274"/>
      <c r="H136" s="274"/>
      <c r="I136" s="274"/>
      <c r="J136" s="274"/>
      <c r="K136" s="274"/>
      <c r="L136" s="274"/>
      <c r="M136" s="274"/>
      <c r="N136" s="274"/>
      <c r="O136" s="274"/>
      <c r="P136" s="274"/>
      <c r="Q136" s="274"/>
      <c r="R136" s="274"/>
      <c r="S136" s="334"/>
      <c r="T136" s="334"/>
      <c r="U136" s="334"/>
      <c r="V136" s="334"/>
    </row>
    <row r="137" ht="30" customHeight="1" spans="2:22">
      <c r="B137" s="296">
        <v>4103</v>
      </c>
      <c r="C137" s="400" t="s">
        <v>146</v>
      </c>
      <c r="D137" s="298"/>
      <c r="E137" s="211"/>
      <c r="F137" s="299"/>
      <c r="G137" s="274"/>
      <c r="H137" s="274"/>
      <c r="I137" s="274"/>
      <c r="J137" s="274"/>
      <c r="K137" s="274"/>
      <c r="L137" s="274"/>
      <c r="M137" s="274"/>
      <c r="N137" s="274"/>
      <c r="O137" s="274"/>
      <c r="P137" s="274"/>
      <c r="Q137" s="274"/>
      <c r="R137" s="274"/>
      <c r="S137" s="334"/>
      <c r="T137" s="334"/>
      <c r="U137" s="334"/>
      <c r="V137" s="334"/>
    </row>
    <row r="138" ht="30" customHeight="1" spans="2:22">
      <c r="B138" s="296">
        <v>4104</v>
      </c>
      <c r="C138" s="400" t="s">
        <v>147</v>
      </c>
      <c r="D138" s="298"/>
      <c r="E138" s="211"/>
      <c r="F138" s="299"/>
      <c r="G138" s="274"/>
      <c r="H138" s="274"/>
      <c r="I138" s="274"/>
      <c r="J138" s="274"/>
      <c r="K138" s="274"/>
      <c r="L138" s="274"/>
      <c r="M138" s="274"/>
      <c r="N138" s="274"/>
      <c r="O138" s="274"/>
      <c r="P138" s="274"/>
      <c r="Q138" s="274"/>
      <c r="R138" s="274"/>
      <c r="S138" s="334"/>
      <c r="T138" s="334"/>
      <c r="U138" s="334"/>
      <c r="V138" s="334"/>
    </row>
    <row r="139" ht="30" customHeight="1" spans="2:22">
      <c r="B139" s="296">
        <v>4201</v>
      </c>
      <c r="C139" s="400" t="s">
        <v>148</v>
      </c>
      <c r="D139" s="298"/>
      <c r="E139" s="211"/>
      <c r="F139" s="299"/>
      <c r="G139" s="274"/>
      <c r="H139" s="274"/>
      <c r="I139" s="274"/>
      <c r="J139" s="274"/>
      <c r="K139" s="274"/>
      <c r="L139" s="274"/>
      <c r="M139" s="274"/>
      <c r="N139" s="274"/>
      <c r="O139" s="274"/>
      <c r="P139" s="274"/>
      <c r="Q139" s="274"/>
      <c r="R139" s="274"/>
      <c r="S139" s="334"/>
      <c r="T139" s="334"/>
      <c r="U139" s="334"/>
      <c r="V139" s="334"/>
    </row>
    <row r="140" ht="30" customHeight="1" spans="2:22">
      <c r="B140" s="296">
        <v>5001</v>
      </c>
      <c r="C140" s="400" t="s">
        <v>149</v>
      </c>
      <c r="D140" s="298"/>
      <c r="E140" s="211"/>
      <c r="F140" s="299"/>
      <c r="G140" s="274"/>
      <c r="H140" s="274"/>
      <c r="I140" s="274"/>
      <c r="J140" s="274"/>
      <c r="K140" s="274"/>
      <c r="L140" s="274"/>
      <c r="M140" s="274"/>
      <c r="N140" s="274"/>
      <c r="O140" s="274"/>
      <c r="P140" s="274"/>
      <c r="Q140" s="274"/>
      <c r="R140" s="274"/>
      <c r="S140" s="334"/>
      <c r="T140" s="334"/>
      <c r="U140" s="334"/>
      <c r="V140" s="334"/>
    </row>
    <row r="141" ht="30" customHeight="1" spans="2:22">
      <c r="B141" s="296">
        <v>500101</v>
      </c>
      <c r="C141" s="400" t="s">
        <v>150</v>
      </c>
      <c r="D141" s="298"/>
      <c r="E141" s="211"/>
      <c r="F141" s="299"/>
      <c r="G141" s="274"/>
      <c r="H141" s="274"/>
      <c r="I141" s="274"/>
      <c r="J141" s="274"/>
      <c r="K141" s="274"/>
      <c r="L141" s="274"/>
      <c r="M141" s="274"/>
      <c r="N141" s="274"/>
      <c r="O141" s="274"/>
      <c r="P141" s="274"/>
      <c r="Q141" s="274"/>
      <c r="R141" s="274"/>
      <c r="S141" s="334"/>
      <c r="T141" s="334"/>
      <c r="U141" s="334"/>
      <c r="V141" s="334"/>
    </row>
    <row r="142" ht="30" customHeight="1" spans="2:22">
      <c r="B142" s="296">
        <v>500102</v>
      </c>
      <c r="C142" s="400" t="s">
        <v>151</v>
      </c>
      <c r="D142" s="402" t="s">
        <v>38</v>
      </c>
      <c r="E142" s="211"/>
      <c r="F142" s="299"/>
      <c r="G142" s="274"/>
      <c r="H142" s="274"/>
      <c r="I142" s="274"/>
      <c r="J142" s="274"/>
      <c r="K142" s="274"/>
      <c r="L142" s="274"/>
      <c r="M142" s="274"/>
      <c r="N142" s="274"/>
      <c r="O142" s="274"/>
      <c r="P142" s="274"/>
      <c r="Q142" s="274"/>
      <c r="R142" s="274"/>
      <c r="S142" s="334"/>
      <c r="T142" s="334"/>
      <c r="U142" s="334"/>
      <c r="V142" s="334"/>
    </row>
    <row r="143" ht="30" customHeight="1" spans="2:22">
      <c r="B143" s="296">
        <v>5101</v>
      </c>
      <c r="C143" s="400" t="s">
        <v>152</v>
      </c>
      <c r="D143" s="298"/>
      <c r="E143" s="211"/>
      <c r="F143" s="299"/>
      <c r="G143" s="274"/>
      <c r="H143" s="274"/>
      <c r="I143" s="274"/>
      <c r="J143" s="274"/>
      <c r="K143" s="274"/>
      <c r="L143" s="274"/>
      <c r="M143" s="274"/>
      <c r="N143" s="274"/>
      <c r="O143" s="274"/>
      <c r="P143" s="274"/>
      <c r="Q143" s="274"/>
      <c r="R143" s="274"/>
      <c r="S143" s="334"/>
      <c r="T143" s="334"/>
      <c r="U143" s="334"/>
      <c r="V143" s="334"/>
    </row>
    <row r="144" ht="30" customHeight="1" spans="2:22">
      <c r="B144" s="296">
        <v>510101</v>
      </c>
      <c r="C144" s="400" t="s">
        <v>153</v>
      </c>
      <c r="D144" s="298"/>
      <c r="E144" s="211"/>
      <c r="F144" s="299"/>
      <c r="G144" s="274"/>
      <c r="H144" s="274"/>
      <c r="I144" s="274"/>
      <c r="J144" s="274"/>
      <c r="K144" s="274"/>
      <c r="L144" s="274"/>
      <c r="M144" s="274"/>
      <c r="N144" s="274"/>
      <c r="O144" s="274"/>
      <c r="P144" s="274"/>
      <c r="Q144" s="274"/>
      <c r="R144" s="274"/>
      <c r="S144" s="334"/>
      <c r="T144" s="334"/>
      <c r="U144" s="334"/>
      <c r="V144" s="334"/>
    </row>
    <row r="145" ht="30" customHeight="1" spans="2:22">
      <c r="B145" s="296">
        <v>510102</v>
      </c>
      <c r="C145" s="400" t="s">
        <v>154</v>
      </c>
      <c r="D145" s="298"/>
      <c r="E145" s="211"/>
      <c r="F145" s="299"/>
      <c r="G145" s="274"/>
      <c r="H145" s="274"/>
      <c r="I145" s="274"/>
      <c r="J145" s="274"/>
      <c r="K145" s="274"/>
      <c r="L145" s="274"/>
      <c r="M145" s="274"/>
      <c r="N145" s="274"/>
      <c r="O145" s="274"/>
      <c r="P145" s="274"/>
      <c r="Q145" s="274"/>
      <c r="R145" s="274"/>
      <c r="S145" s="334"/>
      <c r="T145" s="334"/>
      <c r="U145" s="334"/>
      <c r="V145" s="334"/>
    </row>
    <row r="146" ht="30" customHeight="1" spans="2:22">
      <c r="B146" s="296">
        <v>510103</v>
      </c>
      <c r="C146" s="400" t="s">
        <v>155</v>
      </c>
      <c r="D146" s="298"/>
      <c r="E146" s="211"/>
      <c r="F146" s="299"/>
      <c r="G146" s="274"/>
      <c r="H146" s="274"/>
      <c r="I146" s="274"/>
      <c r="J146" s="274"/>
      <c r="K146" s="274"/>
      <c r="L146" s="274"/>
      <c r="M146" s="274"/>
      <c r="N146" s="274"/>
      <c r="O146" s="274"/>
      <c r="P146" s="274"/>
      <c r="Q146" s="274"/>
      <c r="R146" s="274"/>
      <c r="S146" s="334"/>
      <c r="T146" s="334"/>
      <c r="U146" s="334"/>
      <c r="V146" s="334"/>
    </row>
    <row r="147" ht="30" customHeight="1" spans="2:22">
      <c r="B147" s="296">
        <v>510104</v>
      </c>
      <c r="C147" s="400" t="s">
        <v>156</v>
      </c>
      <c r="D147" s="298"/>
      <c r="E147" s="211"/>
      <c r="F147" s="299"/>
      <c r="G147" s="274"/>
      <c r="H147" s="274"/>
      <c r="I147" s="274"/>
      <c r="J147" s="274"/>
      <c r="K147" s="274"/>
      <c r="L147" s="274"/>
      <c r="M147" s="274"/>
      <c r="N147" s="274"/>
      <c r="O147" s="274"/>
      <c r="P147" s="274"/>
      <c r="Q147" s="274"/>
      <c r="R147" s="274"/>
      <c r="S147" s="334"/>
      <c r="T147" s="334"/>
      <c r="U147" s="334"/>
      <c r="V147" s="334"/>
    </row>
    <row r="148" ht="30" customHeight="1" spans="2:22">
      <c r="B148" s="296">
        <v>5201</v>
      </c>
      <c r="C148" s="400" t="s">
        <v>157</v>
      </c>
      <c r="D148" s="298"/>
      <c r="E148" s="211"/>
      <c r="F148" s="299"/>
      <c r="G148" s="274"/>
      <c r="H148" s="274"/>
      <c r="I148" s="274"/>
      <c r="J148" s="274"/>
      <c r="K148" s="274"/>
      <c r="L148" s="274"/>
      <c r="M148" s="274"/>
      <c r="N148" s="274"/>
      <c r="O148" s="274"/>
      <c r="P148" s="274"/>
      <c r="Q148" s="274"/>
      <c r="R148" s="274"/>
      <c r="S148" s="334"/>
      <c r="T148" s="334"/>
      <c r="U148" s="334"/>
      <c r="V148" s="334"/>
    </row>
    <row r="149" ht="30" customHeight="1" spans="2:22">
      <c r="B149" s="296">
        <v>5301</v>
      </c>
      <c r="C149" s="400" t="s">
        <v>158</v>
      </c>
      <c r="D149" s="298"/>
      <c r="E149" s="211"/>
      <c r="F149" s="299"/>
      <c r="G149" s="274"/>
      <c r="H149" s="274"/>
      <c r="I149" s="274"/>
      <c r="J149" s="274"/>
      <c r="K149" s="274"/>
      <c r="L149" s="274"/>
      <c r="M149" s="274"/>
      <c r="N149" s="274"/>
      <c r="O149" s="274"/>
      <c r="P149" s="274"/>
      <c r="Q149" s="274"/>
      <c r="R149" s="274"/>
      <c r="S149" s="334"/>
      <c r="T149" s="334"/>
      <c r="U149" s="334"/>
      <c r="V149" s="334"/>
    </row>
    <row r="150" ht="30" customHeight="1" spans="2:22">
      <c r="B150" s="296">
        <v>5401</v>
      </c>
      <c r="C150" s="400" t="s">
        <v>159</v>
      </c>
      <c r="D150" s="298"/>
      <c r="E150" s="211"/>
      <c r="F150" s="299"/>
      <c r="G150" s="274"/>
      <c r="H150" s="274"/>
      <c r="I150" s="274"/>
      <c r="J150" s="274"/>
      <c r="K150" s="274"/>
      <c r="L150" s="274"/>
      <c r="M150" s="274"/>
      <c r="N150" s="274"/>
      <c r="O150" s="274"/>
      <c r="P150" s="274"/>
      <c r="Q150" s="274"/>
      <c r="R150" s="274"/>
      <c r="S150" s="334"/>
      <c r="T150" s="334"/>
      <c r="U150" s="334"/>
      <c r="V150" s="334"/>
    </row>
    <row r="151" ht="30" customHeight="1" spans="2:22">
      <c r="B151" s="296">
        <v>5402</v>
      </c>
      <c r="C151" s="400" t="s">
        <v>160</v>
      </c>
      <c r="D151" s="298"/>
      <c r="E151" s="211"/>
      <c r="F151" s="299"/>
      <c r="G151" s="274"/>
      <c r="H151" s="274"/>
      <c r="I151" s="274"/>
      <c r="J151" s="274"/>
      <c r="K151" s="274"/>
      <c r="L151" s="274"/>
      <c r="M151" s="274"/>
      <c r="N151" s="274"/>
      <c r="O151" s="274"/>
      <c r="P151" s="274"/>
      <c r="Q151" s="274"/>
      <c r="R151" s="274"/>
      <c r="S151" s="334"/>
      <c r="T151" s="334"/>
      <c r="U151" s="334"/>
      <c r="V151" s="334"/>
    </row>
    <row r="152" ht="30" customHeight="1" spans="2:22">
      <c r="B152" s="296">
        <v>5403</v>
      </c>
      <c r="C152" s="400" t="s">
        <v>161</v>
      </c>
      <c r="D152" s="298"/>
      <c r="E152" s="211"/>
      <c r="F152" s="299"/>
      <c r="G152" s="274"/>
      <c r="H152" s="274"/>
      <c r="I152" s="274"/>
      <c r="J152" s="274"/>
      <c r="K152" s="274"/>
      <c r="L152" s="274"/>
      <c r="M152" s="274"/>
      <c r="N152" s="274"/>
      <c r="O152" s="274"/>
      <c r="P152" s="274"/>
      <c r="Q152" s="274"/>
      <c r="R152" s="274"/>
      <c r="S152" s="334"/>
      <c r="T152" s="334"/>
      <c r="U152" s="334"/>
      <c r="V152" s="334"/>
    </row>
    <row r="153" ht="30" customHeight="1" spans="2:22">
      <c r="B153" s="296">
        <v>6001</v>
      </c>
      <c r="C153" s="400" t="s">
        <v>162</v>
      </c>
      <c r="D153" s="402" t="s">
        <v>38</v>
      </c>
      <c r="E153" s="211"/>
      <c r="F153" s="299"/>
      <c r="G153" s="274"/>
      <c r="H153" s="274"/>
      <c r="I153" s="274"/>
      <c r="J153" s="274"/>
      <c r="K153" s="274"/>
      <c r="L153" s="274"/>
      <c r="M153" s="274"/>
      <c r="N153" s="274"/>
      <c r="O153" s="274"/>
      <c r="P153" s="274"/>
      <c r="Q153" s="274"/>
      <c r="R153" s="274"/>
      <c r="S153" s="334"/>
      <c r="T153" s="334"/>
      <c r="U153" s="334"/>
      <c r="V153" s="334"/>
    </row>
    <row r="154" ht="30" customHeight="1" spans="2:22">
      <c r="B154" s="296">
        <v>6011</v>
      </c>
      <c r="C154" s="400" t="s">
        <v>163</v>
      </c>
      <c r="D154" s="298"/>
      <c r="E154" s="211"/>
      <c r="F154" s="299"/>
      <c r="G154" s="274"/>
      <c r="H154" s="274"/>
      <c r="I154" s="274"/>
      <c r="J154" s="274"/>
      <c r="K154" s="274"/>
      <c r="L154" s="274"/>
      <c r="M154" s="274"/>
      <c r="N154" s="274"/>
      <c r="O154" s="274"/>
      <c r="P154" s="274"/>
      <c r="Q154" s="274"/>
      <c r="R154" s="274"/>
      <c r="S154" s="334"/>
      <c r="T154" s="334"/>
      <c r="U154" s="334"/>
      <c r="V154" s="334"/>
    </row>
    <row r="155" ht="30" customHeight="1" spans="2:22">
      <c r="B155" s="296">
        <v>6021</v>
      </c>
      <c r="C155" s="400" t="s">
        <v>164</v>
      </c>
      <c r="D155" s="298"/>
      <c r="E155" s="211"/>
      <c r="F155" s="299"/>
      <c r="G155" s="274"/>
      <c r="H155" s="274"/>
      <c r="I155" s="274"/>
      <c r="J155" s="274"/>
      <c r="K155" s="274"/>
      <c r="L155" s="274"/>
      <c r="M155" s="274"/>
      <c r="N155" s="274"/>
      <c r="O155" s="274"/>
      <c r="P155" s="274"/>
      <c r="Q155" s="274"/>
      <c r="R155" s="274"/>
      <c r="S155" s="334"/>
      <c r="T155" s="334"/>
      <c r="U155" s="334"/>
      <c r="V155" s="334"/>
    </row>
    <row r="156" ht="30" customHeight="1" spans="2:22">
      <c r="B156" s="296">
        <v>6031</v>
      </c>
      <c r="C156" s="400" t="s">
        <v>165</v>
      </c>
      <c r="D156" s="298"/>
      <c r="E156" s="211"/>
      <c r="F156" s="299"/>
      <c r="G156" s="274"/>
      <c r="H156" s="274"/>
      <c r="I156" s="274"/>
      <c r="J156" s="274"/>
      <c r="K156" s="274"/>
      <c r="L156" s="274"/>
      <c r="M156" s="274"/>
      <c r="N156" s="274"/>
      <c r="O156" s="274"/>
      <c r="P156" s="274"/>
      <c r="Q156" s="274"/>
      <c r="R156" s="274"/>
      <c r="S156" s="334"/>
      <c r="T156" s="334"/>
      <c r="U156" s="334"/>
      <c r="V156" s="334"/>
    </row>
    <row r="157" ht="30" customHeight="1" spans="2:22">
      <c r="B157" s="296">
        <v>6041</v>
      </c>
      <c r="C157" s="400" t="s">
        <v>166</v>
      </c>
      <c r="D157" s="298"/>
      <c r="E157" s="211"/>
      <c r="F157" s="299"/>
      <c r="G157" s="274"/>
      <c r="H157" s="274"/>
      <c r="I157" s="274"/>
      <c r="J157" s="274"/>
      <c r="K157" s="274"/>
      <c r="L157" s="274"/>
      <c r="M157" s="274"/>
      <c r="N157" s="274"/>
      <c r="O157" s="274"/>
      <c r="P157" s="274"/>
      <c r="Q157" s="274"/>
      <c r="R157" s="274"/>
      <c r="S157" s="334"/>
      <c r="T157" s="334"/>
      <c r="U157" s="334"/>
      <c r="V157" s="334"/>
    </row>
    <row r="158" ht="30" customHeight="1" spans="2:22">
      <c r="B158" s="296">
        <v>6051</v>
      </c>
      <c r="C158" s="400" t="s">
        <v>167</v>
      </c>
      <c r="D158" s="298"/>
      <c r="E158" s="211"/>
      <c r="F158" s="299"/>
      <c r="G158" s="274"/>
      <c r="H158" s="274"/>
      <c r="I158" s="274"/>
      <c r="J158" s="274"/>
      <c r="K158" s="274"/>
      <c r="L158" s="274"/>
      <c r="M158" s="274"/>
      <c r="N158" s="274"/>
      <c r="O158" s="274"/>
      <c r="P158" s="274"/>
      <c r="Q158" s="274"/>
      <c r="R158" s="274"/>
      <c r="S158" s="334"/>
      <c r="T158" s="334"/>
      <c r="U158" s="334"/>
      <c r="V158" s="334"/>
    </row>
    <row r="159" ht="30" customHeight="1" spans="2:22">
      <c r="B159" s="296">
        <v>6061</v>
      </c>
      <c r="C159" s="400" t="s">
        <v>168</v>
      </c>
      <c r="D159" s="298"/>
      <c r="E159" s="211"/>
      <c r="F159" s="299"/>
      <c r="G159" s="274"/>
      <c r="H159" s="274"/>
      <c r="I159" s="274"/>
      <c r="J159" s="274"/>
      <c r="K159" s="274"/>
      <c r="L159" s="274"/>
      <c r="M159" s="274"/>
      <c r="N159" s="274"/>
      <c r="O159" s="274"/>
      <c r="P159" s="274"/>
      <c r="Q159" s="274"/>
      <c r="R159" s="274"/>
      <c r="S159" s="334"/>
      <c r="T159" s="334"/>
      <c r="U159" s="334"/>
      <c r="V159" s="334"/>
    </row>
    <row r="160" ht="30" customHeight="1" spans="2:22">
      <c r="B160" s="296">
        <v>6101</v>
      </c>
      <c r="C160" s="400" t="s">
        <v>169</v>
      </c>
      <c r="D160" s="298"/>
      <c r="E160" s="211"/>
      <c r="F160" s="299"/>
      <c r="G160" s="274"/>
      <c r="H160" s="274"/>
      <c r="I160" s="274"/>
      <c r="J160" s="274"/>
      <c r="K160" s="274"/>
      <c r="L160" s="274"/>
      <c r="M160" s="274"/>
      <c r="N160" s="274"/>
      <c r="O160" s="274"/>
      <c r="P160" s="274"/>
      <c r="Q160" s="274"/>
      <c r="R160" s="274"/>
      <c r="S160" s="334"/>
      <c r="T160" s="334"/>
      <c r="U160" s="334"/>
      <c r="V160" s="334"/>
    </row>
    <row r="161" ht="30" customHeight="1" spans="2:22">
      <c r="B161" s="296">
        <v>6111</v>
      </c>
      <c r="C161" s="400" t="s">
        <v>170</v>
      </c>
      <c r="D161" s="298"/>
      <c r="E161" s="211"/>
      <c r="F161" s="299"/>
      <c r="G161" s="274"/>
      <c r="H161" s="274"/>
      <c r="I161" s="274"/>
      <c r="J161" s="274"/>
      <c r="K161" s="274"/>
      <c r="L161" s="274"/>
      <c r="M161" s="274"/>
      <c r="N161" s="274"/>
      <c r="O161" s="274"/>
      <c r="P161" s="274"/>
      <c r="Q161" s="274"/>
      <c r="R161" s="274"/>
      <c r="S161" s="334"/>
      <c r="T161" s="334"/>
      <c r="U161" s="334"/>
      <c r="V161" s="334"/>
    </row>
    <row r="162" ht="30" customHeight="1" spans="2:22">
      <c r="B162" s="296">
        <v>6201</v>
      </c>
      <c r="C162" s="400" t="s">
        <v>171</v>
      </c>
      <c r="D162" s="298"/>
      <c r="E162" s="211"/>
      <c r="F162" s="299"/>
      <c r="G162" s="274"/>
      <c r="H162" s="274"/>
      <c r="I162" s="274"/>
      <c r="J162" s="274"/>
      <c r="K162" s="274"/>
      <c r="L162" s="274"/>
      <c r="M162" s="274"/>
      <c r="N162" s="274"/>
      <c r="O162" s="274"/>
      <c r="P162" s="274"/>
      <c r="Q162" s="274"/>
      <c r="R162" s="274"/>
      <c r="S162" s="334"/>
      <c r="T162" s="334"/>
      <c r="U162" s="334"/>
      <c r="V162" s="334"/>
    </row>
    <row r="163" ht="30" customHeight="1" spans="2:22">
      <c r="B163" s="296">
        <v>6202</v>
      </c>
      <c r="C163" s="400" t="s">
        <v>172</v>
      </c>
      <c r="D163" s="298"/>
      <c r="E163" s="211"/>
      <c r="F163" s="299"/>
      <c r="G163" s="274"/>
      <c r="H163" s="274"/>
      <c r="I163" s="274"/>
      <c r="J163" s="274"/>
      <c r="K163" s="274"/>
      <c r="L163" s="274"/>
      <c r="M163" s="274"/>
      <c r="N163" s="274"/>
      <c r="O163" s="274"/>
      <c r="P163" s="274"/>
      <c r="Q163" s="274"/>
      <c r="R163" s="274"/>
      <c r="S163" s="334"/>
      <c r="T163" s="334"/>
      <c r="U163" s="334"/>
      <c r="V163" s="334"/>
    </row>
    <row r="164" ht="30" customHeight="1" spans="2:22">
      <c r="B164" s="296">
        <v>6203</v>
      </c>
      <c r="C164" s="400" t="s">
        <v>173</v>
      </c>
      <c r="D164" s="298"/>
      <c r="E164" s="211"/>
      <c r="F164" s="299"/>
      <c r="G164" s="274"/>
      <c r="H164" s="274"/>
      <c r="I164" s="274"/>
      <c r="J164" s="274"/>
      <c r="K164" s="274"/>
      <c r="L164" s="274"/>
      <c r="M164" s="274"/>
      <c r="N164" s="274"/>
      <c r="O164" s="274"/>
      <c r="P164" s="274"/>
      <c r="Q164" s="274"/>
      <c r="R164" s="274"/>
      <c r="S164" s="334"/>
      <c r="T164" s="334"/>
      <c r="U164" s="334"/>
      <c r="V164" s="334"/>
    </row>
    <row r="165" ht="30" customHeight="1" spans="2:22">
      <c r="B165" s="296">
        <v>6301</v>
      </c>
      <c r="C165" s="400" t="s">
        <v>174</v>
      </c>
      <c r="D165" s="298"/>
      <c r="E165" s="211"/>
      <c r="F165" s="299"/>
      <c r="G165" s="274"/>
      <c r="H165" s="274"/>
      <c r="I165" s="274"/>
      <c r="J165" s="274"/>
      <c r="K165" s="274"/>
      <c r="L165" s="274"/>
      <c r="M165" s="274"/>
      <c r="N165" s="274"/>
      <c r="O165" s="274"/>
      <c r="P165" s="274"/>
      <c r="Q165" s="274"/>
      <c r="R165" s="274"/>
      <c r="S165" s="334"/>
      <c r="T165" s="334"/>
      <c r="U165" s="334"/>
      <c r="V165" s="334"/>
    </row>
    <row r="166" ht="30" customHeight="1" spans="2:22">
      <c r="B166" s="296">
        <v>6401</v>
      </c>
      <c r="C166" s="400" t="s">
        <v>175</v>
      </c>
      <c r="D166" s="298"/>
      <c r="E166" s="211"/>
      <c r="F166" s="299"/>
      <c r="G166" s="274"/>
      <c r="H166" s="274"/>
      <c r="I166" s="274"/>
      <c r="J166" s="274"/>
      <c r="K166" s="274"/>
      <c r="L166" s="274"/>
      <c r="M166" s="274"/>
      <c r="N166" s="274"/>
      <c r="O166" s="274"/>
      <c r="P166" s="274"/>
      <c r="Q166" s="274"/>
      <c r="R166" s="274"/>
      <c r="S166" s="334"/>
      <c r="T166" s="334"/>
      <c r="U166" s="334"/>
      <c r="V166" s="334"/>
    </row>
    <row r="167" ht="30" customHeight="1" spans="2:22">
      <c r="B167" s="296">
        <v>6402</v>
      </c>
      <c r="C167" s="400" t="s">
        <v>176</v>
      </c>
      <c r="D167" s="298"/>
      <c r="E167" s="211"/>
      <c r="F167" s="299"/>
      <c r="G167" s="274"/>
      <c r="H167" s="274"/>
      <c r="I167" s="274"/>
      <c r="J167" s="274"/>
      <c r="K167" s="274"/>
      <c r="L167" s="274"/>
      <c r="M167" s="274"/>
      <c r="N167" s="274"/>
      <c r="O167" s="274"/>
      <c r="P167" s="274"/>
      <c r="Q167" s="274"/>
      <c r="R167" s="274"/>
      <c r="S167" s="334"/>
      <c r="T167" s="334"/>
      <c r="U167" s="334"/>
      <c r="V167" s="334"/>
    </row>
    <row r="168" ht="30" customHeight="1" spans="2:22">
      <c r="B168" s="296">
        <v>6403</v>
      </c>
      <c r="C168" s="400" t="s">
        <v>177</v>
      </c>
      <c r="D168" s="298"/>
      <c r="E168" s="211"/>
      <c r="F168" s="299"/>
      <c r="G168" s="274"/>
      <c r="H168" s="274"/>
      <c r="I168" s="274"/>
      <c r="J168" s="274"/>
      <c r="K168" s="274"/>
      <c r="L168" s="274"/>
      <c r="M168" s="274"/>
      <c r="N168" s="274"/>
      <c r="O168" s="274"/>
      <c r="P168" s="274"/>
      <c r="Q168" s="274"/>
      <c r="R168" s="274"/>
      <c r="S168" s="334"/>
      <c r="T168" s="334"/>
      <c r="U168" s="334"/>
      <c r="V168" s="334"/>
    </row>
    <row r="169" ht="30" customHeight="1" spans="2:22">
      <c r="B169" s="355">
        <v>6411</v>
      </c>
      <c r="C169" s="402" t="s">
        <v>178</v>
      </c>
      <c r="D169" s="298"/>
      <c r="E169" s="211"/>
      <c r="F169" s="299"/>
      <c r="G169" s="274"/>
      <c r="H169" s="274"/>
      <c r="I169" s="274"/>
      <c r="J169" s="274"/>
      <c r="K169" s="274"/>
      <c r="L169" s="274"/>
      <c r="M169" s="274"/>
      <c r="N169" s="274"/>
      <c r="O169" s="274"/>
      <c r="P169" s="274"/>
      <c r="Q169" s="274"/>
      <c r="R169" s="274"/>
      <c r="S169" s="334"/>
      <c r="T169" s="334"/>
      <c r="U169" s="334"/>
      <c r="V169" s="334"/>
    </row>
    <row r="170" ht="30" customHeight="1" spans="2:22">
      <c r="B170" s="355">
        <v>6421</v>
      </c>
      <c r="C170" s="402" t="s">
        <v>179</v>
      </c>
      <c r="D170" s="298"/>
      <c r="E170" s="211"/>
      <c r="F170" s="299"/>
      <c r="G170" s="274"/>
      <c r="H170" s="274"/>
      <c r="I170" s="274"/>
      <c r="J170" s="274"/>
      <c r="K170" s="274"/>
      <c r="L170" s="274"/>
      <c r="M170" s="274"/>
      <c r="N170" s="274"/>
      <c r="O170" s="274"/>
      <c r="P170" s="274"/>
      <c r="Q170" s="274"/>
      <c r="R170" s="274"/>
      <c r="S170" s="334"/>
      <c r="T170" s="334"/>
      <c r="U170" s="334"/>
      <c r="V170" s="334"/>
    </row>
    <row r="171" ht="30" customHeight="1" spans="2:22">
      <c r="B171" s="355">
        <v>6501</v>
      </c>
      <c r="C171" s="402" t="s">
        <v>180</v>
      </c>
      <c r="D171" s="298"/>
      <c r="E171" s="211"/>
      <c r="F171" s="299"/>
      <c r="G171" s="274"/>
      <c r="H171" s="274"/>
      <c r="I171" s="274"/>
      <c r="J171" s="274"/>
      <c r="K171" s="274"/>
      <c r="L171" s="274"/>
      <c r="M171" s="274"/>
      <c r="N171" s="274"/>
      <c r="O171" s="274"/>
      <c r="P171" s="274"/>
      <c r="Q171" s="274"/>
      <c r="R171" s="274"/>
      <c r="S171" s="334"/>
      <c r="T171" s="334"/>
      <c r="U171" s="334"/>
      <c r="V171" s="334"/>
    </row>
    <row r="172" ht="30" customHeight="1" spans="2:22">
      <c r="B172" s="355">
        <v>6502</v>
      </c>
      <c r="C172" s="402" t="s">
        <v>181</v>
      </c>
      <c r="D172" s="298"/>
      <c r="E172" s="211"/>
      <c r="F172" s="299"/>
      <c r="G172" s="274"/>
      <c r="H172" s="274"/>
      <c r="I172" s="274"/>
      <c r="J172" s="274"/>
      <c r="K172" s="274"/>
      <c r="L172" s="274"/>
      <c r="M172" s="274"/>
      <c r="N172" s="274"/>
      <c r="O172" s="274"/>
      <c r="P172" s="274"/>
      <c r="Q172" s="274"/>
      <c r="R172" s="274"/>
      <c r="S172" s="334"/>
      <c r="T172" s="334"/>
      <c r="U172" s="334"/>
      <c r="V172" s="334"/>
    </row>
    <row r="173" ht="30" customHeight="1" spans="2:22">
      <c r="B173" s="355">
        <v>6511</v>
      </c>
      <c r="C173" s="402" t="s">
        <v>182</v>
      </c>
      <c r="D173" s="298"/>
      <c r="E173" s="211"/>
      <c r="F173" s="299"/>
      <c r="G173" s="274"/>
      <c r="H173" s="274"/>
      <c r="I173" s="274"/>
      <c r="J173" s="274"/>
      <c r="K173" s="274"/>
      <c r="L173" s="274"/>
      <c r="M173" s="274"/>
      <c r="N173" s="274"/>
      <c r="O173" s="274"/>
      <c r="P173" s="274"/>
      <c r="Q173" s="274"/>
      <c r="R173" s="274"/>
      <c r="S173" s="334"/>
      <c r="T173" s="334"/>
      <c r="U173" s="334"/>
      <c r="V173" s="334"/>
    </row>
    <row r="174" ht="30" customHeight="1" spans="2:22">
      <c r="B174" s="355">
        <v>6521</v>
      </c>
      <c r="C174" s="402" t="s">
        <v>183</v>
      </c>
      <c r="D174" s="298"/>
      <c r="E174" s="211"/>
      <c r="F174" s="299"/>
      <c r="G174" s="274"/>
      <c r="H174" s="274"/>
      <c r="I174" s="274"/>
      <c r="J174" s="274"/>
      <c r="K174" s="274"/>
      <c r="L174" s="274"/>
      <c r="M174" s="274"/>
      <c r="N174" s="274"/>
      <c r="O174" s="274"/>
      <c r="P174" s="274"/>
      <c r="Q174" s="274"/>
      <c r="R174" s="274"/>
      <c r="S174" s="334"/>
      <c r="T174" s="334"/>
      <c r="U174" s="334"/>
      <c r="V174" s="334"/>
    </row>
    <row r="175" ht="30" customHeight="1" spans="2:22">
      <c r="B175" s="355">
        <v>6531</v>
      </c>
      <c r="C175" s="402" t="s">
        <v>184</v>
      </c>
      <c r="D175" s="298"/>
      <c r="E175" s="211"/>
      <c r="F175" s="299"/>
      <c r="G175" s="274"/>
      <c r="H175" s="274"/>
      <c r="I175" s="274"/>
      <c r="J175" s="274"/>
      <c r="K175" s="274"/>
      <c r="L175" s="274"/>
      <c r="M175" s="274"/>
      <c r="N175" s="274"/>
      <c r="O175" s="274"/>
      <c r="P175" s="274"/>
      <c r="Q175" s="274"/>
      <c r="R175" s="274"/>
      <c r="S175" s="334"/>
      <c r="T175" s="334"/>
      <c r="U175" s="334"/>
      <c r="V175" s="334"/>
    </row>
    <row r="176" ht="30" customHeight="1" spans="2:22">
      <c r="B176" s="355">
        <v>6541</v>
      </c>
      <c r="C176" s="402" t="s">
        <v>185</v>
      </c>
      <c r="D176" s="298"/>
      <c r="E176" s="211"/>
      <c r="F176" s="299"/>
      <c r="G176" s="274"/>
      <c r="H176" s="274"/>
      <c r="I176" s="274"/>
      <c r="J176" s="274"/>
      <c r="K176" s="274"/>
      <c r="L176" s="274"/>
      <c r="M176" s="274"/>
      <c r="N176" s="274"/>
      <c r="O176" s="274"/>
      <c r="P176" s="274"/>
      <c r="Q176" s="274"/>
      <c r="R176" s="274"/>
      <c r="S176" s="334"/>
      <c r="T176" s="334"/>
      <c r="U176" s="334"/>
      <c r="V176" s="334"/>
    </row>
    <row r="177" ht="30" customHeight="1" spans="2:22">
      <c r="B177" s="355">
        <v>6542</v>
      </c>
      <c r="C177" s="402" t="s">
        <v>186</v>
      </c>
      <c r="D177" s="298"/>
      <c r="E177" s="211"/>
      <c r="F177" s="299"/>
      <c r="G177" s="274"/>
      <c r="H177" s="274"/>
      <c r="I177" s="274"/>
      <c r="J177" s="274"/>
      <c r="K177" s="274"/>
      <c r="L177" s="274"/>
      <c r="M177" s="274"/>
      <c r="N177" s="274"/>
      <c r="O177" s="274"/>
      <c r="P177" s="274"/>
      <c r="Q177" s="274"/>
      <c r="R177" s="274"/>
      <c r="S177" s="334"/>
      <c r="T177" s="334"/>
      <c r="U177" s="334"/>
      <c r="V177" s="334"/>
    </row>
    <row r="178" ht="30" customHeight="1" spans="2:22">
      <c r="B178" s="356">
        <v>6601</v>
      </c>
      <c r="C178" s="417" t="s">
        <v>187</v>
      </c>
      <c r="D178" s="357"/>
      <c r="E178" s="243"/>
      <c r="F178" s="358"/>
      <c r="G178" s="274"/>
      <c r="H178" s="274"/>
      <c r="I178" s="274"/>
      <c r="J178" s="274"/>
      <c r="K178" s="274"/>
      <c r="L178" s="274"/>
      <c r="M178" s="274"/>
      <c r="N178" s="274"/>
      <c r="O178" s="274"/>
      <c r="P178" s="274"/>
      <c r="Q178" s="274"/>
      <c r="R178" s="274"/>
      <c r="S178" s="334"/>
      <c r="T178" s="334"/>
      <c r="U178" s="334"/>
      <c r="V178" s="334"/>
    </row>
    <row r="179" ht="30" customHeight="1" spans="2:22">
      <c r="B179" s="356">
        <v>660101</v>
      </c>
      <c r="C179" s="417" t="s">
        <v>188</v>
      </c>
      <c r="D179" s="417" t="s">
        <v>38</v>
      </c>
      <c r="E179" s="243"/>
      <c r="F179" s="358"/>
      <c r="G179" s="274"/>
      <c r="H179" s="274"/>
      <c r="I179" s="274"/>
      <c r="J179" s="274"/>
      <c r="K179" s="274"/>
      <c r="L179" s="274"/>
      <c r="M179" s="274"/>
      <c r="N179" s="274"/>
      <c r="O179" s="274"/>
      <c r="P179" s="274"/>
      <c r="Q179" s="274"/>
      <c r="R179" s="274"/>
      <c r="S179" s="334"/>
      <c r="T179" s="334"/>
      <c r="U179" s="334"/>
      <c r="V179" s="334"/>
    </row>
    <row r="180" ht="30" customHeight="1" spans="2:22">
      <c r="B180" s="356">
        <v>660102</v>
      </c>
      <c r="C180" s="417" t="s">
        <v>155</v>
      </c>
      <c r="D180" s="417" t="s">
        <v>38</v>
      </c>
      <c r="E180" s="243"/>
      <c r="F180" s="358"/>
      <c r="G180" s="274"/>
      <c r="H180" s="274"/>
      <c r="I180" s="274"/>
      <c r="J180" s="274"/>
      <c r="K180" s="274"/>
      <c r="L180" s="274"/>
      <c r="M180" s="274"/>
      <c r="N180" s="274"/>
      <c r="O180" s="274"/>
      <c r="P180" s="274"/>
      <c r="Q180" s="274"/>
      <c r="R180" s="274"/>
      <c r="S180" s="334"/>
      <c r="T180" s="334"/>
      <c r="U180" s="334"/>
      <c r="V180" s="334"/>
    </row>
    <row r="181" ht="30" customHeight="1" spans="2:22">
      <c r="B181" s="356">
        <v>660103</v>
      </c>
      <c r="C181" s="417" t="s">
        <v>189</v>
      </c>
      <c r="D181" s="417" t="s">
        <v>38</v>
      </c>
      <c r="E181" s="243"/>
      <c r="F181" s="358"/>
      <c r="G181" s="274"/>
      <c r="H181" s="274"/>
      <c r="I181" s="274"/>
      <c r="J181" s="274"/>
      <c r="K181" s="274"/>
      <c r="L181" s="274"/>
      <c r="M181" s="274"/>
      <c r="N181" s="274"/>
      <c r="O181" s="274"/>
      <c r="P181" s="274"/>
      <c r="Q181" s="274"/>
      <c r="R181" s="274"/>
      <c r="S181" s="334"/>
      <c r="T181" s="334"/>
      <c r="U181" s="334"/>
      <c r="V181" s="334"/>
    </row>
    <row r="182" ht="30" customHeight="1" spans="2:22">
      <c r="B182" s="356">
        <v>660104</v>
      </c>
      <c r="C182" s="417" t="s">
        <v>190</v>
      </c>
      <c r="D182" s="417" t="s">
        <v>38</v>
      </c>
      <c r="E182" s="243"/>
      <c r="F182" s="358"/>
      <c r="G182" s="274"/>
      <c r="H182" s="274"/>
      <c r="I182" s="274"/>
      <c r="J182" s="274"/>
      <c r="K182" s="274"/>
      <c r="L182" s="274"/>
      <c r="M182" s="274"/>
      <c r="N182" s="274"/>
      <c r="O182" s="274"/>
      <c r="P182" s="274"/>
      <c r="Q182" s="274"/>
      <c r="R182" s="274"/>
      <c r="S182" s="334"/>
      <c r="T182" s="334"/>
      <c r="U182" s="334"/>
      <c r="V182" s="334"/>
    </row>
    <row r="183" ht="30" customHeight="1" spans="2:22">
      <c r="B183" s="356">
        <v>660105</v>
      </c>
      <c r="C183" s="417" t="s">
        <v>191</v>
      </c>
      <c r="D183" s="417" t="s">
        <v>38</v>
      </c>
      <c r="E183" s="243"/>
      <c r="F183" s="358"/>
      <c r="G183" s="274"/>
      <c r="H183" s="274"/>
      <c r="I183" s="274"/>
      <c r="J183" s="274"/>
      <c r="K183" s="274"/>
      <c r="L183" s="274"/>
      <c r="M183" s="274"/>
      <c r="N183" s="274"/>
      <c r="O183" s="274"/>
      <c r="P183" s="274"/>
      <c r="Q183" s="274"/>
      <c r="R183" s="274"/>
      <c r="S183" s="334"/>
      <c r="T183" s="334"/>
      <c r="U183" s="334"/>
      <c r="V183" s="334"/>
    </row>
    <row r="184" ht="30" customHeight="1" spans="2:22">
      <c r="B184" s="359">
        <v>6602</v>
      </c>
      <c r="C184" s="418" t="s">
        <v>192</v>
      </c>
      <c r="D184" s="341"/>
      <c r="E184" s="229"/>
      <c r="F184" s="342"/>
      <c r="G184" s="274"/>
      <c r="H184" s="274"/>
      <c r="I184" s="274"/>
      <c r="J184" s="274"/>
      <c r="K184" s="274"/>
      <c r="L184" s="274"/>
      <c r="M184" s="274"/>
      <c r="N184" s="274"/>
      <c r="O184" s="274"/>
      <c r="P184" s="274"/>
      <c r="Q184" s="274"/>
      <c r="R184" s="274"/>
      <c r="S184" s="334"/>
      <c r="T184" s="334"/>
      <c r="U184" s="334"/>
      <c r="V184" s="334"/>
    </row>
    <row r="185" ht="30" customHeight="1" spans="2:22">
      <c r="B185" s="359">
        <v>660201</v>
      </c>
      <c r="C185" s="418" t="s">
        <v>153</v>
      </c>
      <c r="D185" s="418" t="s">
        <v>38</v>
      </c>
      <c r="E185" s="229"/>
      <c r="F185" s="342"/>
      <c r="G185" s="274"/>
      <c r="H185" s="274"/>
      <c r="I185" s="274"/>
      <c r="J185" s="274"/>
      <c r="K185" s="274"/>
      <c r="L185" s="274"/>
      <c r="M185" s="274"/>
      <c r="N185" s="274"/>
      <c r="O185" s="274"/>
      <c r="P185" s="274"/>
      <c r="Q185" s="274"/>
      <c r="R185" s="274"/>
      <c r="S185" s="334"/>
      <c r="T185" s="334"/>
      <c r="U185" s="334"/>
      <c r="V185" s="334"/>
    </row>
    <row r="186" ht="30" customHeight="1" spans="2:22">
      <c r="B186" s="359">
        <v>660202</v>
      </c>
      <c r="C186" s="418" t="s">
        <v>154</v>
      </c>
      <c r="D186" s="418" t="s">
        <v>38</v>
      </c>
      <c r="E186" s="229"/>
      <c r="F186" s="342"/>
      <c r="G186" s="274"/>
      <c r="H186" s="274"/>
      <c r="I186" s="274"/>
      <c r="J186" s="274"/>
      <c r="K186" s="274"/>
      <c r="L186" s="274"/>
      <c r="M186" s="274"/>
      <c r="N186" s="274"/>
      <c r="O186" s="274"/>
      <c r="P186" s="274"/>
      <c r="Q186" s="274"/>
      <c r="R186" s="274"/>
      <c r="S186" s="334"/>
      <c r="T186" s="334"/>
      <c r="U186" s="334"/>
      <c r="V186" s="334"/>
    </row>
    <row r="187" ht="30" customHeight="1" spans="2:22">
      <c r="B187" s="359">
        <v>660203</v>
      </c>
      <c r="C187" s="418" t="s">
        <v>191</v>
      </c>
      <c r="D187" s="418" t="s">
        <v>38</v>
      </c>
      <c r="E187" s="229"/>
      <c r="F187" s="342"/>
      <c r="G187" s="274"/>
      <c r="H187" s="274"/>
      <c r="I187" s="274"/>
      <c r="J187" s="274"/>
      <c r="K187" s="274"/>
      <c r="L187" s="274"/>
      <c r="M187" s="274"/>
      <c r="N187" s="274"/>
      <c r="O187" s="274"/>
      <c r="P187" s="274"/>
      <c r="Q187" s="274"/>
      <c r="R187" s="274"/>
      <c r="S187" s="334"/>
      <c r="T187" s="334"/>
      <c r="U187" s="334"/>
      <c r="V187" s="334"/>
    </row>
    <row r="188" ht="30" customHeight="1" spans="2:22">
      <c r="B188" s="359">
        <v>660204</v>
      </c>
      <c r="C188" s="418" t="s">
        <v>155</v>
      </c>
      <c r="D188" s="418" t="s">
        <v>38</v>
      </c>
      <c r="E188" s="229"/>
      <c r="F188" s="342"/>
      <c r="G188" s="274"/>
      <c r="H188" s="274"/>
      <c r="I188" s="274"/>
      <c r="J188" s="274"/>
      <c r="K188" s="274"/>
      <c r="L188" s="274"/>
      <c r="M188" s="274"/>
      <c r="N188" s="274"/>
      <c r="O188" s="274"/>
      <c r="P188" s="274"/>
      <c r="Q188" s="274"/>
      <c r="R188" s="274"/>
      <c r="S188" s="334"/>
      <c r="T188" s="334"/>
      <c r="U188" s="334"/>
      <c r="V188" s="334"/>
    </row>
    <row r="189" ht="30" customHeight="1" spans="2:22">
      <c r="B189" s="359">
        <v>660205</v>
      </c>
      <c r="C189" s="418" t="s">
        <v>189</v>
      </c>
      <c r="D189" s="418" t="s">
        <v>38</v>
      </c>
      <c r="E189" s="229"/>
      <c r="F189" s="342"/>
      <c r="G189" s="274"/>
      <c r="H189" s="274"/>
      <c r="I189" s="274"/>
      <c r="J189" s="274"/>
      <c r="K189" s="274"/>
      <c r="L189" s="274"/>
      <c r="M189" s="274"/>
      <c r="N189" s="274"/>
      <c r="O189" s="274"/>
      <c r="P189" s="274"/>
      <c r="Q189" s="274"/>
      <c r="R189" s="274"/>
      <c r="S189" s="334"/>
      <c r="T189" s="334"/>
      <c r="U189" s="334"/>
      <c r="V189" s="334"/>
    </row>
    <row r="190" ht="30" customHeight="1" spans="2:22">
      <c r="B190" s="359">
        <v>660206</v>
      </c>
      <c r="C190" s="418" t="s">
        <v>193</v>
      </c>
      <c r="D190" s="418" t="s">
        <v>38</v>
      </c>
      <c r="E190" s="229"/>
      <c r="F190" s="342"/>
      <c r="G190" s="274"/>
      <c r="H190" s="274"/>
      <c r="I190" s="274"/>
      <c r="J190" s="274"/>
      <c r="K190" s="274"/>
      <c r="L190" s="274"/>
      <c r="M190" s="274"/>
      <c r="N190" s="274"/>
      <c r="O190" s="274"/>
      <c r="P190" s="274"/>
      <c r="Q190" s="274"/>
      <c r="R190" s="274"/>
      <c r="S190" s="334"/>
      <c r="T190" s="334"/>
      <c r="U190" s="334"/>
      <c r="V190" s="334"/>
    </row>
    <row r="191" ht="30" customHeight="1" spans="2:22">
      <c r="B191" s="360">
        <v>6603</v>
      </c>
      <c r="C191" s="419" t="s">
        <v>194</v>
      </c>
      <c r="D191" s="361"/>
      <c r="E191" s="247"/>
      <c r="F191" s="362"/>
      <c r="G191" s="274"/>
      <c r="H191" s="274"/>
      <c r="I191" s="274"/>
      <c r="J191" s="274"/>
      <c r="K191" s="274"/>
      <c r="L191" s="274"/>
      <c r="M191" s="274"/>
      <c r="N191" s="274"/>
      <c r="O191" s="274"/>
      <c r="P191" s="274"/>
      <c r="Q191" s="274"/>
      <c r="R191" s="274"/>
      <c r="S191" s="334"/>
      <c r="T191" s="334"/>
      <c r="U191" s="334"/>
      <c r="V191" s="334"/>
    </row>
    <row r="192" ht="30" customHeight="1" spans="2:22">
      <c r="B192" s="360">
        <v>660301</v>
      </c>
      <c r="C192" s="419" t="s">
        <v>195</v>
      </c>
      <c r="D192" s="361"/>
      <c r="E192" s="247"/>
      <c r="F192" s="362"/>
      <c r="G192" s="274"/>
      <c r="H192" s="274"/>
      <c r="I192" s="274"/>
      <c r="J192" s="274"/>
      <c r="K192" s="274"/>
      <c r="L192" s="274"/>
      <c r="M192" s="274"/>
      <c r="N192" s="274"/>
      <c r="O192" s="274"/>
      <c r="P192" s="274"/>
      <c r="Q192" s="274"/>
      <c r="R192" s="274"/>
      <c r="S192" s="334"/>
      <c r="T192" s="334"/>
      <c r="U192" s="334"/>
      <c r="V192" s="334"/>
    </row>
    <row r="193" ht="30" customHeight="1" spans="2:22">
      <c r="B193" s="360">
        <v>660302</v>
      </c>
      <c r="C193" s="419" t="s">
        <v>196</v>
      </c>
      <c r="D193" s="361"/>
      <c r="E193" s="247"/>
      <c r="F193" s="362"/>
      <c r="G193" s="274"/>
      <c r="H193" s="274"/>
      <c r="I193" s="274"/>
      <c r="J193" s="274"/>
      <c r="K193" s="274"/>
      <c r="L193" s="274"/>
      <c r="M193" s="274"/>
      <c r="N193" s="274"/>
      <c r="O193" s="274"/>
      <c r="P193" s="274"/>
      <c r="Q193" s="274"/>
      <c r="R193" s="274"/>
      <c r="S193" s="334"/>
      <c r="T193" s="334"/>
      <c r="U193" s="334"/>
      <c r="V193" s="334"/>
    </row>
    <row r="194" ht="30" customHeight="1" spans="2:22">
      <c r="B194" s="360">
        <v>660303</v>
      </c>
      <c r="C194" s="419" t="s">
        <v>197</v>
      </c>
      <c r="D194" s="361"/>
      <c r="E194" s="247"/>
      <c r="F194" s="362"/>
      <c r="G194" s="274"/>
      <c r="H194" s="274"/>
      <c r="I194" s="274"/>
      <c r="J194" s="274"/>
      <c r="K194" s="274"/>
      <c r="L194" s="274"/>
      <c r="M194" s="274"/>
      <c r="N194" s="274"/>
      <c r="O194" s="274"/>
      <c r="P194" s="274"/>
      <c r="Q194" s="274"/>
      <c r="R194" s="274"/>
      <c r="S194" s="334"/>
      <c r="T194" s="334"/>
      <c r="U194" s="334"/>
      <c r="V194" s="334"/>
    </row>
    <row r="195" ht="30" customHeight="1" spans="2:22">
      <c r="B195" s="355">
        <v>6604</v>
      </c>
      <c r="C195" s="402" t="s">
        <v>198</v>
      </c>
      <c r="D195" s="298"/>
      <c r="E195" s="211"/>
      <c r="F195" s="299"/>
      <c r="G195" s="274"/>
      <c r="H195" s="274"/>
      <c r="I195" s="274"/>
      <c r="J195" s="274"/>
      <c r="K195" s="274"/>
      <c r="L195" s="274"/>
      <c r="M195" s="274"/>
      <c r="N195" s="274"/>
      <c r="O195" s="274"/>
      <c r="P195" s="274"/>
      <c r="Q195" s="274"/>
      <c r="R195" s="274"/>
      <c r="S195" s="334"/>
      <c r="T195" s="334"/>
      <c r="U195" s="334"/>
      <c r="V195" s="334"/>
    </row>
    <row r="196" ht="30" customHeight="1" spans="2:22">
      <c r="B196" s="355">
        <v>6701</v>
      </c>
      <c r="C196" s="402" t="s">
        <v>199</v>
      </c>
      <c r="D196" s="298"/>
      <c r="E196" s="211"/>
      <c r="F196" s="299"/>
      <c r="G196" s="274"/>
      <c r="H196" s="274"/>
      <c r="I196" s="274"/>
      <c r="J196" s="274"/>
      <c r="K196" s="274"/>
      <c r="L196" s="274"/>
      <c r="M196" s="274"/>
      <c r="N196" s="274"/>
      <c r="O196" s="274"/>
      <c r="P196" s="274"/>
      <c r="Q196" s="274"/>
      <c r="R196" s="274"/>
      <c r="S196" s="334"/>
      <c r="T196" s="334"/>
      <c r="U196" s="334"/>
      <c r="V196" s="334"/>
    </row>
    <row r="197" ht="30" customHeight="1" spans="2:22">
      <c r="B197" s="363">
        <v>6711</v>
      </c>
      <c r="C197" s="420" t="s">
        <v>200</v>
      </c>
      <c r="D197" s="345"/>
      <c r="E197" s="233"/>
      <c r="F197" s="346"/>
      <c r="G197" s="274"/>
      <c r="H197" s="274"/>
      <c r="I197" s="274"/>
      <c r="J197" s="274"/>
      <c r="K197" s="274"/>
      <c r="L197" s="274"/>
      <c r="M197" s="274"/>
      <c r="N197" s="274"/>
      <c r="O197" s="274"/>
      <c r="P197" s="274"/>
      <c r="Q197" s="274"/>
      <c r="R197" s="274"/>
      <c r="S197" s="334"/>
      <c r="T197" s="334"/>
      <c r="U197" s="334"/>
      <c r="V197" s="334"/>
    </row>
    <row r="198" ht="30" customHeight="1" spans="2:22">
      <c r="B198" s="363">
        <v>671101</v>
      </c>
      <c r="C198" s="420" t="s">
        <v>201</v>
      </c>
      <c r="D198" s="345"/>
      <c r="E198" s="233"/>
      <c r="F198" s="346"/>
      <c r="G198" s="274"/>
      <c r="H198" s="274"/>
      <c r="I198" s="274"/>
      <c r="J198" s="274"/>
      <c r="K198" s="274"/>
      <c r="L198" s="274"/>
      <c r="M198" s="274"/>
      <c r="N198" s="274"/>
      <c r="O198" s="274"/>
      <c r="P198" s="274"/>
      <c r="Q198" s="274"/>
      <c r="R198" s="274"/>
      <c r="S198" s="334"/>
      <c r="T198" s="334"/>
      <c r="U198" s="334"/>
      <c r="V198" s="334"/>
    </row>
    <row r="199" ht="30" customHeight="1" spans="2:22">
      <c r="B199" s="363">
        <v>671102</v>
      </c>
      <c r="C199" s="420" t="s">
        <v>202</v>
      </c>
      <c r="D199" s="345"/>
      <c r="E199" s="233"/>
      <c r="F199" s="346"/>
      <c r="G199" s="274"/>
      <c r="H199" s="274"/>
      <c r="I199" s="274"/>
      <c r="J199" s="274"/>
      <c r="K199" s="274"/>
      <c r="L199" s="274"/>
      <c r="M199" s="274"/>
      <c r="N199" s="274"/>
      <c r="O199" s="274"/>
      <c r="P199" s="274"/>
      <c r="Q199" s="274"/>
      <c r="R199" s="274"/>
      <c r="S199" s="334"/>
      <c r="T199" s="334"/>
      <c r="U199" s="334"/>
      <c r="V199" s="334"/>
    </row>
    <row r="200" ht="30" customHeight="1" spans="2:22">
      <c r="B200" s="355">
        <v>6801</v>
      </c>
      <c r="C200" s="402" t="s">
        <v>203</v>
      </c>
      <c r="D200" s="298"/>
      <c r="E200" s="211"/>
      <c r="F200" s="299"/>
      <c r="G200" s="274"/>
      <c r="H200" s="274"/>
      <c r="I200" s="274"/>
      <c r="J200" s="274"/>
      <c r="K200" s="274"/>
      <c r="L200" s="274"/>
      <c r="M200" s="274"/>
      <c r="N200" s="274"/>
      <c r="O200" s="274"/>
      <c r="P200" s="274"/>
      <c r="Q200" s="274"/>
      <c r="R200" s="274"/>
      <c r="S200" s="334"/>
      <c r="T200" s="334"/>
      <c r="U200" s="334"/>
      <c r="V200" s="334"/>
    </row>
    <row r="201" ht="30" customHeight="1" spans="2:22">
      <c r="B201" s="364">
        <v>6901</v>
      </c>
      <c r="C201" s="421" t="s">
        <v>204</v>
      </c>
      <c r="D201" s="302"/>
      <c r="E201" s="303"/>
      <c r="F201" s="304"/>
      <c r="G201" s="274"/>
      <c r="H201" s="274"/>
      <c r="I201" s="274"/>
      <c r="J201" s="274"/>
      <c r="K201" s="274"/>
      <c r="L201" s="274"/>
      <c r="M201" s="274"/>
      <c r="N201" s="274"/>
      <c r="O201" s="274"/>
      <c r="P201" s="274"/>
      <c r="Q201" s="274"/>
      <c r="R201" s="274"/>
      <c r="S201" s="334"/>
      <c r="T201" s="334"/>
      <c r="U201" s="334"/>
      <c r="V201" s="334"/>
    </row>
    <row r="202" ht="30" customHeight="1" spans="2:22">
      <c r="B202" s="366"/>
      <c r="C202" s="366"/>
      <c r="G202" s="274"/>
      <c r="H202" s="274"/>
      <c r="I202" s="274"/>
      <c r="J202" s="274"/>
      <c r="K202" s="274"/>
      <c r="L202" s="274"/>
      <c r="M202" s="274"/>
      <c r="N202" s="274"/>
      <c r="O202" s="274"/>
      <c r="P202" s="274"/>
      <c r="Q202" s="274"/>
      <c r="R202" s="274"/>
      <c r="S202" s="334"/>
      <c r="T202" s="334"/>
      <c r="U202" s="334"/>
      <c r="V202" s="334"/>
    </row>
    <row r="203" ht="30" customHeight="1" spans="1:22">
      <c r="A203" s="197"/>
      <c r="B203" s="366"/>
      <c r="C203" s="366"/>
      <c r="D203" s="366"/>
      <c r="E203" s="366"/>
      <c r="F203" s="366"/>
      <c r="G203" s="274"/>
      <c r="H203" s="274"/>
      <c r="I203" s="274"/>
      <c r="J203" s="274"/>
      <c r="K203" s="274"/>
      <c r="L203" s="274"/>
      <c r="M203" s="274"/>
      <c r="N203" s="274"/>
      <c r="O203" s="274"/>
      <c r="P203" s="274"/>
      <c r="Q203" s="274"/>
      <c r="R203" s="274"/>
      <c r="S203" s="334"/>
      <c r="T203" s="334"/>
      <c r="U203" s="334"/>
      <c r="V203" s="334"/>
    </row>
    <row r="204" s="16" customFormat="1" spans="2:3">
      <c r="B204" s="69"/>
      <c r="C204" s="69"/>
    </row>
    <row r="205" s="16" customFormat="1"/>
    <row r="206" s="16" customFormat="1"/>
    <row r="207" s="16" customFormat="1"/>
    <row r="208" s="16" customFormat="1"/>
    <row r="209" s="16" customFormat="1"/>
    <row r="210" s="16" customFormat="1"/>
    <row r="211" s="16" customFormat="1"/>
    <row r="212" s="16" customFormat="1"/>
    <row r="213" s="16" customFormat="1"/>
    <row r="214" s="16" customFormat="1"/>
    <row r="215" s="16" customFormat="1"/>
    <row r="216" s="16" customFormat="1"/>
    <row r="217" s="16" customFormat="1"/>
    <row r="218" s="16" customFormat="1"/>
    <row r="219" s="16" customFormat="1"/>
    <row r="220" s="16" customFormat="1"/>
    <row r="221" s="16" customFormat="1"/>
    <row r="222" s="16" customFormat="1"/>
    <row r="223" s="16" customFormat="1"/>
    <row r="224" s="16" customFormat="1"/>
    <row r="225" s="16" customFormat="1"/>
    <row r="226" s="16" customFormat="1"/>
    <row r="227" s="16" customFormat="1"/>
  </sheetData>
  <mergeCells count="4">
    <mergeCell ref="B6:F6"/>
    <mergeCell ref="G1:G7"/>
    <mergeCell ref="B1:F5"/>
    <mergeCell ref="L1:V7"/>
  </mergeCells>
  <pageMargins left="0.699305555555556" right="0.699305555555556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26" r:id="rId3" name="返回">
          <controlPr defaultSize="0" r:id="rId4">
            <anchor moveWithCells="1">
              <from>
                <xdr:col>8</xdr:col>
                <xdr:colOff>200025</xdr:colOff>
                <xdr:row>5</xdr:row>
                <xdr:rowOff>123825</xdr:rowOff>
              </from>
              <to>
                <xdr:col>9</xdr:col>
                <xdr:colOff>571500</xdr:colOff>
                <xdr:row>6</xdr:row>
                <xdr:rowOff>114300</xdr:rowOff>
              </to>
            </anchor>
          </controlPr>
        </control>
      </mc:Choice>
      <mc:Fallback>
        <control shapeId="1026" r:id="rId3" name="返回"/>
      </mc:Fallback>
    </mc:AlternateContent>
    <mc:AlternateContent xmlns:mc="http://schemas.openxmlformats.org/markup-compatibility/2006">
      <mc:Choice Requires="x14">
        <control shapeId="1027" r:id="rId5" name="CommandButton2">
          <controlPr defaultSize="0" r:id="rId6">
            <anchor moveWithCells="1">
              <from>
                <xdr:col>7</xdr:col>
                <xdr:colOff>561975</xdr:colOff>
                <xdr:row>1</xdr:row>
                <xdr:rowOff>152400</xdr:rowOff>
              </from>
              <to>
                <xdr:col>10</xdr:col>
                <xdr:colOff>133350</xdr:colOff>
                <xdr:row>4</xdr:row>
                <xdr:rowOff>57150</xdr:rowOff>
              </to>
            </anchor>
          </controlPr>
        </control>
      </mc:Choice>
      <mc:Fallback>
        <control shapeId="1027" r:id="rId5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W262"/>
  <sheetViews>
    <sheetView workbookViewId="0">
      <pane xSplit="1" ySplit="6" topLeftCell="B7" activePane="bottomRight" state="frozen"/>
      <selection/>
      <selection pane="topRight"/>
      <selection pane="bottomLeft"/>
      <selection pane="bottomRight" activeCell="A1" sqref="A1"/>
    </sheetView>
  </sheetViews>
  <sheetFormatPr defaultColWidth="9" defaultRowHeight="13.5"/>
  <cols>
    <col min="1" max="1" width="12.875" style="193" customWidth="1"/>
    <col min="2" max="2" width="18.625" customWidth="1"/>
    <col min="3" max="3" width="45" customWidth="1"/>
    <col min="4" max="4" width="15.5" customWidth="1"/>
    <col min="5" max="5" width="15" customWidth="1"/>
    <col min="6" max="6" width="8.5" style="16" customWidth="1"/>
    <col min="10" max="10" width="6.75" style="16" customWidth="1"/>
    <col min="11" max="11" width="9" style="16" customWidth="1"/>
    <col min="12" max="17" width="9" customWidth="1"/>
    <col min="18" max="18" width="9" style="194" customWidth="1"/>
    <col min="19" max="23" width="9" style="194"/>
  </cols>
  <sheetData>
    <row r="1" spans="2:17">
      <c r="B1" s="195" t="s">
        <v>205</v>
      </c>
      <c r="C1" s="196"/>
      <c r="D1" s="196"/>
      <c r="E1" s="196"/>
      <c r="F1" s="197"/>
      <c r="G1" s="198"/>
      <c r="H1" s="198"/>
      <c r="I1" s="198"/>
      <c r="J1" s="193"/>
      <c r="K1" s="193"/>
      <c r="L1" s="193"/>
      <c r="M1" s="193"/>
      <c r="N1" s="194"/>
      <c r="O1" s="194"/>
      <c r="P1" s="194"/>
      <c r="Q1" s="194"/>
    </row>
    <row r="2" spans="2:17">
      <c r="B2" s="196"/>
      <c r="C2" s="196"/>
      <c r="D2" s="196"/>
      <c r="E2" s="196"/>
      <c r="F2" s="197"/>
      <c r="G2" s="198"/>
      <c r="H2" s="198"/>
      <c r="I2" s="198"/>
      <c r="J2" s="193"/>
      <c r="K2" s="193"/>
      <c r="L2" s="193"/>
      <c r="M2" s="193"/>
      <c r="N2" s="194"/>
      <c r="O2" s="194"/>
      <c r="P2" s="194"/>
      <c r="Q2" s="194"/>
    </row>
    <row r="3" spans="2:17">
      <c r="B3" s="196"/>
      <c r="C3" s="196"/>
      <c r="D3" s="196"/>
      <c r="E3" s="196"/>
      <c r="F3" s="197"/>
      <c r="G3" s="198"/>
      <c r="H3" s="198"/>
      <c r="I3" s="198"/>
      <c r="J3" s="193"/>
      <c r="K3" s="193"/>
      <c r="L3" s="193"/>
      <c r="M3" s="193"/>
      <c r="N3" s="194"/>
      <c r="O3" s="194"/>
      <c r="P3" s="194"/>
      <c r="Q3" s="194"/>
    </row>
    <row r="4" spans="2:17">
      <c r="B4" s="196"/>
      <c r="C4" s="196"/>
      <c r="D4" s="196"/>
      <c r="E4" s="196"/>
      <c r="F4" s="197"/>
      <c r="G4" s="198"/>
      <c r="H4" s="198"/>
      <c r="I4" s="198"/>
      <c r="J4" s="193"/>
      <c r="K4" s="193"/>
      <c r="L4" s="193"/>
      <c r="M4" s="193"/>
      <c r="N4" s="194"/>
      <c r="O4" s="194"/>
      <c r="P4" s="194"/>
      <c r="Q4" s="194"/>
    </row>
    <row r="5" spans="2:17">
      <c r="B5" s="196"/>
      <c r="C5" s="196"/>
      <c r="D5" s="196"/>
      <c r="E5" s="196"/>
      <c r="F5" s="197"/>
      <c r="G5" s="198"/>
      <c r="H5" s="198"/>
      <c r="I5" s="198"/>
      <c r="J5" s="193"/>
      <c r="K5" s="193"/>
      <c r="L5" s="193"/>
      <c r="M5" s="193"/>
      <c r="N5" s="194"/>
      <c r="O5" s="194"/>
      <c r="P5" s="194"/>
      <c r="Q5" s="194"/>
    </row>
    <row r="6" ht="28.5" customHeight="1" spans="2:17">
      <c r="B6" s="199" t="s">
        <v>8</v>
      </c>
      <c r="C6" s="200" t="s">
        <v>9</v>
      </c>
      <c r="D6" s="200" t="s">
        <v>206</v>
      </c>
      <c r="E6" s="201" t="s">
        <v>207</v>
      </c>
      <c r="F6" s="197"/>
      <c r="G6" s="198"/>
      <c r="H6" s="198"/>
      <c r="I6" s="198"/>
      <c r="J6" s="193"/>
      <c r="K6" s="193"/>
      <c r="L6" s="193"/>
      <c r="M6" s="193"/>
      <c r="N6" s="194"/>
      <c r="O6" s="194"/>
      <c r="P6" s="194"/>
      <c r="Q6" s="194"/>
    </row>
    <row r="7" ht="30" customHeight="1" spans="2:17">
      <c r="B7" s="202">
        <v>1001</v>
      </c>
      <c r="C7" s="402" t="s">
        <v>13</v>
      </c>
      <c r="D7" s="204">
        <v>20000</v>
      </c>
      <c r="E7" s="205"/>
      <c r="F7" s="197"/>
      <c r="G7" s="197"/>
      <c r="H7" s="197"/>
      <c r="I7" s="197"/>
      <c r="J7" s="197"/>
      <c r="K7" s="197"/>
      <c r="L7" s="197"/>
      <c r="M7" s="197"/>
      <c r="N7" s="221"/>
      <c r="O7" s="221"/>
      <c r="P7" s="221"/>
      <c r="Q7" s="221"/>
    </row>
    <row r="8" ht="30" customHeight="1" spans="2:17">
      <c r="B8" s="206">
        <v>1002</v>
      </c>
      <c r="C8" s="422" t="s">
        <v>14</v>
      </c>
      <c r="D8" s="208"/>
      <c r="E8" s="209"/>
      <c r="F8" s="197"/>
      <c r="G8" s="197"/>
      <c r="H8" s="197"/>
      <c r="I8" s="197"/>
      <c r="J8" s="197"/>
      <c r="K8" s="197"/>
      <c r="L8" s="197"/>
      <c r="M8" s="197"/>
      <c r="N8" s="221"/>
      <c r="O8" s="221"/>
      <c r="P8" s="221"/>
      <c r="Q8" s="221"/>
    </row>
    <row r="9" s="16" customFormat="1" ht="30" customHeight="1" spans="1:23">
      <c r="A9" s="193"/>
      <c r="B9" s="206">
        <v>100201</v>
      </c>
      <c r="C9" s="422" t="s">
        <v>15</v>
      </c>
      <c r="D9" s="210">
        <v>500000</v>
      </c>
      <c r="E9" s="209"/>
      <c r="F9" s="197"/>
      <c r="G9" s="197"/>
      <c r="H9" s="197"/>
      <c r="I9" s="197"/>
      <c r="J9" s="197"/>
      <c r="K9" s="197"/>
      <c r="L9" s="197"/>
      <c r="M9" s="197"/>
      <c r="N9" s="221"/>
      <c r="O9" s="221"/>
      <c r="P9" s="221"/>
      <c r="Q9" s="221"/>
      <c r="R9" s="194"/>
      <c r="S9" s="194"/>
      <c r="T9" s="194"/>
      <c r="U9" s="194"/>
      <c r="V9" s="194"/>
      <c r="W9" s="194"/>
    </row>
    <row r="10" s="16" customFormat="1" ht="30" customHeight="1" spans="1:23">
      <c r="A10" s="193"/>
      <c r="B10" s="206">
        <v>100202</v>
      </c>
      <c r="C10" s="422" t="s">
        <v>16</v>
      </c>
      <c r="D10" s="208"/>
      <c r="E10" s="209"/>
      <c r="F10" s="197"/>
      <c r="G10" s="197"/>
      <c r="H10" s="197"/>
      <c r="I10" s="197"/>
      <c r="J10" s="197"/>
      <c r="K10" s="197"/>
      <c r="L10" s="197"/>
      <c r="M10" s="197"/>
      <c r="N10" s="221"/>
      <c r="O10" s="221"/>
      <c r="P10" s="221"/>
      <c r="Q10" s="221"/>
      <c r="R10" s="194"/>
      <c r="S10" s="194"/>
      <c r="T10" s="194"/>
      <c r="U10" s="194"/>
      <c r="V10" s="194"/>
      <c r="W10" s="194"/>
    </row>
    <row r="11" s="16" customFormat="1" ht="30" customHeight="1" spans="1:23">
      <c r="A11" s="193"/>
      <c r="B11" s="206">
        <v>10020201</v>
      </c>
      <c r="C11" s="422" t="s">
        <v>17</v>
      </c>
      <c r="D11" s="208"/>
      <c r="E11" s="209"/>
      <c r="F11" s="197"/>
      <c r="G11" s="197"/>
      <c r="H11" s="197"/>
      <c r="I11" s="197"/>
      <c r="J11" s="197"/>
      <c r="K11" s="197"/>
      <c r="L11" s="197"/>
      <c r="M11" s="197"/>
      <c r="N11" s="221"/>
      <c r="O11" s="221"/>
      <c r="P11" s="221"/>
      <c r="Q11" s="221"/>
      <c r="R11" s="194"/>
      <c r="S11" s="194"/>
      <c r="T11" s="194"/>
      <c r="U11" s="194"/>
      <c r="V11" s="194"/>
      <c r="W11" s="194"/>
    </row>
    <row r="12" s="16" customFormat="1" ht="30" customHeight="1" spans="1:23">
      <c r="A12" s="193"/>
      <c r="B12" s="206">
        <v>100203</v>
      </c>
      <c r="C12" s="422" t="s">
        <v>18</v>
      </c>
      <c r="D12" s="208"/>
      <c r="E12" s="209"/>
      <c r="F12" s="197"/>
      <c r="G12" s="197"/>
      <c r="H12" s="197"/>
      <c r="I12" s="197"/>
      <c r="J12" s="197"/>
      <c r="K12" s="197"/>
      <c r="L12" s="197"/>
      <c r="M12" s="197"/>
      <c r="N12" s="221"/>
      <c r="O12" s="221"/>
      <c r="P12" s="221"/>
      <c r="Q12" s="221"/>
      <c r="R12" s="194"/>
      <c r="S12" s="194"/>
      <c r="T12" s="194"/>
      <c r="U12" s="194"/>
      <c r="V12" s="194"/>
      <c r="W12" s="194"/>
    </row>
    <row r="13" s="16" customFormat="1" ht="30" customHeight="1" spans="1:23">
      <c r="A13" s="193"/>
      <c r="B13" s="202">
        <v>1003</v>
      </c>
      <c r="C13" s="402" t="s">
        <v>19</v>
      </c>
      <c r="D13" s="211"/>
      <c r="E13" s="205"/>
      <c r="F13" s="197"/>
      <c r="G13" s="197"/>
      <c r="H13" s="197"/>
      <c r="I13" s="197"/>
      <c r="J13" s="197"/>
      <c r="K13" s="197"/>
      <c r="L13" s="197"/>
      <c r="M13" s="197"/>
      <c r="N13" s="221"/>
      <c r="O13" s="221"/>
      <c r="P13" s="221"/>
      <c r="Q13" s="221"/>
      <c r="R13" s="194"/>
      <c r="S13" s="194"/>
      <c r="T13" s="194"/>
      <c r="U13" s="194"/>
      <c r="V13" s="194"/>
      <c r="W13" s="194"/>
    </row>
    <row r="14" ht="30" customHeight="1" spans="2:17">
      <c r="B14" s="202">
        <v>1011</v>
      </c>
      <c r="C14" s="402" t="s">
        <v>20</v>
      </c>
      <c r="D14" s="211"/>
      <c r="E14" s="205"/>
      <c r="F14" s="197"/>
      <c r="G14" s="197"/>
      <c r="H14" s="197"/>
      <c r="I14" s="197"/>
      <c r="J14" s="197"/>
      <c r="K14" s="197"/>
      <c r="L14" s="197"/>
      <c r="M14" s="197"/>
      <c r="N14" s="221"/>
      <c r="O14" s="221"/>
      <c r="P14" s="221"/>
      <c r="Q14" s="221"/>
    </row>
    <row r="15" ht="30" customHeight="1" spans="2:17">
      <c r="B15" s="202">
        <v>1012</v>
      </c>
      <c r="C15" s="402" t="s">
        <v>21</v>
      </c>
      <c r="D15" s="211"/>
      <c r="E15" s="205"/>
      <c r="F15" s="197"/>
      <c r="G15" s="197"/>
      <c r="H15" s="197"/>
      <c r="I15" s="197"/>
      <c r="J15" s="197"/>
      <c r="K15" s="197"/>
      <c r="L15" s="197"/>
      <c r="M15" s="197"/>
      <c r="N15" s="221"/>
      <c r="O15" s="221"/>
      <c r="P15" s="221"/>
      <c r="Q15" s="221"/>
    </row>
    <row r="16" ht="30" customHeight="1" spans="2:17">
      <c r="B16" s="202">
        <v>1021</v>
      </c>
      <c r="C16" s="402" t="s">
        <v>22</v>
      </c>
      <c r="D16" s="211"/>
      <c r="E16" s="205"/>
      <c r="F16" s="197"/>
      <c r="G16" s="197"/>
      <c r="H16" s="197"/>
      <c r="I16" s="197"/>
      <c r="J16" s="197"/>
      <c r="K16" s="197"/>
      <c r="L16" s="197"/>
      <c r="M16" s="197"/>
      <c r="N16" s="221"/>
      <c r="O16" s="221"/>
      <c r="P16" s="221"/>
      <c r="Q16" s="221"/>
    </row>
    <row r="17" ht="30" customHeight="1" spans="2:17">
      <c r="B17" s="202">
        <v>1031</v>
      </c>
      <c r="C17" s="402" t="s">
        <v>23</v>
      </c>
      <c r="D17" s="211"/>
      <c r="E17" s="205"/>
      <c r="F17" s="197"/>
      <c r="G17" s="197"/>
      <c r="H17" s="197"/>
      <c r="I17" s="197"/>
      <c r="J17" s="197"/>
      <c r="K17" s="197"/>
      <c r="L17" s="197"/>
      <c r="M17" s="197"/>
      <c r="N17" s="221"/>
      <c r="O17" s="221"/>
      <c r="P17" s="221"/>
      <c r="Q17" s="221"/>
    </row>
    <row r="18" ht="30" customHeight="1" spans="2:17">
      <c r="B18" s="202">
        <v>1101</v>
      </c>
      <c r="C18" s="402" t="s">
        <v>24</v>
      </c>
      <c r="D18" s="211"/>
      <c r="E18" s="205"/>
      <c r="F18" s="197"/>
      <c r="G18" s="197"/>
      <c r="H18" s="197"/>
      <c r="I18" s="197"/>
      <c r="J18" s="197"/>
      <c r="K18" s="197"/>
      <c r="L18" s="197"/>
      <c r="M18" s="197"/>
      <c r="N18" s="221"/>
      <c r="O18" s="221"/>
      <c r="P18" s="221"/>
      <c r="Q18" s="221"/>
    </row>
    <row r="19" ht="30" customHeight="1" spans="2:17">
      <c r="B19" s="202">
        <v>1111</v>
      </c>
      <c r="C19" s="402" t="s">
        <v>25</v>
      </c>
      <c r="D19" s="211"/>
      <c r="E19" s="205"/>
      <c r="F19" s="197"/>
      <c r="G19" s="197"/>
      <c r="H19" s="197"/>
      <c r="I19" s="197"/>
      <c r="J19" s="197"/>
      <c r="K19" s="197"/>
      <c r="L19" s="197"/>
      <c r="M19" s="197"/>
      <c r="N19" s="221"/>
      <c r="O19" s="221"/>
      <c r="P19" s="221"/>
      <c r="Q19" s="221"/>
    </row>
    <row r="20" ht="30" customHeight="1" spans="2:17">
      <c r="B20" s="202">
        <v>1121</v>
      </c>
      <c r="C20" s="402" t="s">
        <v>26</v>
      </c>
      <c r="D20" s="211"/>
      <c r="E20" s="205"/>
      <c r="F20" s="197"/>
      <c r="G20" s="197"/>
      <c r="H20" s="197"/>
      <c r="I20" s="197"/>
      <c r="J20" s="197"/>
      <c r="K20" s="197"/>
      <c r="L20" s="197"/>
      <c r="M20" s="197"/>
      <c r="N20" s="221"/>
      <c r="O20" s="221"/>
      <c r="P20" s="221"/>
      <c r="Q20" s="221"/>
    </row>
    <row r="21" ht="30" customHeight="1" spans="2:17">
      <c r="B21" s="202">
        <v>1122</v>
      </c>
      <c r="C21" s="402" t="s">
        <v>28</v>
      </c>
      <c r="D21" s="211"/>
      <c r="E21" s="205"/>
      <c r="F21" s="197"/>
      <c r="G21" s="197"/>
      <c r="H21" s="197"/>
      <c r="I21" s="197"/>
      <c r="J21" s="197"/>
      <c r="K21" s="197"/>
      <c r="L21" s="197"/>
      <c r="M21" s="197"/>
      <c r="N21" s="221"/>
      <c r="O21" s="221"/>
      <c r="P21" s="221"/>
      <c r="Q21" s="221"/>
    </row>
    <row r="22" ht="30" customHeight="1" spans="2:17">
      <c r="B22" s="202">
        <v>1123</v>
      </c>
      <c r="C22" s="402" t="s">
        <v>29</v>
      </c>
      <c r="D22" s="211"/>
      <c r="E22" s="205"/>
      <c r="F22" s="197"/>
      <c r="G22" s="197"/>
      <c r="H22" s="197"/>
      <c r="I22" s="197"/>
      <c r="J22" s="197"/>
      <c r="K22" s="197"/>
      <c r="L22" s="197"/>
      <c r="M22" s="197"/>
      <c r="N22" s="221"/>
      <c r="O22" s="221"/>
      <c r="P22" s="221"/>
      <c r="Q22" s="221"/>
    </row>
    <row r="23" ht="30" customHeight="1" spans="2:17">
      <c r="B23" s="202">
        <v>1131</v>
      </c>
      <c r="C23" s="402" t="s">
        <v>31</v>
      </c>
      <c r="D23" s="211"/>
      <c r="E23" s="205"/>
      <c r="F23" s="197"/>
      <c r="G23" s="197"/>
      <c r="H23" s="197"/>
      <c r="I23" s="197"/>
      <c r="J23" s="197"/>
      <c r="K23" s="197"/>
      <c r="L23" s="197"/>
      <c r="M23" s="197"/>
      <c r="N23" s="221"/>
      <c r="O23" s="221"/>
      <c r="P23" s="221"/>
      <c r="Q23" s="221"/>
    </row>
    <row r="24" ht="30" customHeight="1" spans="2:17">
      <c r="B24" s="202">
        <v>1132</v>
      </c>
      <c r="C24" s="402" t="s">
        <v>32</v>
      </c>
      <c r="D24" s="211"/>
      <c r="E24" s="205"/>
      <c r="F24" s="197"/>
      <c r="G24" s="197"/>
      <c r="H24" s="197"/>
      <c r="I24" s="197"/>
      <c r="J24" s="197"/>
      <c r="K24" s="197"/>
      <c r="L24" s="197"/>
      <c r="M24" s="197"/>
      <c r="N24" s="221"/>
      <c r="O24" s="221"/>
      <c r="P24" s="221"/>
      <c r="Q24" s="221"/>
    </row>
    <row r="25" ht="30" customHeight="1" spans="2:17">
      <c r="B25" s="202">
        <v>1201</v>
      </c>
      <c r="C25" s="402" t="s">
        <v>33</v>
      </c>
      <c r="D25" s="211"/>
      <c r="E25" s="205"/>
      <c r="F25" s="197"/>
      <c r="G25" s="197"/>
      <c r="H25" s="197"/>
      <c r="I25" s="197"/>
      <c r="J25" s="197"/>
      <c r="K25" s="197"/>
      <c r="L25" s="197"/>
      <c r="M25" s="197"/>
      <c r="N25" s="221"/>
      <c r="O25" s="221"/>
      <c r="P25" s="221"/>
      <c r="Q25" s="221"/>
    </row>
    <row r="26" ht="30" customHeight="1" spans="2:17">
      <c r="B26" s="202">
        <v>1211</v>
      </c>
      <c r="C26" s="402" t="s">
        <v>34</v>
      </c>
      <c r="D26" s="211"/>
      <c r="E26" s="205"/>
      <c r="F26" s="197"/>
      <c r="G26" s="197"/>
      <c r="H26" s="197"/>
      <c r="I26" s="197"/>
      <c r="J26" s="197"/>
      <c r="K26" s="197"/>
      <c r="L26" s="197"/>
      <c r="M26" s="197"/>
      <c r="N26" s="221"/>
      <c r="O26" s="221"/>
      <c r="P26" s="221"/>
      <c r="Q26" s="221"/>
    </row>
    <row r="27" ht="30" customHeight="1" spans="2:17">
      <c r="B27" s="202">
        <v>1212</v>
      </c>
      <c r="C27" s="402" t="s">
        <v>35</v>
      </c>
      <c r="D27" s="211"/>
      <c r="E27" s="205"/>
      <c r="F27" s="197"/>
      <c r="G27" s="197"/>
      <c r="H27" s="197"/>
      <c r="I27" s="197"/>
      <c r="J27" s="197"/>
      <c r="K27" s="197"/>
      <c r="L27" s="197"/>
      <c r="M27" s="197"/>
      <c r="N27" s="221"/>
      <c r="O27" s="221"/>
      <c r="P27" s="221"/>
      <c r="Q27" s="221"/>
    </row>
    <row r="28" ht="30" customHeight="1" spans="2:17">
      <c r="B28" s="212">
        <v>1221</v>
      </c>
      <c r="C28" s="423" t="s">
        <v>36</v>
      </c>
      <c r="D28" s="214"/>
      <c r="E28" s="215"/>
      <c r="F28" s="197"/>
      <c r="G28" s="197"/>
      <c r="H28" s="197"/>
      <c r="I28" s="197"/>
      <c r="J28" s="197"/>
      <c r="K28" s="197"/>
      <c r="L28" s="197"/>
      <c r="M28" s="197"/>
      <c r="N28" s="221"/>
      <c r="O28" s="221"/>
      <c r="P28" s="221"/>
      <c r="Q28" s="221"/>
    </row>
    <row r="29" ht="30" customHeight="1" spans="2:17">
      <c r="B29" s="212">
        <v>122101</v>
      </c>
      <c r="C29" s="423" t="s">
        <v>37</v>
      </c>
      <c r="D29" s="214"/>
      <c r="E29" s="215"/>
      <c r="F29" s="197"/>
      <c r="G29" s="197"/>
      <c r="H29" s="197"/>
      <c r="I29" s="197"/>
      <c r="J29" s="197"/>
      <c r="K29" s="197"/>
      <c r="L29" s="197"/>
      <c r="M29" s="197"/>
      <c r="N29" s="221"/>
      <c r="O29" s="221"/>
      <c r="P29" s="221"/>
      <c r="Q29" s="221"/>
    </row>
    <row r="30" ht="30" customHeight="1" spans="2:17">
      <c r="B30" s="212">
        <v>122102</v>
      </c>
      <c r="C30" s="423" t="s">
        <v>39</v>
      </c>
      <c r="D30" s="214"/>
      <c r="E30" s="215"/>
      <c r="F30" s="197"/>
      <c r="G30" s="197"/>
      <c r="H30" s="197"/>
      <c r="I30" s="197"/>
      <c r="J30" s="197"/>
      <c r="K30" s="197"/>
      <c r="L30" s="197"/>
      <c r="M30" s="197"/>
      <c r="N30" s="221"/>
      <c r="O30" s="221"/>
      <c r="P30" s="221"/>
      <c r="Q30" s="221"/>
    </row>
    <row r="31" ht="30" customHeight="1" spans="2:17">
      <c r="B31" s="202">
        <v>1231</v>
      </c>
      <c r="C31" s="402" t="s">
        <v>41</v>
      </c>
      <c r="D31" s="211"/>
      <c r="E31" s="205"/>
      <c r="F31" s="197"/>
      <c r="G31" s="197"/>
      <c r="H31" s="197"/>
      <c r="I31" s="197"/>
      <c r="J31" s="197"/>
      <c r="K31" s="197"/>
      <c r="L31" s="197"/>
      <c r="M31" s="197"/>
      <c r="N31" s="221"/>
      <c r="O31" s="221"/>
      <c r="P31" s="221"/>
      <c r="Q31" s="221"/>
    </row>
    <row r="32" ht="30" customHeight="1" spans="2:17">
      <c r="B32" s="202">
        <v>1301</v>
      </c>
      <c r="C32" s="402" t="s">
        <v>42</v>
      </c>
      <c r="D32" s="211"/>
      <c r="E32" s="205"/>
      <c r="F32" s="197"/>
      <c r="G32" s="197"/>
      <c r="H32" s="197"/>
      <c r="I32" s="197"/>
      <c r="J32" s="197"/>
      <c r="K32" s="197"/>
      <c r="L32" s="197"/>
      <c r="M32" s="197"/>
      <c r="N32" s="221"/>
      <c r="O32" s="221"/>
      <c r="P32" s="221"/>
      <c r="Q32" s="221"/>
    </row>
    <row r="33" ht="30" customHeight="1" spans="2:17">
      <c r="B33" s="202">
        <v>1302</v>
      </c>
      <c r="C33" s="402" t="s">
        <v>43</v>
      </c>
      <c r="D33" s="211"/>
      <c r="E33" s="205"/>
      <c r="F33" s="197"/>
      <c r="G33" s="197"/>
      <c r="H33" s="197"/>
      <c r="I33" s="197"/>
      <c r="J33" s="197"/>
      <c r="K33" s="197"/>
      <c r="L33" s="197"/>
      <c r="M33" s="197"/>
      <c r="N33" s="221"/>
      <c r="O33" s="221"/>
      <c r="P33" s="221"/>
      <c r="Q33" s="221"/>
    </row>
    <row r="34" ht="30" customHeight="1" spans="2:17">
      <c r="B34" s="202">
        <v>1303</v>
      </c>
      <c r="C34" s="402" t="s">
        <v>44</v>
      </c>
      <c r="D34" s="211"/>
      <c r="E34" s="205"/>
      <c r="F34" s="197"/>
      <c r="G34" s="197"/>
      <c r="H34" s="197"/>
      <c r="I34" s="197"/>
      <c r="J34" s="197"/>
      <c r="K34" s="197"/>
      <c r="L34" s="197"/>
      <c r="M34" s="197"/>
      <c r="N34" s="221"/>
      <c r="O34" s="221"/>
      <c r="P34" s="221"/>
      <c r="Q34" s="221"/>
    </row>
    <row r="35" ht="30" customHeight="1" spans="2:17">
      <c r="B35" s="202">
        <v>1304</v>
      </c>
      <c r="C35" s="402" t="s">
        <v>45</v>
      </c>
      <c r="D35" s="211"/>
      <c r="E35" s="205"/>
      <c r="F35" s="197"/>
      <c r="G35" s="197"/>
      <c r="H35" s="197"/>
      <c r="I35" s="197"/>
      <c r="J35" s="197"/>
      <c r="K35" s="197"/>
      <c r="L35" s="197"/>
      <c r="M35" s="197"/>
      <c r="N35" s="221"/>
      <c r="O35" s="221"/>
      <c r="P35" s="221"/>
      <c r="Q35" s="221"/>
    </row>
    <row r="36" ht="30" customHeight="1" spans="2:17">
      <c r="B36" s="202">
        <v>1311</v>
      </c>
      <c r="C36" s="402" t="s">
        <v>46</v>
      </c>
      <c r="D36" s="211"/>
      <c r="E36" s="205"/>
      <c r="F36" s="197"/>
      <c r="G36" s="197"/>
      <c r="H36" s="197"/>
      <c r="I36" s="197"/>
      <c r="J36" s="197"/>
      <c r="K36" s="197"/>
      <c r="L36" s="197"/>
      <c r="M36" s="197"/>
      <c r="N36" s="221"/>
      <c r="O36" s="221"/>
      <c r="P36" s="221"/>
      <c r="Q36" s="221"/>
    </row>
    <row r="37" ht="30" customHeight="1" spans="2:17">
      <c r="B37" s="202">
        <v>1321</v>
      </c>
      <c r="C37" s="402" t="s">
        <v>47</v>
      </c>
      <c r="D37" s="211"/>
      <c r="E37" s="205"/>
      <c r="F37" s="197"/>
      <c r="G37" s="197"/>
      <c r="H37" s="197"/>
      <c r="I37" s="197"/>
      <c r="J37" s="197"/>
      <c r="K37" s="197"/>
      <c r="L37" s="197"/>
      <c r="M37" s="197"/>
      <c r="N37" s="221"/>
      <c r="O37" s="221"/>
      <c r="P37" s="221"/>
      <c r="Q37" s="221"/>
    </row>
    <row r="38" ht="30" customHeight="1" spans="2:17">
      <c r="B38" s="202">
        <v>1401</v>
      </c>
      <c r="C38" s="402" t="s">
        <v>48</v>
      </c>
      <c r="D38" s="211"/>
      <c r="E38" s="205"/>
      <c r="F38" s="197"/>
      <c r="G38" s="197"/>
      <c r="H38" s="197"/>
      <c r="I38" s="197"/>
      <c r="J38" s="197"/>
      <c r="K38" s="197"/>
      <c r="L38" s="197"/>
      <c r="M38" s="197"/>
      <c r="N38" s="221"/>
      <c r="O38" s="221"/>
      <c r="P38" s="221"/>
      <c r="Q38" s="221"/>
    </row>
    <row r="39" ht="30" customHeight="1" spans="2:17">
      <c r="B39" s="202">
        <v>1402</v>
      </c>
      <c r="C39" s="402" t="s">
        <v>49</v>
      </c>
      <c r="D39" s="211"/>
      <c r="E39" s="205"/>
      <c r="F39" s="197"/>
      <c r="G39" s="197"/>
      <c r="H39" s="197"/>
      <c r="I39" s="197"/>
      <c r="J39" s="197"/>
      <c r="K39" s="197"/>
      <c r="L39" s="197"/>
      <c r="M39" s="197"/>
      <c r="N39" s="221"/>
      <c r="O39" s="221"/>
      <c r="P39" s="221"/>
      <c r="Q39" s="221"/>
    </row>
    <row r="40" ht="30" customHeight="1" spans="2:17">
      <c r="B40" s="216">
        <v>1403</v>
      </c>
      <c r="C40" s="424" t="s">
        <v>50</v>
      </c>
      <c r="D40" s="218"/>
      <c r="E40" s="219"/>
      <c r="F40" s="197"/>
      <c r="G40" s="197"/>
      <c r="H40" s="197"/>
      <c r="I40" s="197"/>
      <c r="J40" s="197"/>
      <c r="K40" s="197"/>
      <c r="L40" s="197"/>
      <c r="M40" s="197"/>
      <c r="N40" s="221"/>
      <c r="O40" s="221"/>
      <c r="P40" s="221"/>
      <c r="Q40" s="221"/>
    </row>
    <row r="41" ht="30" customHeight="1" spans="2:17">
      <c r="B41" s="216">
        <v>140301</v>
      </c>
      <c r="C41" s="424" t="s">
        <v>51</v>
      </c>
      <c r="D41" s="220">
        <v>80000</v>
      </c>
      <c r="E41" s="219"/>
      <c r="F41" s="197"/>
      <c r="G41" s="197"/>
      <c r="H41" s="197"/>
      <c r="I41" s="197"/>
      <c r="J41" s="197"/>
      <c r="K41" s="197"/>
      <c r="L41" s="197"/>
      <c r="M41" s="197"/>
      <c r="N41" s="221"/>
      <c r="O41" s="221"/>
      <c r="P41" s="221"/>
      <c r="Q41" s="221"/>
    </row>
    <row r="42" ht="30" customHeight="1" spans="2:17">
      <c r="B42" s="216">
        <v>140302</v>
      </c>
      <c r="C42" s="424" t="s">
        <v>52</v>
      </c>
      <c r="D42" s="218"/>
      <c r="E42" s="219"/>
      <c r="F42" s="197"/>
      <c r="G42" s="197"/>
      <c r="H42" s="197"/>
      <c r="I42" s="197"/>
      <c r="J42" s="197"/>
      <c r="K42" s="197"/>
      <c r="L42" s="197"/>
      <c r="M42" s="197"/>
      <c r="N42" s="221"/>
      <c r="O42" s="221"/>
      <c r="P42" s="221"/>
      <c r="Q42" s="221"/>
    </row>
    <row r="43" ht="30" customHeight="1" spans="2:17">
      <c r="B43" s="216">
        <v>140303</v>
      </c>
      <c r="C43" s="424" t="s">
        <v>53</v>
      </c>
      <c r="D43" s="218"/>
      <c r="E43" s="219"/>
      <c r="F43" s="197"/>
      <c r="G43" s="197"/>
      <c r="H43" s="197"/>
      <c r="I43" s="197"/>
      <c r="J43" s="197"/>
      <c r="K43" s="197"/>
      <c r="L43" s="197"/>
      <c r="M43" s="197"/>
      <c r="N43" s="221"/>
      <c r="O43" s="221"/>
      <c r="P43" s="221"/>
      <c r="Q43" s="221"/>
    </row>
    <row r="44" ht="30" customHeight="1" spans="2:17">
      <c r="B44" s="202">
        <v>1404</v>
      </c>
      <c r="C44" s="402" t="s">
        <v>54</v>
      </c>
      <c r="D44" s="211"/>
      <c r="E44" s="205"/>
      <c r="F44" s="197"/>
      <c r="G44" s="197"/>
      <c r="H44" s="197"/>
      <c r="I44" s="197"/>
      <c r="J44" s="197"/>
      <c r="K44" s="197"/>
      <c r="L44" s="197"/>
      <c r="M44" s="197"/>
      <c r="N44" s="221"/>
      <c r="O44" s="221"/>
      <c r="P44" s="221"/>
      <c r="Q44" s="221"/>
    </row>
    <row r="45" ht="30" customHeight="1" spans="2:17">
      <c r="B45" s="202">
        <v>1405</v>
      </c>
      <c r="C45" s="402" t="s">
        <v>55</v>
      </c>
      <c r="D45" s="211"/>
      <c r="E45" s="205"/>
      <c r="F45" s="197"/>
      <c r="G45" s="197"/>
      <c r="H45" s="197"/>
      <c r="I45" s="197"/>
      <c r="J45" s="197"/>
      <c r="K45" s="197"/>
      <c r="L45" s="197"/>
      <c r="M45" s="197"/>
      <c r="N45" s="221"/>
      <c r="O45" s="221"/>
      <c r="P45" s="221"/>
      <c r="Q45" s="221"/>
    </row>
    <row r="46" ht="30" customHeight="1" spans="2:17">
      <c r="B46" s="202">
        <v>1406</v>
      </c>
      <c r="C46" s="402" t="s">
        <v>56</v>
      </c>
      <c r="D46" s="211"/>
      <c r="E46" s="205"/>
      <c r="F46" s="197"/>
      <c r="G46" s="197"/>
      <c r="H46" s="197"/>
      <c r="I46" s="197"/>
      <c r="J46" s="197"/>
      <c r="K46" s="197"/>
      <c r="L46" s="197"/>
      <c r="M46" s="197"/>
      <c r="N46" s="221"/>
      <c r="O46" s="221"/>
      <c r="P46" s="221"/>
      <c r="Q46" s="221"/>
    </row>
    <row r="47" ht="30" customHeight="1" spans="2:17">
      <c r="B47" s="202">
        <v>1407</v>
      </c>
      <c r="C47" s="402" t="s">
        <v>57</v>
      </c>
      <c r="D47" s="211"/>
      <c r="E47" s="205"/>
      <c r="F47" s="197"/>
      <c r="G47" s="197"/>
      <c r="H47" s="197"/>
      <c r="I47" s="197"/>
      <c r="J47" s="197"/>
      <c r="K47" s="197"/>
      <c r="L47" s="197"/>
      <c r="M47" s="197"/>
      <c r="N47" s="221"/>
      <c r="O47" s="221"/>
      <c r="P47" s="221"/>
      <c r="Q47" s="221"/>
    </row>
    <row r="48" ht="30" customHeight="1" spans="2:17">
      <c r="B48" s="202">
        <v>1408</v>
      </c>
      <c r="C48" s="402" t="s">
        <v>58</v>
      </c>
      <c r="D48" s="211"/>
      <c r="E48" s="205"/>
      <c r="F48" s="197"/>
      <c r="G48" s="197"/>
      <c r="H48" s="197"/>
      <c r="I48" s="197"/>
      <c r="J48" s="197"/>
      <c r="K48" s="197"/>
      <c r="L48" s="197"/>
      <c r="M48" s="197"/>
      <c r="N48" s="221"/>
      <c r="O48" s="221"/>
      <c r="P48" s="221"/>
      <c r="Q48" s="221"/>
    </row>
    <row r="49" ht="30" customHeight="1" spans="2:17">
      <c r="B49" s="202">
        <v>1411</v>
      </c>
      <c r="C49" s="402" t="s">
        <v>59</v>
      </c>
      <c r="D49" s="211"/>
      <c r="E49" s="205"/>
      <c r="F49" s="197"/>
      <c r="G49" s="197"/>
      <c r="H49" s="197"/>
      <c r="I49" s="197"/>
      <c r="J49" s="197"/>
      <c r="K49" s="197"/>
      <c r="L49" s="197"/>
      <c r="M49" s="197"/>
      <c r="N49" s="221"/>
      <c r="O49" s="221"/>
      <c r="P49" s="221"/>
      <c r="Q49" s="221"/>
    </row>
    <row r="50" ht="30" customHeight="1" spans="2:17">
      <c r="B50" s="202">
        <v>1421</v>
      </c>
      <c r="C50" s="402" t="s">
        <v>60</v>
      </c>
      <c r="D50" s="211"/>
      <c r="E50" s="205"/>
      <c r="F50" s="197"/>
      <c r="G50" s="197"/>
      <c r="H50" s="197"/>
      <c r="I50" s="197"/>
      <c r="J50" s="197"/>
      <c r="K50" s="197"/>
      <c r="L50" s="197"/>
      <c r="M50" s="197"/>
      <c r="N50" s="221"/>
      <c r="O50" s="221"/>
      <c r="P50" s="221"/>
      <c r="Q50" s="221"/>
    </row>
    <row r="51" ht="30" customHeight="1" spans="2:17">
      <c r="B51" s="202">
        <v>1431</v>
      </c>
      <c r="C51" s="402" t="s">
        <v>61</v>
      </c>
      <c r="D51" s="211"/>
      <c r="E51" s="205"/>
      <c r="F51" s="197"/>
      <c r="G51" s="197"/>
      <c r="H51" s="197"/>
      <c r="I51" s="197"/>
      <c r="J51" s="197"/>
      <c r="K51" s="197"/>
      <c r="L51" s="197"/>
      <c r="M51" s="197"/>
      <c r="N51" s="221"/>
      <c r="O51" s="221"/>
      <c r="P51" s="221"/>
      <c r="Q51" s="221"/>
    </row>
    <row r="52" ht="30" customHeight="1" spans="2:17">
      <c r="B52" s="202">
        <v>1441</v>
      </c>
      <c r="C52" s="402" t="s">
        <v>62</v>
      </c>
      <c r="D52" s="211"/>
      <c r="E52" s="205"/>
      <c r="F52" s="197"/>
      <c r="G52" s="197"/>
      <c r="H52" s="197"/>
      <c r="I52" s="197"/>
      <c r="J52" s="197"/>
      <c r="K52" s="197"/>
      <c r="L52" s="197"/>
      <c r="M52" s="197"/>
      <c r="N52" s="221"/>
      <c r="O52" s="221"/>
      <c r="P52" s="221"/>
      <c r="Q52" s="221"/>
    </row>
    <row r="53" ht="30" customHeight="1" spans="2:17">
      <c r="B53" s="202">
        <v>1451</v>
      </c>
      <c r="C53" s="402" t="s">
        <v>63</v>
      </c>
      <c r="D53" s="211"/>
      <c r="E53" s="205"/>
      <c r="F53" s="197"/>
      <c r="G53" s="197"/>
      <c r="H53" s="197"/>
      <c r="I53" s="197"/>
      <c r="J53" s="197"/>
      <c r="K53" s="197"/>
      <c r="L53" s="197"/>
      <c r="M53" s="197"/>
      <c r="N53" s="221"/>
      <c r="O53" s="221"/>
      <c r="P53" s="221"/>
      <c r="Q53" s="221"/>
    </row>
    <row r="54" ht="30" customHeight="1" spans="2:17">
      <c r="B54" s="202">
        <v>1461</v>
      </c>
      <c r="C54" s="402" t="s">
        <v>64</v>
      </c>
      <c r="D54" s="211"/>
      <c r="E54" s="205"/>
      <c r="F54" s="197"/>
      <c r="G54" s="197"/>
      <c r="H54" s="197"/>
      <c r="I54" s="197"/>
      <c r="J54" s="197"/>
      <c r="K54" s="197"/>
      <c r="L54" s="197"/>
      <c r="M54" s="197"/>
      <c r="N54" s="221"/>
      <c r="O54" s="221"/>
      <c r="P54" s="221"/>
      <c r="Q54" s="221"/>
    </row>
    <row r="55" ht="30" customHeight="1" spans="2:17">
      <c r="B55" s="202">
        <v>1471</v>
      </c>
      <c r="C55" s="402" t="s">
        <v>65</v>
      </c>
      <c r="D55" s="211"/>
      <c r="E55" s="205"/>
      <c r="F55" s="197"/>
      <c r="G55" s="197"/>
      <c r="H55" s="197"/>
      <c r="I55" s="197"/>
      <c r="J55" s="197"/>
      <c r="K55" s="197"/>
      <c r="L55" s="197"/>
      <c r="M55" s="197"/>
      <c r="N55" s="221"/>
      <c r="O55" s="221"/>
      <c r="P55" s="221"/>
      <c r="Q55" s="221"/>
    </row>
    <row r="56" ht="30" customHeight="1" spans="2:17">
      <c r="B56" s="202">
        <v>1501</v>
      </c>
      <c r="C56" s="402" t="s">
        <v>66</v>
      </c>
      <c r="D56" s="211"/>
      <c r="E56" s="205"/>
      <c r="F56" s="197"/>
      <c r="G56" s="197"/>
      <c r="H56" s="197"/>
      <c r="I56" s="197"/>
      <c r="J56" s="197"/>
      <c r="K56" s="197"/>
      <c r="L56" s="197"/>
      <c r="M56" s="197"/>
      <c r="N56" s="221"/>
      <c r="O56" s="221"/>
      <c r="P56" s="221"/>
      <c r="Q56" s="221"/>
    </row>
    <row r="57" ht="30" customHeight="1" spans="2:17">
      <c r="B57" s="202">
        <v>1502</v>
      </c>
      <c r="C57" s="402" t="s">
        <v>67</v>
      </c>
      <c r="D57" s="211"/>
      <c r="E57" s="205"/>
      <c r="F57" s="197"/>
      <c r="G57" s="197"/>
      <c r="H57" s="197"/>
      <c r="I57" s="197"/>
      <c r="J57" s="197"/>
      <c r="K57" s="197"/>
      <c r="L57" s="197"/>
      <c r="M57" s="197"/>
      <c r="N57" s="221"/>
      <c r="O57" s="221"/>
      <c r="P57" s="221"/>
      <c r="Q57" s="221"/>
    </row>
    <row r="58" ht="30" customHeight="1" spans="2:17">
      <c r="B58" s="202">
        <v>1503</v>
      </c>
      <c r="C58" s="402" t="s">
        <v>68</v>
      </c>
      <c r="D58" s="211"/>
      <c r="E58" s="205"/>
      <c r="F58" s="197"/>
      <c r="G58" s="197"/>
      <c r="H58" s="197"/>
      <c r="I58" s="197"/>
      <c r="J58" s="197"/>
      <c r="K58" s="197"/>
      <c r="L58" s="197"/>
      <c r="M58" s="197"/>
      <c r="N58" s="221"/>
      <c r="O58" s="221"/>
      <c r="P58" s="221"/>
      <c r="Q58" s="221"/>
    </row>
    <row r="59" ht="30" customHeight="1" spans="2:17">
      <c r="B59" s="202">
        <v>1511</v>
      </c>
      <c r="C59" s="402" t="s">
        <v>69</v>
      </c>
      <c r="D59" s="211"/>
      <c r="E59" s="205"/>
      <c r="F59" s="197"/>
      <c r="G59" s="197"/>
      <c r="H59" s="197"/>
      <c r="I59" s="197"/>
      <c r="J59" s="197"/>
      <c r="K59" s="197"/>
      <c r="L59" s="197"/>
      <c r="M59" s="197"/>
      <c r="N59" s="221"/>
      <c r="O59" s="221"/>
      <c r="P59" s="221"/>
      <c r="Q59" s="221"/>
    </row>
    <row r="60" ht="30" customHeight="1" spans="2:17">
      <c r="B60" s="202">
        <v>1512</v>
      </c>
      <c r="C60" s="402" t="s">
        <v>70</v>
      </c>
      <c r="D60" s="211"/>
      <c r="E60" s="205"/>
      <c r="F60" s="197"/>
      <c r="G60" s="197"/>
      <c r="H60" s="197"/>
      <c r="I60" s="197"/>
      <c r="J60" s="197"/>
      <c r="K60" s="197"/>
      <c r="L60" s="197"/>
      <c r="M60" s="197"/>
      <c r="N60" s="221"/>
      <c r="O60" s="221"/>
      <c r="P60" s="221"/>
      <c r="Q60" s="221"/>
    </row>
    <row r="61" ht="30" customHeight="1" spans="2:17">
      <c r="B61" s="202">
        <v>1521</v>
      </c>
      <c r="C61" s="402" t="s">
        <v>71</v>
      </c>
      <c r="D61" s="211"/>
      <c r="E61" s="205"/>
      <c r="F61" s="197"/>
      <c r="G61" s="197"/>
      <c r="H61" s="197"/>
      <c r="I61" s="197"/>
      <c r="J61" s="197"/>
      <c r="K61" s="197"/>
      <c r="L61" s="197"/>
      <c r="M61" s="197"/>
      <c r="N61" s="221"/>
      <c r="O61" s="221"/>
      <c r="P61" s="221"/>
      <c r="Q61" s="221"/>
    </row>
    <row r="62" ht="30" customHeight="1" spans="2:17">
      <c r="B62" s="202">
        <v>1531</v>
      </c>
      <c r="C62" s="402" t="s">
        <v>72</v>
      </c>
      <c r="D62" s="211"/>
      <c r="E62" s="205"/>
      <c r="F62" s="197"/>
      <c r="G62" s="197"/>
      <c r="H62" s="197"/>
      <c r="I62" s="197"/>
      <c r="J62" s="197"/>
      <c r="K62" s="197"/>
      <c r="L62" s="197"/>
      <c r="M62" s="197"/>
      <c r="N62" s="221"/>
      <c r="O62" s="221"/>
      <c r="P62" s="221"/>
      <c r="Q62" s="221"/>
    </row>
    <row r="63" ht="30" customHeight="1" spans="2:17">
      <c r="B63" s="202">
        <v>1532</v>
      </c>
      <c r="C63" s="402" t="s">
        <v>73</v>
      </c>
      <c r="D63" s="211"/>
      <c r="E63" s="205"/>
      <c r="F63" s="197"/>
      <c r="G63" s="197"/>
      <c r="H63" s="197"/>
      <c r="I63" s="197"/>
      <c r="J63" s="197"/>
      <c r="K63" s="197"/>
      <c r="L63" s="197"/>
      <c r="M63" s="197"/>
      <c r="N63" s="221"/>
      <c r="O63" s="221"/>
      <c r="P63" s="221"/>
      <c r="Q63" s="221"/>
    </row>
    <row r="64" ht="30" customHeight="1" spans="2:17">
      <c r="B64" s="202">
        <v>1541</v>
      </c>
      <c r="C64" s="402" t="s">
        <v>74</v>
      </c>
      <c r="D64" s="211"/>
      <c r="E64" s="205"/>
      <c r="F64" s="197"/>
      <c r="G64" s="197"/>
      <c r="H64" s="197"/>
      <c r="I64" s="197"/>
      <c r="J64" s="197"/>
      <c r="K64" s="197"/>
      <c r="L64" s="197"/>
      <c r="M64" s="197"/>
      <c r="N64" s="221"/>
      <c r="O64" s="221"/>
      <c r="P64" s="221"/>
      <c r="Q64" s="221"/>
    </row>
    <row r="65" ht="30" customHeight="1" spans="2:17">
      <c r="B65" s="222">
        <v>1601</v>
      </c>
      <c r="C65" s="425" t="s">
        <v>75</v>
      </c>
      <c r="D65" s="224"/>
      <c r="E65" s="225"/>
      <c r="F65" s="197"/>
      <c r="G65" s="197"/>
      <c r="H65" s="197"/>
      <c r="I65" s="197"/>
      <c r="J65" s="197"/>
      <c r="K65" s="197"/>
      <c r="L65" s="197"/>
      <c r="M65" s="197"/>
      <c r="N65" s="221"/>
      <c r="O65" s="221"/>
      <c r="P65" s="221"/>
      <c r="Q65" s="221"/>
    </row>
    <row r="66" ht="30" customHeight="1" spans="2:17">
      <c r="B66" s="222">
        <v>160101</v>
      </c>
      <c r="C66" s="425" t="s">
        <v>76</v>
      </c>
      <c r="D66" s="226">
        <v>400000</v>
      </c>
      <c r="E66" s="225"/>
      <c r="F66" s="197"/>
      <c r="G66" s="197"/>
      <c r="H66" s="197"/>
      <c r="I66" s="197"/>
      <c r="J66" s="197"/>
      <c r="K66" s="197"/>
      <c r="L66" s="197"/>
      <c r="M66" s="197"/>
      <c r="N66" s="221"/>
      <c r="O66" s="221"/>
      <c r="P66" s="221"/>
      <c r="Q66" s="221"/>
    </row>
    <row r="67" ht="30" customHeight="1" spans="2:17">
      <c r="B67" s="227">
        <v>1602</v>
      </c>
      <c r="C67" s="418" t="s">
        <v>77</v>
      </c>
      <c r="D67" s="229"/>
      <c r="E67" s="230"/>
      <c r="F67" s="197"/>
      <c r="G67" s="197"/>
      <c r="H67" s="197"/>
      <c r="I67" s="197"/>
      <c r="J67" s="197"/>
      <c r="K67" s="197"/>
      <c r="L67" s="197"/>
      <c r="M67" s="197"/>
      <c r="N67" s="221"/>
      <c r="O67" s="221"/>
      <c r="P67" s="221"/>
      <c r="Q67" s="221"/>
    </row>
    <row r="68" ht="30" customHeight="1" spans="2:17">
      <c r="B68" s="227">
        <v>160201</v>
      </c>
      <c r="C68" s="418" t="s">
        <v>78</v>
      </c>
      <c r="D68" s="229"/>
      <c r="E68" s="230"/>
      <c r="F68" s="197"/>
      <c r="G68" s="197"/>
      <c r="H68" s="197"/>
      <c r="I68" s="197"/>
      <c r="J68" s="197"/>
      <c r="K68" s="197"/>
      <c r="L68" s="197"/>
      <c r="M68" s="197"/>
      <c r="N68" s="221"/>
      <c r="O68" s="221"/>
      <c r="P68" s="221"/>
      <c r="Q68" s="221"/>
    </row>
    <row r="69" ht="30" customHeight="1" spans="2:17">
      <c r="B69" s="202">
        <v>1603</v>
      </c>
      <c r="C69" s="402" t="s">
        <v>79</v>
      </c>
      <c r="D69" s="211"/>
      <c r="E69" s="205"/>
      <c r="F69" s="197"/>
      <c r="G69" s="197"/>
      <c r="H69" s="197"/>
      <c r="I69" s="197"/>
      <c r="J69" s="197"/>
      <c r="K69" s="197"/>
      <c r="L69" s="197"/>
      <c r="M69" s="197"/>
      <c r="N69" s="221"/>
      <c r="O69" s="221"/>
      <c r="P69" s="221"/>
      <c r="Q69" s="221"/>
    </row>
    <row r="70" ht="30" customHeight="1" spans="2:17">
      <c r="B70" s="231">
        <v>1604</v>
      </c>
      <c r="C70" s="420" t="s">
        <v>80</v>
      </c>
      <c r="D70" s="233"/>
      <c r="E70" s="234"/>
      <c r="F70" s="197"/>
      <c r="G70" s="197"/>
      <c r="H70" s="197"/>
      <c r="I70" s="197"/>
      <c r="J70" s="197"/>
      <c r="K70" s="197"/>
      <c r="L70" s="197"/>
      <c r="M70" s="197"/>
      <c r="N70" s="221"/>
      <c r="O70" s="221"/>
      <c r="P70" s="221"/>
      <c r="Q70" s="221"/>
    </row>
    <row r="71" ht="30" customHeight="1" spans="2:17">
      <c r="B71" s="231">
        <v>160401</v>
      </c>
      <c r="C71" s="420" t="s">
        <v>81</v>
      </c>
      <c r="D71" s="233"/>
      <c r="E71" s="234"/>
      <c r="F71" s="197"/>
      <c r="G71" s="197"/>
      <c r="H71" s="197"/>
      <c r="I71" s="197"/>
      <c r="J71" s="197"/>
      <c r="K71" s="197"/>
      <c r="L71" s="197"/>
      <c r="M71" s="197"/>
      <c r="N71" s="221"/>
      <c r="O71" s="221"/>
      <c r="P71" s="221"/>
      <c r="Q71" s="221"/>
    </row>
    <row r="72" ht="30" customHeight="1" spans="2:17">
      <c r="B72" s="202">
        <v>1605</v>
      </c>
      <c r="C72" s="402" t="s">
        <v>82</v>
      </c>
      <c r="D72" s="211"/>
      <c r="E72" s="205"/>
      <c r="F72" s="197"/>
      <c r="G72" s="197"/>
      <c r="H72" s="197"/>
      <c r="I72" s="197"/>
      <c r="J72" s="197"/>
      <c r="K72" s="197"/>
      <c r="L72" s="197"/>
      <c r="M72" s="197"/>
      <c r="N72" s="221"/>
      <c r="O72" s="221"/>
      <c r="P72" s="221"/>
      <c r="Q72" s="221"/>
    </row>
    <row r="73" ht="30" customHeight="1" spans="2:17">
      <c r="B73" s="202">
        <v>1606</v>
      </c>
      <c r="C73" s="402" t="s">
        <v>83</v>
      </c>
      <c r="D73" s="211"/>
      <c r="E73" s="205"/>
      <c r="F73" s="197"/>
      <c r="G73" s="197"/>
      <c r="H73" s="197"/>
      <c r="I73" s="197"/>
      <c r="J73" s="197"/>
      <c r="K73" s="197"/>
      <c r="L73" s="197"/>
      <c r="M73" s="197"/>
      <c r="N73" s="221"/>
      <c r="O73" s="221"/>
      <c r="P73" s="221"/>
      <c r="Q73" s="221"/>
    </row>
    <row r="74" ht="30" customHeight="1" spans="2:17">
      <c r="B74" s="202">
        <v>1611</v>
      </c>
      <c r="C74" s="402" t="s">
        <v>84</v>
      </c>
      <c r="D74" s="211"/>
      <c r="E74" s="205"/>
      <c r="F74" s="197"/>
      <c r="G74" s="197"/>
      <c r="H74" s="197"/>
      <c r="I74" s="197"/>
      <c r="J74" s="197"/>
      <c r="K74" s="197"/>
      <c r="L74" s="197"/>
      <c r="M74" s="197"/>
      <c r="N74" s="221"/>
      <c r="O74" s="221"/>
      <c r="P74" s="221"/>
      <c r="Q74" s="221"/>
    </row>
    <row r="75" ht="30" customHeight="1" spans="2:17">
      <c r="B75" s="202">
        <v>1621</v>
      </c>
      <c r="C75" s="402" t="s">
        <v>85</v>
      </c>
      <c r="D75" s="211"/>
      <c r="E75" s="205"/>
      <c r="F75" s="197"/>
      <c r="G75" s="197"/>
      <c r="H75" s="197"/>
      <c r="I75" s="197"/>
      <c r="J75" s="197"/>
      <c r="K75" s="197"/>
      <c r="L75" s="197"/>
      <c r="M75" s="197"/>
      <c r="N75" s="221"/>
      <c r="O75" s="221"/>
      <c r="P75" s="221"/>
      <c r="Q75" s="221"/>
    </row>
    <row r="76" ht="30" customHeight="1" spans="2:17">
      <c r="B76" s="202">
        <v>1622</v>
      </c>
      <c r="C76" s="402" t="s">
        <v>86</v>
      </c>
      <c r="D76" s="211"/>
      <c r="E76" s="205"/>
      <c r="F76" s="197"/>
      <c r="G76" s="197"/>
      <c r="H76" s="197"/>
      <c r="I76" s="197"/>
      <c r="J76" s="197"/>
      <c r="K76" s="197"/>
      <c r="L76" s="197"/>
      <c r="M76" s="197"/>
      <c r="N76" s="221"/>
      <c r="O76" s="221"/>
      <c r="P76" s="221"/>
      <c r="Q76" s="221"/>
    </row>
    <row r="77" ht="30" customHeight="1" spans="2:17">
      <c r="B77" s="202">
        <v>1623</v>
      </c>
      <c r="C77" s="402" t="s">
        <v>87</v>
      </c>
      <c r="D77" s="211"/>
      <c r="E77" s="205"/>
      <c r="F77" s="197"/>
      <c r="G77" s="197"/>
      <c r="H77" s="197"/>
      <c r="I77" s="197"/>
      <c r="J77" s="197"/>
      <c r="K77" s="197"/>
      <c r="L77" s="197"/>
      <c r="M77" s="197"/>
      <c r="N77" s="221"/>
      <c r="O77" s="221"/>
      <c r="P77" s="221"/>
      <c r="Q77" s="221"/>
    </row>
    <row r="78" ht="30" customHeight="1" spans="2:17">
      <c r="B78" s="202">
        <v>1631</v>
      </c>
      <c r="C78" s="402" t="s">
        <v>88</v>
      </c>
      <c r="D78" s="211"/>
      <c r="E78" s="205"/>
      <c r="F78" s="197"/>
      <c r="G78" s="197"/>
      <c r="H78" s="197"/>
      <c r="I78" s="197"/>
      <c r="J78" s="197"/>
      <c r="K78" s="197"/>
      <c r="L78" s="197"/>
      <c r="M78" s="197"/>
      <c r="N78" s="221"/>
      <c r="O78" s="221"/>
      <c r="P78" s="221"/>
      <c r="Q78" s="221"/>
    </row>
    <row r="79" ht="30" customHeight="1" spans="2:17">
      <c r="B79" s="202">
        <v>1632</v>
      </c>
      <c r="C79" s="402" t="s">
        <v>89</v>
      </c>
      <c r="D79" s="211"/>
      <c r="E79" s="205"/>
      <c r="F79" s="197"/>
      <c r="G79" s="197"/>
      <c r="H79" s="197"/>
      <c r="I79" s="197"/>
      <c r="J79" s="197"/>
      <c r="K79" s="197"/>
      <c r="L79" s="197"/>
      <c r="M79" s="197"/>
      <c r="N79" s="221"/>
      <c r="O79" s="221"/>
      <c r="P79" s="221"/>
      <c r="Q79" s="221"/>
    </row>
    <row r="80" ht="30" customHeight="1" spans="2:17">
      <c r="B80" s="202">
        <v>1701</v>
      </c>
      <c r="C80" s="402" t="s">
        <v>90</v>
      </c>
      <c r="D80" s="211"/>
      <c r="E80" s="205"/>
      <c r="F80" s="197"/>
      <c r="G80" s="197"/>
      <c r="H80" s="197"/>
      <c r="I80" s="197"/>
      <c r="J80" s="197"/>
      <c r="K80" s="197"/>
      <c r="L80" s="197"/>
      <c r="M80" s="197"/>
      <c r="N80" s="221"/>
      <c r="O80" s="221"/>
      <c r="P80" s="221"/>
      <c r="Q80" s="221"/>
    </row>
    <row r="81" ht="30" customHeight="1" spans="2:17">
      <c r="B81" s="202">
        <v>1702</v>
      </c>
      <c r="C81" s="402" t="s">
        <v>91</v>
      </c>
      <c r="D81" s="211"/>
      <c r="E81" s="205"/>
      <c r="F81" s="197"/>
      <c r="G81" s="197"/>
      <c r="H81" s="197"/>
      <c r="I81" s="197"/>
      <c r="J81" s="197"/>
      <c r="K81" s="197"/>
      <c r="L81" s="197"/>
      <c r="M81" s="197"/>
      <c r="N81" s="221"/>
      <c r="O81" s="221"/>
      <c r="P81" s="221"/>
      <c r="Q81" s="221"/>
    </row>
    <row r="82" ht="30" customHeight="1" spans="2:17">
      <c r="B82" s="202">
        <v>1703</v>
      </c>
      <c r="C82" s="402" t="s">
        <v>92</v>
      </c>
      <c r="D82" s="211"/>
      <c r="E82" s="205"/>
      <c r="F82" s="197"/>
      <c r="G82" s="197"/>
      <c r="H82" s="197"/>
      <c r="I82" s="197"/>
      <c r="J82" s="197"/>
      <c r="K82" s="197"/>
      <c r="L82" s="197"/>
      <c r="M82" s="197"/>
      <c r="N82" s="221"/>
      <c r="O82" s="221"/>
      <c r="P82" s="221"/>
      <c r="Q82" s="221"/>
    </row>
    <row r="83" ht="30" customHeight="1" spans="2:17">
      <c r="B83" s="202">
        <v>1711</v>
      </c>
      <c r="C83" s="402" t="s">
        <v>93</v>
      </c>
      <c r="D83" s="211"/>
      <c r="E83" s="205"/>
      <c r="F83" s="197"/>
      <c r="G83" s="197"/>
      <c r="H83" s="197"/>
      <c r="I83" s="197"/>
      <c r="J83" s="197"/>
      <c r="K83" s="197"/>
      <c r="L83" s="197"/>
      <c r="M83" s="197"/>
      <c r="N83" s="221"/>
      <c r="O83" s="221"/>
      <c r="P83" s="221"/>
      <c r="Q83" s="221"/>
    </row>
    <row r="84" ht="30" customHeight="1" spans="2:17">
      <c r="B84" s="202">
        <v>1801</v>
      </c>
      <c r="C84" s="402" t="s">
        <v>94</v>
      </c>
      <c r="D84" s="211"/>
      <c r="E84" s="205"/>
      <c r="F84" s="197"/>
      <c r="G84" s="197"/>
      <c r="H84" s="197"/>
      <c r="I84" s="197"/>
      <c r="J84" s="197"/>
      <c r="K84" s="197"/>
      <c r="L84" s="197"/>
      <c r="M84" s="197"/>
      <c r="N84" s="221"/>
      <c r="O84" s="221"/>
      <c r="P84" s="221"/>
      <c r="Q84" s="221"/>
    </row>
    <row r="85" ht="30" customHeight="1" spans="2:17">
      <c r="B85" s="202">
        <v>1811</v>
      </c>
      <c r="C85" s="402" t="s">
        <v>95</v>
      </c>
      <c r="D85" s="211"/>
      <c r="E85" s="205"/>
      <c r="F85" s="197"/>
      <c r="G85" s="197"/>
      <c r="H85" s="197"/>
      <c r="I85" s="197"/>
      <c r="J85" s="197"/>
      <c r="K85" s="197"/>
      <c r="L85" s="197"/>
      <c r="M85" s="197"/>
      <c r="N85" s="221"/>
      <c r="O85" s="221"/>
      <c r="P85" s="221"/>
      <c r="Q85" s="221"/>
    </row>
    <row r="86" ht="30" customHeight="1" spans="2:17">
      <c r="B86" s="202">
        <v>1821</v>
      </c>
      <c r="C86" s="402" t="s">
        <v>96</v>
      </c>
      <c r="D86" s="211"/>
      <c r="E86" s="205"/>
      <c r="F86" s="197"/>
      <c r="G86" s="197"/>
      <c r="H86" s="197"/>
      <c r="I86" s="197"/>
      <c r="J86" s="197"/>
      <c r="K86" s="197"/>
      <c r="L86" s="197"/>
      <c r="M86" s="197"/>
      <c r="N86" s="221"/>
      <c r="O86" s="221"/>
      <c r="P86" s="221"/>
      <c r="Q86" s="221"/>
    </row>
    <row r="87" ht="30" customHeight="1" spans="2:17">
      <c r="B87" s="202">
        <v>1901</v>
      </c>
      <c r="C87" s="402" t="s">
        <v>97</v>
      </c>
      <c r="D87" s="211"/>
      <c r="E87" s="205"/>
      <c r="F87" s="197"/>
      <c r="G87" s="197"/>
      <c r="H87" s="197"/>
      <c r="I87" s="197"/>
      <c r="J87" s="197"/>
      <c r="K87" s="197"/>
      <c r="L87" s="197"/>
      <c r="M87" s="197"/>
      <c r="N87" s="221"/>
      <c r="O87" s="221"/>
      <c r="P87" s="221"/>
      <c r="Q87" s="221"/>
    </row>
    <row r="88" ht="30" customHeight="1" spans="2:17">
      <c r="B88" s="202">
        <v>2001</v>
      </c>
      <c r="C88" s="402" t="s">
        <v>98</v>
      </c>
      <c r="D88" s="211"/>
      <c r="E88" s="205"/>
      <c r="F88" s="197"/>
      <c r="G88" s="197"/>
      <c r="H88" s="197"/>
      <c r="I88" s="197"/>
      <c r="J88" s="197"/>
      <c r="K88" s="197"/>
      <c r="L88" s="197"/>
      <c r="M88" s="197"/>
      <c r="N88" s="221"/>
      <c r="O88" s="221"/>
      <c r="P88" s="221"/>
      <c r="Q88" s="221"/>
    </row>
    <row r="89" ht="30" customHeight="1" spans="2:17">
      <c r="B89" s="202">
        <v>2002</v>
      </c>
      <c r="C89" s="402" t="s">
        <v>99</v>
      </c>
      <c r="D89" s="211"/>
      <c r="E89" s="205"/>
      <c r="F89" s="197"/>
      <c r="G89" s="197"/>
      <c r="H89" s="197"/>
      <c r="I89" s="197"/>
      <c r="J89" s="197"/>
      <c r="K89" s="197"/>
      <c r="L89" s="197"/>
      <c r="M89" s="197"/>
      <c r="N89" s="221"/>
      <c r="O89" s="221"/>
      <c r="P89" s="221"/>
      <c r="Q89" s="221"/>
    </row>
    <row r="90" ht="30" customHeight="1" spans="2:17">
      <c r="B90" s="202">
        <v>2003</v>
      </c>
      <c r="C90" s="402" t="s">
        <v>100</v>
      </c>
      <c r="D90" s="211"/>
      <c r="E90" s="205"/>
      <c r="F90" s="197"/>
      <c r="G90" s="197"/>
      <c r="H90" s="197"/>
      <c r="I90" s="197"/>
      <c r="J90" s="197"/>
      <c r="K90" s="197"/>
      <c r="L90" s="197"/>
      <c r="M90" s="197"/>
      <c r="N90" s="221"/>
      <c r="O90" s="221"/>
      <c r="P90" s="221"/>
      <c r="Q90" s="221"/>
    </row>
    <row r="91" ht="30" customHeight="1" spans="2:17">
      <c r="B91" s="202">
        <v>2004</v>
      </c>
      <c r="C91" s="402" t="s">
        <v>101</v>
      </c>
      <c r="D91" s="211"/>
      <c r="E91" s="205"/>
      <c r="F91" s="197"/>
      <c r="G91" s="197"/>
      <c r="H91" s="197"/>
      <c r="I91" s="197"/>
      <c r="J91" s="197"/>
      <c r="K91" s="197"/>
      <c r="L91" s="197"/>
      <c r="M91" s="197"/>
      <c r="N91" s="221"/>
      <c r="O91" s="221"/>
      <c r="P91" s="221"/>
      <c r="Q91" s="221"/>
    </row>
    <row r="92" ht="30" customHeight="1" spans="2:17">
      <c r="B92" s="202">
        <v>2011</v>
      </c>
      <c r="C92" s="402" t="s">
        <v>102</v>
      </c>
      <c r="D92" s="211"/>
      <c r="E92" s="205"/>
      <c r="F92" s="197"/>
      <c r="G92" s="197"/>
      <c r="H92" s="197"/>
      <c r="I92" s="197"/>
      <c r="J92" s="197"/>
      <c r="K92" s="197"/>
      <c r="L92" s="197"/>
      <c r="M92" s="197"/>
      <c r="N92" s="221"/>
      <c r="O92" s="221"/>
      <c r="P92" s="221"/>
      <c r="Q92" s="221"/>
    </row>
    <row r="93" ht="30" customHeight="1" spans="2:17">
      <c r="B93" s="202">
        <v>2012</v>
      </c>
      <c r="C93" s="402" t="s">
        <v>103</v>
      </c>
      <c r="D93" s="211"/>
      <c r="E93" s="205"/>
      <c r="F93" s="197"/>
      <c r="G93" s="197"/>
      <c r="H93" s="197"/>
      <c r="I93" s="197"/>
      <c r="J93" s="197"/>
      <c r="K93" s="197"/>
      <c r="L93" s="197"/>
      <c r="M93" s="197"/>
      <c r="N93" s="221"/>
      <c r="O93" s="221"/>
      <c r="P93" s="221"/>
      <c r="Q93" s="221"/>
    </row>
    <row r="94" ht="30" customHeight="1" spans="2:17">
      <c r="B94" s="202">
        <v>2021</v>
      </c>
      <c r="C94" s="402" t="s">
        <v>104</v>
      </c>
      <c r="D94" s="211"/>
      <c r="E94" s="205"/>
      <c r="F94" s="197"/>
      <c r="G94" s="197"/>
      <c r="H94" s="197"/>
      <c r="I94" s="197"/>
      <c r="J94" s="197"/>
      <c r="K94" s="197"/>
      <c r="L94" s="197"/>
      <c r="M94" s="197"/>
      <c r="N94" s="221"/>
      <c r="O94" s="221"/>
      <c r="P94" s="221"/>
      <c r="Q94" s="221"/>
    </row>
    <row r="95" ht="30" customHeight="1" spans="2:17">
      <c r="B95" s="202">
        <v>2101</v>
      </c>
      <c r="C95" s="402" t="s">
        <v>105</v>
      </c>
      <c r="D95" s="211"/>
      <c r="E95" s="205"/>
      <c r="F95" s="197"/>
      <c r="G95" s="197"/>
      <c r="H95" s="197"/>
      <c r="I95" s="197"/>
      <c r="J95" s="197"/>
      <c r="K95" s="197"/>
      <c r="L95" s="197"/>
      <c r="M95" s="197"/>
      <c r="N95" s="221"/>
      <c r="O95" s="221"/>
      <c r="P95" s="221"/>
      <c r="Q95" s="221"/>
    </row>
    <row r="96" ht="30" customHeight="1" spans="2:17">
      <c r="B96" s="202">
        <v>2111</v>
      </c>
      <c r="C96" s="402" t="s">
        <v>106</v>
      </c>
      <c r="D96" s="211"/>
      <c r="E96" s="205"/>
      <c r="F96" s="197"/>
      <c r="G96" s="197"/>
      <c r="H96" s="197"/>
      <c r="I96" s="197"/>
      <c r="J96" s="197"/>
      <c r="K96" s="197"/>
      <c r="L96" s="197"/>
      <c r="M96" s="197"/>
      <c r="N96" s="221"/>
      <c r="O96" s="221"/>
      <c r="P96" s="221"/>
      <c r="Q96" s="221"/>
    </row>
    <row r="97" ht="30" customHeight="1" spans="2:17">
      <c r="B97" s="202">
        <v>2201</v>
      </c>
      <c r="C97" s="402" t="s">
        <v>107</v>
      </c>
      <c r="D97" s="211"/>
      <c r="E97" s="205"/>
      <c r="F97" s="197"/>
      <c r="G97" s="197"/>
      <c r="H97" s="197"/>
      <c r="I97" s="197"/>
      <c r="J97" s="197"/>
      <c r="K97" s="197"/>
      <c r="L97" s="197"/>
      <c r="M97" s="197"/>
      <c r="N97" s="221"/>
      <c r="O97" s="221"/>
      <c r="P97" s="221"/>
      <c r="Q97" s="221"/>
    </row>
    <row r="98" ht="30" customHeight="1" spans="2:17">
      <c r="B98" s="202">
        <v>2202</v>
      </c>
      <c r="C98" s="402" t="s">
        <v>108</v>
      </c>
      <c r="D98" s="211"/>
      <c r="E98" s="205"/>
      <c r="F98" s="197"/>
      <c r="G98" s="197"/>
      <c r="H98" s="197"/>
      <c r="I98" s="197"/>
      <c r="J98" s="197"/>
      <c r="K98" s="197"/>
      <c r="L98" s="197"/>
      <c r="M98" s="197"/>
      <c r="N98" s="221"/>
      <c r="O98" s="221"/>
      <c r="P98" s="221"/>
      <c r="Q98" s="221"/>
    </row>
    <row r="99" ht="30" customHeight="1" spans="2:17">
      <c r="B99" s="202">
        <v>2203</v>
      </c>
      <c r="C99" s="402" t="s">
        <v>109</v>
      </c>
      <c r="D99" s="211"/>
      <c r="E99" s="205"/>
      <c r="F99" s="197"/>
      <c r="G99" s="197"/>
      <c r="H99" s="197"/>
      <c r="I99" s="197"/>
      <c r="J99" s="197"/>
      <c r="K99" s="197"/>
      <c r="L99" s="197"/>
      <c r="M99" s="197"/>
      <c r="N99" s="221"/>
      <c r="O99" s="221"/>
      <c r="P99" s="221"/>
      <c r="Q99" s="221"/>
    </row>
    <row r="100" ht="30" customHeight="1" spans="2:17">
      <c r="B100" s="202">
        <v>2211</v>
      </c>
      <c r="C100" s="402" t="s">
        <v>110</v>
      </c>
      <c r="D100" s="211"/>
      <c r="E100" s="205"/>
      <c r="F100" s="197"/>
      <c r="G100" s="197"/>
      <c r="H100" s="197"/>
      <c r="I100" s="197"/>
      <c r="J100" s="197"/>
      <c r="K100" s="197"/>
      <c r="L100" s="197"/>
      <c r="M100" s="197"/>
      <c r="N100" s="221"/>
      <c r="O100" s="221"/>
      <c r="P100" s="221"/>
      <c r="Q100" s="221"/>
    </row>
    <row r="101" ht="30" customHeight="1" spans="2:17">
      <c r="B101" s="235">
        <v>2221</v>
      </c>
      <c r="C101" s="426" t="s">
        <v>111</v>
      </c>
      <c r="D101" s="237"/>
      <c r="E101" s="238"/>
      <c r="F101" s="197"/>
      <c r="G101" s="197"/>
      <c r="H101" s="197"/>
      <c r="I101" s="197"/>
      <c r="J101" s="197"/>
      <c r="K101" s="197"/>
      <c r="L101" s="197"/>
      <c r="M101" s="197"/>
      <c r="N101" s="221"/>
      <c r="O101" s="221"/>
      <c r="P101" s="221"/>
      <c r="Q101" s="221"/>
    </row>
    <row r="102" ht="30" customHeight="1" spans="2:17">
      <c r="B102" s="235">
        <v>222101</v>
      </c>
      <c r="C102" s="426" t="s">
        <v>112</v>
      </c>
      <c r="D102" s="237"/>
      <c r="E102" s="238"/>
      <c r="F102" s="197"/>
      <c r="G102" s="197"/>
      <c r="H102" s="197"/>
      <c r="I102" s="197"/>
      <c r="J102" s="197"/>
      <c r="K102" s="197"/>
      <c r="L102" s="197"/>
      <c r="M102" s="197"/>
      <c r="N102" s="221"/>
      <c r="O102" s="221"/>
      <c r="P102" s="221"/>
      <c r="Q102" s="221"/>
    </row>
    <row r="103" ht="30" customHeight="1" spans="2:17">
      <c r="B103" s="235">
        <v>22210101</v>
      </c>
      <c r="C103" s="426" t="s">
        <v>113</v>
      </c>
      <c r="D103" s="239"/>
      <c r="E103" s="238"/>
      <c r="F103" s="197"/>
      <c r="G103" s="197"/>
      <c r="H103" s="197"/>
      <c r="I103" s="197"/>
      <c r="J103" s="197"/>
      <c r="K103" s="197"/>
      <c r="L103" s="197"/>
      <c r="M103" s="197"/>
      <c r="N103" s="221"/>
      <c r="O103" s="221"/>
      <c r="P103" s="221"/>
      <c r="Q103" s="221"/>
    </row>
    <row r="104" ht="30" customHeight="1" spans="2:17">
      <c r="B104" s="235">
        <v>22210102</v>
      </c>
      <c r="C104" s="426" t="s">
        <v>114</v>
      </c>
      <c r="D104" s="237"/>
      <c r="E104" s="238"/>
      <c r="F104" s="197"/>
      <c r="G104" s="197"/>
      <c r="H104" s="197"/>
      <c r="I104" s="197"/>
      <c r="J104" s="197"/>
      <c r="K104" s="197"/>
      <c r="L104" s="197"/>
      <c r="M104" s="197"/>
      <c r="N104" s="221"/>
      <c r="O104" s="221"/>
      <c r="P104" s="221"/>
      <c r="Q104" s="221"/>
    </row>
    <row r="105" ht="30" customHeight="1" spans="2:17">
      <c r="B105" s="235">
        <v>22210103</v>
      </c>
      <c r="C105" s="426" t="s">
        <v>115</v>
      </c>
      <c r="D105" s="237"/>
      <c r="E105" s="238"/>
      <c r="F105" s="197"/>
      <c r="G105" s="197"/>
      <c r="H105" s="197"/>
      <c r="I105" s="197"/>
      <c r="J105" s="197"/>
      <c r="K105" s="197"/>
      <c r="L105" s="197"/>
      <c r="M105" s="197"/>
      <c r="N105" s="221"/>
      <c r="O105" s="221"/>
      <c r="P105" s="221"/>
      <c r="Q105" s="221"/>
    </row>
    <row r="106" ht="30" customHeight="1" spans="2:17">
      <c r="B106" s="202">
        <v>2231</v>
      </c>
      <c r="C106" s="402" t="s">
        <v>116</v>
      </c>
      <c r="D106" s="211"/>
      <c r="E106" s="205"/>
      <c r="F106" s="197"/>
      <c r="G106" s="197"/>
      <c r="H106" s="197"/>
      <c r="I106" s="197"/>
      <c r="J106" s="197"/>
      <c r="K106" s="197"/>
      <c r="L106" s="197"/>
      <c r="M106" s="197"/>
      <c r="N106" s="221"/>
      <c r="O106" s="221"/>
      <c r="P106" s="221"/>
      <c r="Q106" s="221"/>
    </row>
    <row r="107" ht="30" customHeight="1" spans="2:17">
      <c r="B107" s="202">
        <v>2232</v>
      </c>
      <c r="C107" s="402" t="s">
        <v>117</v>
      </c>
      <c r="D107" s="211"/>
      <c r="E107" s="205"/>
      <c r="F107" s="197"/>
      <c r="G107" s="197"/>
      <c r="H107" s="197"/>
      <c r="I107" s="197"/>
      <c r="J107" s="197"/>
      <c r="K107" s="197"/>
      <c r="L107" s="197"/>
      <c r="M107" s="197"/>
      <c r="N107" s="221"/>
      <c r="O107" s="221"/>
      <c r="P107" s="221"/>
      <c r="Q107" s="221"/>
    </row>
    <row r="108" ht="30" customHeight="1" spans="2:17">
      <c r="B108" s="202">
        <v>2241</v>
      </c>
      <c r="C108" s="402" t="s">
        <v>118</v>
      </c>
      <c r="D108" s="211"/>
      <c r="E108" s="205"/>
      <c r="F108" s="197"/>
      <c r="G108" s="197"/>
      <c r="H108" s="197"/>
      <c r="I108" s="197"/>
      <c r="J108" s="197"/>
      <c r="K108" s="197"/>
      <c r="L108" s="197"/>
      <c r="M108" s="197"/>
      <c r="N108" s="221"/>
      <c r="O108" s="221"/>
      <c r="P108" s="221"/>
      <c r="Q108" s="221"/>
    </row>
    <row r="109" ht="30" customHeight="1" spans="2:17">
      <c r="B109" s="202">
        <v>2251</v>
      </c>
      <c r="C109" s="402" t="s">
        <v>119</v>
      </c>
      <c r="D109" s="211"/>
      <c r="E109" s="205"/>
      <c r="F109" s="197"/>
      <c r="G109" s="197"/>
      <c r="H109" s="197"/>
      <c r="I109" s="197"/>
      <c r="J109" s="197"/>
      <c r="K109" s="197"/>
      <c r="L109" s="197"/>
      <c r="M109" s="197"/>
      <c r="N109" s="221"/>
      <c r="O109" s="221"/>
      <c r="P109" s="221"/>
      <c r="Q109" s="221"/>
    </row>
    <row r="110" ht="30" customHeight="1" spans="2:17">
      <c r="B110" s="202">
        <v>2261</v>
      </c>
      <c r="C110" s="402" t="s">
        <v>120</v>
      </c>
      <c r="D110" s="211"/>
      <c r="E110" s="205"/>
      <c r="F110" s="197"/>
      <c r="G110" s="197"/>
      <c r="H110" s="197"/>
      <c r="I110" s="197"/>
      <c r="J110" s="197"/>
      <c r="K110" s="197"/>
      <c r="L110" s="197"/>
      <c r="M110" s="197"/>
      <c r="N110" s="221"/>
      <c r="O110" s="221"/>
      <c r="P110" s="221"/>
      <c r="Q110" s="221"/>
    </row>
    <row r="111" ht="30" customHeight="1" spans="2:17">
      <c r="B111" s="202">
        <v>2311</v>
      </c>
      <c r="C111" s="402" t="s">
        <v>121</v>
      </c>
      <c r="D111" s="211"/>
      <c r="E111" s="205"/>
      <c r="F111" s="197"/>
      <c r="G111" s="197"/>
      <c r="H111" s="197"/>
      <c r="I111" s="197"/>
      <c r="J111" s="197"/>
      <c r="K111" s="197"/>
      <c r="L111" s="197"/>
      <c r="M111" s="197"/>
      <c r="N111" s="221"/>
      <c r="O111" s="221"/>
      <c r="P111" s="221"/>
      <c r="Q111" s="221"/>
    </row>
    <row r="112" ht="30" customHeight="1" spans="2:17">
      <c r="B112" s="202">
        <v>2312</v>
      </c>
      <c r="C112" s="402" t="s">
        <v>122</v>
      </c>
      <c r="D112" s="211"/>
      <c r="E112" s="205"/>
      <c r="F112" s="197"/>
      <c r="G112" s="197"/>
      <c r="H112" s="197"/>
      <c r="I112" s="197"/>
      <c r="J112" s="197"/>
      <c r="K112" s="197"/>
      <c r="L112" s="197"/>
      <c r="M112" s="197"/>
      <c r="N112" s="221"/>
      <c r="O112" s="221"/>
      <c r="P112" s="221"/>
      <c r="Q112" s="221"/>
    </row>
    <row r="113" ht="30" customHeight="1" spans="2:17">
      <c r="B113" s="202">
        <v>2313</v>
      </c>
      <c r="C113" s="402" t="s">
        <v>123</v>
      </c>
      <c r="D113" s="211"/>
      <c r="E113" s="205"/>
      <c r="F113" s="197"/>
      <c r="G113" s="197"/>
      <c r="H113" s="197"/>
      <c r="I113" s="197"/>
      <c r="J113" s="197"/>
      <c r="K113" s="197"/>
      <c r="L113" s="197"/>
      <c r="M113" s="197"/>
      <c r="N113" s="221"/>
      <c r="O113" s="221"/>
      <c r="P113" s="221"/>
      <c r="Q113" s="221"/>
    </row>
    <row r="114" ht="30" customHeight="1" spans="2:17">
      <c r="B114" s="202">
        <v>2314</v>
      </c>
      <c r="C114" s="402" t="s">
        <v>124</v>
      </c>
      <c r="D114" s="211"/>
      <c r="E114" s="205"/>
      <c r="F114" s="197"/>
      <c r="G114" s="197"/>
      <c r="H114" s="197"/>
      <c r="I114" s="197"/>
      <c r="J114" s="197"/>
      <c r="K114" s="197"/>
      <c r="L114" s="197"/>
      <c r="M114" s="197"/>
      <c r="N114" s="221"/>
      <c r="O114" s="221"/>
      <c r="P114" s="221"/>
      <c r="Q114" s="221"/>
    </row>
    <row r="115" ht="30" customHeight="1" spans="2:17">
      <c r="B115" s="202">
        <v>2401</v>
      </c>
      <c r="C115" s="402" t="s">
        <v>125</v>
      </c>
      <c r="D115" s="211"/>
      <c r="E115" s="205"/>
      <c r="F115" s="197"/>
      <c r="G115" s="197"/>
      <c r="H115" s="197"/>
      <c r="I115" s="197"/>
      <c r="J115" s="197"/>
      <c r="K115" s="197"/>
      <c r="L115" s="197"/>
      <c r="M115" s="197"/>
      <c r="N115" s="221"/>
      <c r="O115" s="221"/>
      <c r="P115" s="221"/>
      <c r="Q115" s="221"/>
    </row>
    <row r="116" ht="30" customHeight="1" spans="2:17">
      <c r="B116" s="202">
        <v>2501</v>
      </c>
      <c r="C116" s="402" t="s">
        <v>126</v>
      </c>
      <c r="D116" s="211"/>
      <c r="E116" s="205"/>
      <c r="F116" s="197"/>
      <c r="G116" s="197"/>
      <c r="H116" s="197"/>
      <c r="I116" s="197"/>
      <c r="J116" s="197"/>
      <c r="K116" s="197"/>
      <c r="L116" s="197"/>
      <c r="M116" s="197"/>
      <c r="N116" s="221"/>
      <c r="O116" s="221"/>
      <c r="P116" s="221"/>
      <c r="Q116" s="221"/>
    </row>
    <row r="117" ht="30" customHeight="1" spans="2:17">
      <c r="B117" s="202">
        <v>2502</v>
      </c>
      <c r="C117" s="402" t="s">
        <v>127</v>
      </c>
      <c r="D117" s="211"/>
      <c r="E117" s="205"/>
      <c r="F117" s="197"/>
      <c r="G117" s="197"/>
      <c r="H117" s="197"/>
      <c r="I117" s="197"/>
      <c r="J117" s="197"/>
      <c r="K117" s="197"/>
      <c r="L117" s="197"/>
      <c r="M117" s="197"/>
      <c r="N117" s="221"/>
      <c r="O117" s="221"/>
      <c r="P117" s="221"/>
      <c r="Q117" s="221"/>
    </row>
    <row r="118" ht="30" customHeight="1" spans="2:17">
      <c r="B118" s="202">
        <v>2601</v>
      </c>
      <c r="C118" s="402" t="s">
        <v>128</v>
      </c>
      <c r="D118" s="211"/>
      <c r="E118" s="205"/>
      <c r="F118" s="197"/>
      <c r="G118" s="197"/>
      <c r="H118" s="197"/>
      <c r="I118" s="197"/>
      <c r="J118" s="197"/>
      <c r="K118" s="197"/>
      <c r="L118" s="197"/>
      <c r="M118" s="197"/>
      <c r="N118" s="221"/>
      <c r="O118" s="221"/>
      <c r="P118" s="221"/>
      <c r="Q118" s="221"/>
    </row>
    <row r="119" ht="30" customHeight="1" spans="2:17">
      <c r="B119" s="202">
        <v>2602</v>
      </c>
      <c r="C119" s="402" t="s">
        <v>129</v>
      </c>
      <c r="D119" s="211"/>
      <c r="E119" s="205"/>
      <c r="F119" s="197"/>
      <c r="G119" s="197"/>
      <c r="H119" s="197"/>
      <c r="I119" s="197"/>
      <c r="J119" s="197"/>
      <c r="K119" s="197"/>
      <c r="L119" s="197"/>
      <c r="M119" s="197"/>
      <c r="N119" s="221"/>
      <c r="O119" s="221"/>
      <c r="P119" s="221"/>
      <c r="Q119" s="221"/>
    </row>
    <row r="120" ht="30" customHeight="1" spans="2:17">
      <c r="B120" s="202">
        <v>2611</v>
      </c>
      <c r="C120" s="402" t="s">
        <v>130</v>
      </c>
      <c r="D120" s="211"/>
      <c r="E120" s="205"/>
      <c r="F120" s="197"/>
      <c r="G120" s="197"/>
      <c r="H120" s="197"/>
      <c r="I120" s="197"/>
      <c r="J120" s="197"/>
      <c r="K120" s="197"/>
      <c r="L120" s="197"/>
      <c r="M120" s="197"/>
      <c r="N120" s="221"/>
      <c r="O120" s="221"/>
      <c r="P120" s="221"/>
      <c r="Q120" s="221"/>
    </row>
    <row r="121" ht="30" customHeight="1" spans="2:17">
      <c r="B121" s="202">
        <v>2621</v>
      </c>
      <c r="C121" s="402" t="s">
        <v>131</v>
      </c>
      <c r="D121" s="211"/>
      <c r="E121" s="205"/>
      <c r="F121" s="197"/>
      <c r="G121" s="197"/>
      <c r="H121" s="197"/>
      <c r="I121" s="197"/>
      <c r="J121" s="197"/>
      <c r="K121" s="197"/>
      <c r="L121" s="197"/>
      <c r="M121" s="197"/>
      <c r="N121" s="221"/>
      <c r="O121" s="221"/>
      <c r="P121" s="221"/>
      <c r="Q121" s="221"/>
    </row>
    <row r="122" ht="30" customHeight="1" spans="2:17">
      <c r="B122" s="202">
        <v>2701</v>
      </c>
      <c r="C122" s="402" t="s">
        <v>132</v>
      </c>
      <c r="D122" s="211"/>
      <c r="E122" s="205"/>
      <c r="F122" s="197"/>
      <c r="G122" s="197"/>
      <c r="H122" s="197"/>
      <c r="I122" s="197"/>
      <c r="J122" s="197"/>
      <c r="K122" s="197"/>
      <c r="L122" s="197"/>
      <c r="M122" s="197"/>
      <c r="N122" s="221"/>
      <c r="O122" s="221"/>
      <c r="P122" s="221"/>
      <c r="Q122" s="221"/>
    </row>
    <row r="123" ht="30" customHeight="1" spans="2:17">
      <c r="B123" s="202">
        <v>2702</v>
      </c>
      <c r="C123" s="402" t="s">
        <v>133</v>
      </c>
      <c r="D123" s="211"/>
      <c r="E123" s="205"/>
      <c r="F123" s="197"/>
      <c r="G123" s="197"/>
      <c r="H123" s="197"/>
      <c r="I123" s="197"/>
      <c r="J123" s="197"/>
      <c r="K123" s="197"/>
      <c r="L123" s="197"/>
      <c r="M123" s="197"/>
      <c r="N123" s="221"/>
      <c r="O123" s="221"/>
      <c r="P123" s="221"/>
      <c r="Q123" s="221"/>
    </row>
    <row r="124" ht="30" customHeight="1" spans="2:17">
      <c r="B124" s="202">
        <v>2711</v>
      </c>
      <c r="C124" s="402" t="s">
        <v>134</v>
      </c>
      <c r="D124" s="211"/>
      <c r="E124" s="205"/>
      <c r="F124" s="197"/>
      <c r="G124" s="197"/>
      <c r="H124" s="197"/>
      <c r="I124" s="197"/>
      <c r="J124" s="197"/>
      <c r="K124" s="197"/>
      <c r="L124" s="197"/>
      <c r="M124" s="197"/>
      <c r="N124" s="221"/>
      <c r="O124" s="221"/>
      <c r="P124" s="221"/>
      <c r="Q124" s="221"/>
    </row>
    <row r="125" ht="30" customHeight="1" spans="2:17">
      <c r="B125" s="202">
        <v>2801</v>
      </c>
      <c r="C125" s="402" t="s">
        <v>135</v>
      </c>
      <c r="D125" s="211"/>
      <c r="E125" s="205"/>
      <c r="F125" s="197"/>
      <c r="G125" s="197"/>
      <c r="H125" s="197"/>
      <c r="I125" s="197"/>
      <c r="J125" s="197"/>
      <c r="K125" s="197"/>
      <c r="L125" s="197"/>
      <c r="M125" s="197"/>
      <c r="N125" s="221"/>
      <c r="O125" s="221"/>
      <c r="P125" s="221"/>
      <c r="Q125" s="221"/>
    </row>
    <row r="126" ht="30" customHeight="1" spans="2:17">
      <c r="B126" s="202">
        <v>2901</v>
      </c>
      <c r="C126" s="402" t="s">
        <v>136</v>
      </c>
      <c r="D126" s="211"/>
      <c r="E126" s="205"/>
      <c r="F126" s="197"/>
      <c r="G126" s="197"/>
      <c r="H126" s="197"/>
      <c r="I126" s="197"/>
      <c r="J126" s="197"/>
      <c r="K126" s="197"/>
      <c r="L126" s="197"/>
      <c r="M126" s="197"/>
      <c r="N126" s="221"/>
      <c r="O126" s="221"/>
      <c r="P126" s="221"/>
      <c r="Q126" s="221"/>
    </row>
    <row r="127" ht="30" customHeight="1" spans="2:17">
      <c r="B127" s="202">
        <v>3001</v>
      </c>
      <c r="C127" s="402" t="s">
        <v>137</v>
      </c>
      <c r="D127" s="211"/>
      <c r="E127" s="205"/>
      <c r="F127" s="197"/>
      <c r="G127" s="197"/>
      <c r="H127" s="197"/>
      <c r="I127" s="197"/>
      <c r="J127" s="197"/>
      <c r="K127" s="197"/>
      <c r="L127" s="197"/>
      <c r="M127" s="197"/>
      <c r="N127" s="221"/>
      <c r="O127" s="221"/>
      <c r="P127" s="221"/>
      <c r="Q127" s="221"/>
    </row>
    <row r="128" ht="30" customHeight="1" spans="2:17">
      <c r="B128" s="202">
        <v>3002</v>
      </c>
      <c r="C128" s="402" t="s">
        <v>138</v>
      </c>
      <c r="D128" s="211"/>
      <c r="E128" s="205"/>
      <c r="F128" s="197"/>
      <c r="G128" s="197"/>
      <c r="H128" s="197"/>
      <c r="I128" s="197"/>
      <c r="J128" s="197"/>
      <c r="K128" s="197"/>
      <c r="L128" s="197"/>
      <c r="M128" s="197"/>
      <c r="N128" s="221"/>
      <c r="O128" s="221"/>
      <c r="P128" s="221"/>
      <c r="Q128" s="221"/>
    </row>
    <row r="129" ht="30" customHeight="1" spans="2:17">
      <c r="B129" s="202">
        <v>3101</v>
      </c>
      <c r="C129" s="402" t="s">
        <v>139</v>
      </c>
      <c r="D129" s="211"/>
      <c r="E129" s="205"/>
      <c r="F129" s="197"/>
      <c r="G129" s="197"/>
      <c r="H129" s="197"/>
      <c r="I129" s="197"/>
      <c r="J129" s="197"/>
      <c r="K129" s="197"/>
      <c r="L129" s="197"/>
      <c r="M129" s="197"/>
      <c r="N129" s="221"/>
      <c r="O129" s="221"/>
      <c r="P129" s="221"/>
      <c r="Q129" s="221"/>
    </row>
    <row r="130" ht="30" customHeight="1" spans="2:17">
      <c r="B130" s="202">
        <v>3201</v>
      </c>
      <c r="C130" s="402" t="s">
        <v>140</v>
      </c>
      <c r="D130" s="211"/>
      <c r="E130" s="205"/>
      <c r="F130" s="197"/>
      <c r="G130" s="197"/>
      <c r="H130" s="197"/>
      <c r="I130" s="197"/>
      <c r="J130" s="197"/>
      <c r="K130" s="197"/>
      <c r="L130" s="197"/>
      <c r="M130" s="197"/>
      <c r="N130" s="221"/>
      <c r="O130" s="221"/>
      <c r="P130" s="221"/>
      <c r="Q130" s="221"/>
    </row>
    <row r="131" ht="30" customHeight="1" spans="2:17">
      <c r="B131" s="202">
        <v>3202</v>
      </c>
      <c r="C131" s="402" t="s">
        <v>141</v>
      </c>
      <c r="D131" s="211"/>
      <c r="E131" s="205"/>
      <c r="F131" s="197"/>
      <c r="G131" s="197"/>
      <c r="H131" s="197"/>
      <c r="I131" s="197"/>
      <c r="J131" s="197"/>
      <c r="K131" s="197"/>
      <c r="L131" s="197"/>
      <c r="M131" s="197"/>
      <c r="N131" s="221"/>
      <c r="O131" s="221"/>
      <c r="P131" s="221"/>
      <c r="Q131" s="221"/>
    </row>
    <row r="132" ht="30" customHeight="1" spans="2:17">
      <c r="B132" s="202">
        <v>4001</v>
      </c>
      <c r="C132" s="402" t="s">
        <v>142</v>
      </c>
      <c r="D132" s="211"/>
      <c r="E132" s="240">
        <v>1000000</v>
      </c>
      <c r="F132" s="197"/>
      <c r="G132" s="197"/>
      <c r="H132" s="197"/>
      <c r="I132" s="197"/>
      <c r="J132" s="197"/>
      <c r="K132" s="197"/>
      <c r="L132" s="197"/>
      <c r="M132" s="197"/>
      <c r="N132" s="221"/>
      <c r="O132" s="221"/>
      <c r="P132" s="221"/>
      <c r="Q132" s="221"/>
    </row>
    <row r="133" ht="30" customHeight="1" spans="2:17">
      <c r="B133" s="202">
        <v>4002</v>
      </c>
      <c r="C133" s="402" t="s">
        <v>143</v>
      </c>
      <c r="D133" s="211"/>
      <c r="E133" s="205"/>
      <c r="F133" s="197"/>
      <c r="G133" s="197"/>
      <c r="H133" s="197"/>
      <c r="I133" s="197"/>
      <c r="J133" s="197"/>
      <c r="K133" s="197"/>
      <c r="L133" s="197"/>
      <c r="M133" s="197"/>
      <c r="N133" s="221"/>
      <c r="O133" s="221"/>
      <c r="P133" s="221"/>
      <c r="Q133" s="221"/>
    </row>
    <row r="134" ht="30" customHeight="1" spans="2:17">
      <c r="B134" s="202">
        <v>4101</v>
      </c>
      <c r="C134" s="402" t="s">
        <v>144</v>
      </c>
      <c r="D134" s="211"/>
      <c r="E134" s="205"/>
      <c r="F134" s="197"/>
      <c r="G134" s="197"/>
      <c r="H134" s="197"/>
      <c r="I134" s="197"/>
      <c r="J134" s="197"/>
      <c r="K134" s="197"/>
      <c r="L134" s="197"/>
      <c r="M134" s="197"/>
      <c r="N134" s="221"/>
      <c r="O134" s="221"/>
      <c r="P134" s="221"/>
      <c r="Q134" s="221"/>
    </row>
    <row r="135" ht="30" customHeight="1" spans="2:17">
      <c r="B135" s="202">
        <v>4102</v>
      </c>
      <c r="C135" s="402" t="s">
        <v>145</v>
      </c>
      <c r="D135" s="211"/>
      <c r="E135" s="205"/>
      <c r="F135" s="197"/>
      <c r="G135" s="197"/>
      <c r="H135" s="197"/>
      <c r="I135" s="197"/>
      <c r="J135" s="197"/>
      <c r="K135" s="197"/>
      <c r="L135" s="197"/>
      <c r="M135" s="197"/>
      <c r="N135" s="221"/>
      <c r="O135" s="221"/>
      <c r="P135" s="221"/>
      <c r="Q135" s="221"/>
    </row>
    <row r="136" ht="30" customHeight="1" spans="2:17">
      <c r="B136" s="202">
        <v>4103</v>
      </c>
      <c r="C136" s="402" t="s">
        <v>146</v>
      </c>
      <c r="D136" s="211"/>
      <c r="E136" s="205"/>
      <c r="F136" s="197"/>
      <c r="G136" s="197"/>
      <c r="H136" s="197"/>
      <c r="I136" s="197"/>
      <c r="J136" s="197"/>
      <c r="K136" s="197"/>
      <c r="L136" s="197"/>
      <c r="M136" s="197"/>
      <c r="N136" s="221"/>
      <c r="O136" s="221"/>
      <c r="P136" s="221"/>
      <c r="Q136" s="221"/>
    </row>
    <row r="137" ht="30" customHeight="1" spans="2:17">
      <c r="B137" s="202">
        <v>4104</v>
      </c>
      <c r="C137" s="402" t="s">
        <v>147</v>
      </c>
      <c r="D137" s="211"/>
      <c r="E137" s="205"/>
      <c r="F137" s="197"/>
      <c r="G137" s="197"/>
      <c r="H137" s="197"/>
      <c r="I137" s="197"/>
      <c r="J137" s="197"/>
      <c r="K137" s="197"/>
      <c r="L137" s="197"/>
      <c r="M137" s="197"/>
      <c r="N137" s="221"/>
      <c r="O137" s="221"/>
      <c r="P137" s="221"/>
      <c r="Q137" s="221"/>
    </row>
    <row r="138" ht="30" customHeight="1" spans="2:17">
      <c r="B138" s="202">
        <v>4201</v>
      </c>
      <c r="C138" s="402" t="s">
        <v>148</v>
      </c>
      <c r="D138" s="211"/>
      <c r="E138" s="205"/>
      <c r="F138" s="197"/>
      <c r="G138" s="197"/>
      <c r="H138" s="197"/>
      <c r="I138" s="197"/>
      <c r="J138" s="197"/>
      <c r="K138" s="197"/>
      <c r="L138" s="197"/>
      <c r="M138" s="197"/>
      <c r="N138" s="221"/>
      <c r="O138" s="221"/>
      <c r="P138" s="221"/>
      <c r="Q138" s="221"/>
    </row>
    <row r="139" ht="30" customHeight="1" spans="2:17">
      <c r="B139" s="202">
        <v>5001</v>
      </c>
      <c r="C139" s="402" t="s">
        <v>149</v>
      </c>
      <c r="D139" s="211"/>
      <c r="E139" s="205"/>
      <c r="F139" s="197"/>
      <c r="G139" s="197"/>
      <c r="H139" s="197"/>
      <c r="I139" s="197"/>
      <c r="J139" s="197"/>
      <c r="K139" s="197"/>
      <c r="L139" s="197"/>
      <c r="M139" s="197"/>
      <c r="N139" s="221"/>
      <c r="O139" s="221"/>
      <c r="P139" s="221"/>
      <c r="Q139" s="221"/>
    </row>
    <row r="140" ht="30" customHeight="1" spans="2:17">
      <c r="B140" s="202">
        <v>500101</v>
      </c>
      <c r="C140" s="402" t="s">
        <v>150</v>
      </c>
      <c r="D140" s="211"/>
      <c r="E140" s="205"/>
      <c r="F140" s="197"/>
      <c r="G140" s="197"/>
      <c r="H140" s="197"/>
      <c r="I140" s="197"/>
      <c r="J140" s="197"/>
      <c r="K140" s="197"/>
      <c r="L140" s="197"/>
      <c r="M140" s="197"/>
      <c r="N140" s="221"/>
      <c r="O140" s="221"/>
      <c r="P140" s="221"/>
      <c r="Q140" s="221"/>
    </row>
    <row r="141" ht="30" customHeight="1" spans="2:17">
      <c r="B141" s="202">
        <v>500102</v>
      </c>
      <c r="C141" s="402" t="s">
        <v>151</v>
      </c>
      <c r="D141" s="211"/>
      <c r="E141" s="205"/>
      <c r="F141" s="197"/>
      <c r="G141" s="197"/>
      <c r="H141" s="197"/>
      <c r="I141" s="197"/>
      <c r="J141" s="197"/>
      <c r="K141" s="197"/>
      <c r="L141" s="197"/>
      <c r="M141" s="197"/>
      <c r="N141" s="221"/>
      <c r="O141" s="221"/>
      <c r="P141" s="221"/>
      <c r="Q141" s="221"/>
    </row>
    <row r="142" ht="30" customHeight="1" spans="2:17">
      <c r="B142" s="202">
        <v>5101</v>
      </c>
      <c r="C142" s="402" t="s">
        <v>152</v>
      </c>
      <c r="D142" s="211"/>
      <c r="E142" s="205"/>
      <c r="F142" s="197"/>
      <c r="G142" s="197"/>
      <c r="H142" s="197"/>
      <c r="I142" s="197"/>
      <c r="J142" s="197"/>
      <c r="K142" s="197"/>
      <c r="L142" s="197"/>
      <c r="M142" s="197"/>
      <c r="N142" s="221"/>
      <c r="O142" s="221"/>
      <c r="P142" s="221"/>
      <c r="Q142" s="221"/>
    </row>
    <row r="143" ht="30" customHeight="1" spans="2:17">
      <c r="B143" s="202">
        <v>510101</v>
      </c>
      <c r="C143" s="402" t="s">
        <v>153</v>
      </c>
      <c r="D143" s="211"/>
      <c r="E143" s="205"/>
      <c r="F143" s="197"/>
      <c r="G143" s="197"/>
      <c r="H143" s="197"/>
      <c r="I143" s="197"/>
      <c r="J143" s="197"/>
      <c r="K143" s="197"/>
      <c r="L143" s="197"/>
      <c r="M143" s="197"/>
      <c r="N143" s="221"/>
      <c r="O143" s="221"/>
      <c r="P143" s="221"/>
      <c r="Q143" s="221"/>
    </row>
    <row r="144" ht="30" customHeight="1" spans="2:17">
      <c r="B144" s="202">
        <v>510102</v>
      </c>
      <c r="C144" s="402" t="s">
        <v>154</v>
      </c>
      <c r="D144" s="211"/>
      <c r="E144" s="205"/>
      <c r="F144" s="197"/>
      <c r="G144" s="197"/>
      <c r="H144" s="197"/>
      <c r="I144" s="197"/>
      <c r="J144" s="197"/>
      <c r="K144" s="197"/>
      <c r="L144" s="197"/>
      <c r="M144" s="197"/>
      <c r="N144" s="221"/>
      <c r="O144" s="221"/>
      <c r="P144" s="221"/>
      <c r="Q144" s="221"/>
    </row>
    <row r="145" ht="30" customHeight="1" spans="2:17">
      <c r="B145" s="202">
        <v>510103</v>
      </c>
      <c r="C145" s="402" t="s">
        <v>155</v>
      </c>
      <c r="D145" s="211"/>
      <c r="E145" s="205"/>
      <c r="F145" s="197"/>
      <c r="G145" s="197"/>
      <c r="H145" s="197"/>
      <c r="I145" s="197"/>
      <c r="J145" s="197"/>
      <c r="K145" s="197"/>
      <c r="L145" s="197"/>
      <c r="M145" s="197"/>
      <c r="N145" s="221"/>
      <c r="O145" s="221"/>
      <c r="P145" s="221"/>
      <c r="Q145" s="221"/>
    </row>
    <row r="146" ht="30" customHeight="1" spans="2:17">
      <c r="B146" s="202">
        <v>510104</v>
      </c>
      <c r="C146" s="402" t="s">
        <v>156</v>
      </c>
      <c r="D146" s="211"/>
      <c r="E146" s="205"/>
      <c r="F146" s="197"/>
      <c r="G146" s="197"/>
      <c r="H146" s="197"/>
      <c r="I146" s="197"/>
      <c r="J146" s="197"/>
      <c r="K146" s="197"/>
      <c r="L146" s="197"/>
      <c r="M146" s="197"/>
      <c r="N146" s="221"/>
      <c r="O146" s="221"/>
      <c r="P146" s="221"/>
      <c r="Q146" s="221"/>
    </row>
    <row r="147" ht="30" customHeight="1" spans="2:17">
      <c r="B147" s="202">
        <v>5201</v>
      </c>
      <c r="C147" s="402" t="s">
        <v>157</v>
      </c>
      <c r="D147" s="211"/>
      <c r="E147" s="205"/>
      <c r="F147" s="197"/>
      <c r="G147" s="197"/>
      <c r="H147" s="197"/>
      <c r="I147" s="197"/>
      <c r="J147" s="197"/>
      <c r="K147" s="197"/>
      <c r="L147" s="197"/>
      <c r="M147" s="197"/>
      <c r="N147" s="221"/>
      <c r="O147" s="221"/>
      <c r="P147" s="221"/>
      <c r="Q147" s="221"/>
    </row>
    <row r="148" ht="30" customHeight="1" spans="2:17">
      <c r="B148" s="202">
        <v>5301</v>
      </c>
      <c r="C148" s="402" t="s">
        <v>158</v>
      </c>
      <c r="D148" s="211"/>
      <c r="E148" s="205"/>
      <c r="F148" s="197"/>
      <c r="G148" s="197"/>
      <c r="H148" s="197"/>
      <c r="I148" s="197"/>
      <c r="J148" s="197"/>
      <c r="K148" s="197"/>
      <c r="L148" s="197"/>
      <c r="M148" s="197"/>
      <c r="N148" s="221"/>
      <c r="O148" s="221"/>
      <c r="P148" s="221"/>
      <c r="Q148" s="221"/>
    </row>
    <row r="149" ht="30" customHeight="1" spans="2:17">
      <c r="B149" s="202">
        <v>5401</v>
      </c>
      <c r="C149" s="402" t="s">
        <v>159</v>
      </c>
      <c r="D149" s="211"/>
      <c r="E149" s="205"/>
      <c r="F149" s="197"/>
      <c r="G149" s="197"/>
      <c r="H149" s="197"/>
      <c r="I149" s="197"/>
      <c r="J149" s="197"/>
      <c r="K149" s="197"/>
      <c r="L149" s="197"/>
      <c r="M149" s="197"/>
      <c r="N149" s="221"/>
      <c r="O149" s="221"/>
      <c r="P149" s="221"/>
      <c r="Q149" s="221"/>
    </row>
    <row r="150" ht="30" customHeight="1" spans="2:17">
      <c r="B150" s="202">
        <v>5402</v>
      </c>
      <c r="C150" s="402" t="s">
        <v>160</v>
      </c>
      <c r="D150" s="211"/>
      <c r="E150" s="205"/>
      <c r="F150" s="197"/>
      <c r="G150" s="197"/>
      <c r="H150" s="197"/>
      <c r="I150" s="197"/>
      <c r="J150" s="197"/>
      <c r="K150" s="197"/>
      <c r="L150" s="197"/>
      <c r="M150" s="197"/>
      <c r="N150" s="221"/>
      <c r="O150" s="221"/>
      <c r="P150" s="221"/>
      <c r="Q150" s="221"/>
    </row>
    <row r="151" ht="30" customHeight="1" spans="2:17">
      <c r="B151" s="202">
        <v>5403</v>
      </c>
      <c r="C151" s="402" t="s">
        <v>161</v>
      </c>
      <c r="D151" s="211"/>
      <c r="E151" s="205"/>
      <c r="F151" s="197"/>
      <c r="G151" s="197"/>
      <c r="H151" s="197"/>
      <c r="I151" s="197"/>
      <c r="J151" s="197"/>
      <c r="K151" s="197"/>
      <c r="L151" s="197"/>
      <c r="M151" s="197"/>
      <c r="N151" s="221"/>
      <c r="O151" s="221"/>
      <c r="P151" s="221"/>
      <c r="Q151" s="221"/>
    </row>
    <row r="152" ht="30" customHeight="1" spans="2:17">
      <c r="B152" s="202">
        <v>6001</v>
      </c>
      <c r="C152" s="402" t="s">
        <v>162</v>
      </c>
      <c r="D152" s="211"/>
      <c r="E152" s="205"/>
      <c r="F152" s="197"/>
      <c r="G152" s="197"/>
      <c r="H152" s="197"/>
      <c r="I152" s="197"/>
      <c r="J152" s="197"/>
      <c r="K152" s="197"/>
      <c r="L152" s="197"/>
      <c r="M152" s="197"/>
      <c r="N152" s="221"/>
      <c r="O152" s="221"/>
      <c r="P152" s="221"/>
      <c r="Q152" s="221"/>
    </row>
    <row r="153" ht="30" customHeight="1" spans="2:17">
      <c r="B153" s="202">
        <v>6011</v>
      </c>
      <c r="C153" s="402" t="s">
        <v>163</v>
      </c>
      <c r="D153" s="211"/>
      <c r="E153" s="205"/>
      <c r="F153" s="197"/>
      <c r="G153" s="197"/>
      <c r="H153" s="197"/>
      <c r="I153" s="197"/>
      <c r="J153" s="197"/>
      <c r="K153" s="197"/>
      <c r="L153" s="197"/>
      <c r="M153" s="197"/>
      <c r="N153" s="221"/>
      <c r="O153" s="221"/>
      <c r="P153" s="221"/>
      <c r="Q153" s="221"/>
    </row>
    <row r="154" ht="30" customHeight="1" spans="2:17">
      <c r="B154" s="202">
        <v>6021</v>
      </c>
      <c r="C154" s="402" t="s">
        <v>164</v>
      </c>
      <c r="D154" s="211"/>
      <c r="E154" s="205"/>
      <c r="F154" s="197"/>
      <c r="G154" s="197"/>
      <c r="H154" s="197"/>
      <c r="I154" s="197"/>
      <c r="J154" s="197"/>
      <c r="K154" s="197"/>
      <c r="L154" s="197"/>
      <c r="M154" s="197"/>
      <c r="N154" s="221"/>
      <c r="O154" s="221"/>
      <c r="P154" s="221"/>
      <c r="Q154" s="221"/>
    </row>
    <row r="155" ht="30" customHeight="1" spans="2:17">
      <c r="B155" s="202">
        <v>6031</v>
      </c>
      <c r="C155" s="402" t="s">
        <v>165</v>
      </c>
      <c r="D155" s="211"/>
      <c r="E155" s="205"/>
      <c r="F155" s="197"/>
      <c r="G155" s="197"/>
      <c r="H155" s="197"/>
      <c r="I155" s="197"/>
      <c r="J155" s="197"/>
      <c r="K155" s="197"/>
      <c r="L155" s="197"/>
      <c r="M155" s="197"/>
      <c r="N155" s="221"/>
      <c r="O155" s="221"/>
      <c r="P155" s="221"/>
      <c r="Q155" s="221"/>
    </row>
    <row r="156" ht="30" customHeight="1" spans="2:17">
      <c r="B156" s="202">
        <v>6041</v>
      </c>
      <c r="C156" s="402" t="s">
        <v>166</v>
      </c>
      <c r="D156" s="211"/>
      <c r="E156" s="205"/>
      <c r="F156" s="197"/>
      <c r="G156" s="197"/>
      <c r="H156" s="197"/>
      <c r="I156" s="197"/>
      <c r="J156" s="197"/>
      <c r="K156" s="197"/>
      <c r="L156" s="197"/>
      <c r="M156" s="197"/>
      <c r="N156" s="221"/>
      <c r="O156" s="221"/>
      <c r="P156" s="221"/>
      <c r="Q156" s="221"/>
    </row>
    <row r="157" ht="30" customHeight="1" spans="2:17">
      <c r="B157" s="202">
        <v>6051</v>
      </c>
      <c r="C157" s="402" t="s">
        <v>167</v>
      </c>
      <c r="D157" s="211"/>
      <c r="E157" s="205"/>
      <c r="F157" s="197"/>
      <c r="G157" s="197"/>
      <c r="H157" s="197"/>
      <c r="I157" s="197"/>
      <c r="J157" s="197"/>
      <c r="K157" s="197"/>
      <c r="L157" s="197"/>
      <c r="M157" s="197"/>
      <c r="N157" s="221"/>
      <c r="O157" s="221"/>
      <c r="P157" s="221"/>
      <c r="Q157" s="221"/>
    </row>
    <row r="158" ht="30" customHeight="1" spans="2:17">
      <c r="B158" s="202">
        <v>6061</v>
      </c>
      <c r="C158" s="402" t="s">
        <v>168</v>
      </c>
      <c r="D158" s="211"/>
      <c r="E158" s="205"/>
      <c r="F158" s="197"/>
      <c r="G158" s="197"/>
      <c r="H158" s="197"/>
      <c r="I158" s="197"/>
      <c r="J158" s="197"/>
      <c r="K158" s="197"/>
      <c r="L158" s="197"/>
      <c r="M158" s="197"/>
      <c r="N158" s="221"/>
      <c r="O158" s="221"/>
      <c r="P158" s="221"/>
      <c r="Q158" s="221"/>
    </row>
    <row r="159" ht="30" customHeight="1" spans="2:17">
      <c r="B159" s="202">
        <v>6101</v>
      </c>
      <c r="C159" s="402" t="s">
        <v>169</v>
      </c>
      <c r="D159" s="211"/>
      <c r="E159" s="205"/>
      <c r="F159" s="197"/>
      <c r="G159" s="197"/>
      <c r="H159" s="197"/>
      <c r="I159" s="197"/>
      <c r="J159" s="197"/>
      <c r="K159" s="197"/>
      <c r="L159" s="197"/>
      <c r="M159" s="197"/>
      <c r="N159" s="221"/>
      <c r="O159" s="221"/>
      <c r="P159" s="221"/>
      <c r="Q159" s="221"/>
    </row>
    <row r="160" ht="30" customHeight="1" spans="2:17">
      <c r="B160" s="202">
        <v>6111</v>
      </c>
      <c r="C160" s="402" t="s">
        <v>170</v>
      </c>
      <c r="D160" s="211"/>
      <c r="E160" s="205"/>
      <c r="F160" s="197"/>
      <c r="G160" s="197"/>
      <c r="H160" s="197"/>
      <c r="I160" s="197"/>
      <c r="J160" s="197"/>
      <c r="K160" s="197"/>
      <c r="L160" s="197"/>
      <c r="M160" s="197"/>
      <c r="N160" s="221"/>
      <c r="O160" s="221"/>
      <c r="P160" s="221"/>
      <c r="Q160" s="221"/>
    </row>
    <row r="161" ht="30" customHeight="1" spans="2:17">
      <c r="B161" s="202">
        <v>6201</v>
      </c>
      <c r="C161" s="402" t="s">
        <v>171</v>
      </c>
      <c r="D161" s="211"/>
      <c r="E161" s="205"/>
      <c r="F161" s="197"/>
      <c r="G161" s="197"/>
      <c r="H161" s="197"/>
      <c r="I161" s="197"/>
      <c r="J161" s="197"/>
      <c r="K161" s="197"/>
      <c r="L161" s="197"/>
      <c r="M161" s="197"/>
      <c r="N161" s="221"/>
      <c r="O161" s="221"/>
      <c r="P161" s="221"/>
      <c r="Q161" s="221"/>
    </row>
    <row r="162" ht="30" customHeight="1" spans="2:17">
      <c r="B162" s="202">
        <v>6202</v>
      </c>
      <c r="C162" s="402" t="s">
        <v>172</v>
      </c>
      <c r="D162" s="211"/>
      <c r="E162" s="205"/>
      <c r="F162" s="197"/>
      <c r="G162" s="197"/>
      <c r="H162" s="197"/>
      <c r="I162" s="197"/>
      <c r="J162" s="197"/>
      <c r="K162" s="197"/>
      <c r="L162" s="197"/>
      <c r="M162" s="197"/>
      <c r="N162" s="221"/>
      <c r="O162" s="221"/>
      <c r="P162" s="221"/>
      <c r="Q162" s="221"/>
    </row>
    <row r="163" ht="30" customHeight="1" spans="2:17">
      <c r="B163" s="202">
        <v>6203</v>
      </c>
      <c r="C163" s="402" t="s">
        <v>173</v>
      </c>
      <c r="D163" s="211"/>
      <c r="E163" s="205"/>
      <c r="F163" s="197"/>
      <c r="G163" s="197"/>
      <c r="H163" s="197"/>
      <c r="I163" s="197"/>
      <c r="J163" s="197"/>
      <c r="K163" s="197"/>
      <c r="L163" s="197"/>
      <c r="M163" s="197"/>
      <c r="N163" s="221"/>
      <c r="O163" s="221"/>
      <c r="P163" s="221"/>
      <c r="Q163" s="221"/>
    </row>
    <row r="164" ht="30" customHeight="1" spans="2:17">
      <c r="B164" s="202">
        <v>6301</v>
      </c>
      <c r="C164" s="402" t="s">
        <v>174</v>
      </c>
      <c r="D164" s="211"/>
      <c r="E164" s="205"/>
      <c r="F164" s="197"/>
      <c r="G164" s="197"/>
      <c r="H164" s="197"/>
      <c r="I164" s="197"/>
      <c r="J164" s="197"/>
      <c r="K164" s="197"/>
      <c r="L164" s="197"/>
      <c r="M164" s="197"/>
      <c r="N164" s="221"/>
      <c r="O164" s="221"/>
      <c r="P164" s="221"/>
      <c r="Q164" s="221"/>
    </row>
    <row r="165" ht="30" customHeight="1" spans="2:17">
      <c r="B165" s="202">
        <v>6401</v>
      </c>
      <c r="C165" s="402" t="s">
        <v>175</v>
      </c>
      <c r="D165" s="211"/>
      <c r="E165" s="205"/>
      <c r="F165" s="197"/>
      <c r="G165" s="197"/>
      <c r="H165" s="197"/>
      <c r="I165" s="197"/>
      <c r="J165" s="197"/>
      <c r="K165" s="197"/>
      <c r="L165" s="197"/>
      <c r="M165" s="197"/>
      <c r="N165" s="221"/>
      <c r="O165" s="221"/>
      <c r="P165" s="221"/>
      <c r="Q165" s="221"/>
    </row>
    <row r="166" ht="30" customHeight="1" spans="2:17">
      <c r="B166" s="202">
        <v>6402</v>
      </c>
      <c r="C166" s="402" t="s">
        <v>176</v>
      </c>
      <c r="D166" s="211"/>
      <c r="E166" s="205"/>
      <c r="F166" s="197"/>
      <c r="G166" s="197"/>
      <c r="H166" s="197"/>
      <c r="I166" s="197"/>
      <c r="J166" s="197"/>
      <c r="K166" s="197"/>
      <c r="L166" s="197"/>
      <c r="M166" s="197"/>
      <c r="N166" s="221"/>
      <c r="O166" s="221"/>
      <c r="P166" s="221"/>
      <c r="Q166" s="221"/>
    </row>
    <row r="167" ht="30" customHeight="1" spans="2:17">
      <c r="B167" s="202">
        <v>6403</v>
      </c>
      <c r="C167" s="402" t="s">
        <v>177</v>
      </c>
      <c r="D167" s="211"/>
      <c r="E167" s="205"/>
      <c r="F167" s="197"/>
      <c r="G167" s="197"/>
      <c r="H167" s="197"/>
      <c r="I167" s="197"/>
      <c r="J167" s="197"/>
      <c r="K167" s="197"/>
      <c r="L167" s="197"/>
      <c r="M167" s="197"/>
      <c r="N167" s="221"/>
      <c r="O167" s="221"/>
      <c r="P167" s="221"/>
      <c r="Q167" s="221"/>
    </row>
    <row r="168" ht="30" customHeight="1" spans="2:17">
      <c r="B168" s="202">
        <v>6411</v>
      </c>
      <c r="C168" s="402" t="s">
        <v>178</v>
      </c>
      <c r="D168" s="211"/>
      <c r="E168" s="205"/>
      <c r="F168" s="197"/>
      <c r="G168" s="197"/>
      <c r="H168" s="197"/>
      <c r="I168" s="197"/>
      <c r="J168" s="197"/>
      <c r="K168" s="197"/>
      <c r="L168" s="197"/>
      <c r="M168" s="197"/>
      <c r="N168" s="221"/>
      <c r="O168" s="221"/>
      <c r="P168" s="221"/>
      <c r="Q168" s="221"/>
    </row>
    <row r="169" ht="30" customHeight="1" spans="2:17">
      <c r="B169" s="202">
        <v>6421</v>
      </c>
      <c r="C169" s="402" t="s">
        <v>179</v>
      </c>
      <c r="D169" s="211"/>
      <c r="E169" s="205"/>
      <c r="F169" s="197"/>
      <c r="G169" s="197"/>
      <c r="H169" s="197"/>
      <c r="I169" s="197"/>
      <c r="J169" s="197"/>
      <c r="K169" s="197"/>
      <c r="L169" s="197"/>
      <c r="M169" s="197"/>
      <c r="N169" s="221"/>
      <c r="O169" s="221"/>
      <c r="P169" s="221"/>
      <c r="Q169" s="221"/>
    </row>
    <row r="170" ht="30" customHeight="1" spans="2:17">
      <c r="B170" s="202">
        <v>6501</v>
      </c>
      <c r="C170" s="402" t="s">
        <v>180</v>
      </c>
      <c r="D170" s="211"/>
      <c r="E170" s="205"/>
      <c r="F170" s="197"/>
      <c r="G170" s="197"/>
      <c r="H170" s="197"/>
      <c r="I170" s="197"/>
      <c r="J170" s="197"/>
      <c r="K170" s="197"/>
      <c r="L170" s="197"/>
      <c r="M170" s="197"/>
      <c r="N170" s="221"/>
      <c r="O170" s="221"/>
      <c r="P170" s="221"/>
      <c r="Q170" s="221"/>
    </row>
    <row r="171" ht="30" customHeight="1" spans="2:17">
      <c r="B171" s="202">
        <v>6502</v>
      </c>
      <c r="C171" s="402" t="s">
        <v>181</v>
      </c>
      <c r="D171" s="211"/>
      <c r="E171" s="205"/>
      <c r="F171" s="197"/>
      <c r="G171" s="197"/>
      <c r="H171" s="197"/>
      <c r="I171" s="197"/>
      <c r="J171" s="197"/>
      <c r="K171" s="197"/>
      <c r="L171" s="197"/>
      <c r="M171" s="197"/>
      <c r="N171" s="221"/>
      <c r="O171" s="221"/>
      <c r="P171" s="221"/>
      <c r="Q171" s="221"/>
    </row>
    <row r="172" ht="30" customHeight="1" spans="2:17">
      <c r="B172" s="202">
        <v>6511</v>
      </c>
      <c r="C172" s="402" t="s">
        <v>182</v>
      </c>
      <c r="D172" s="211"/>
      <c r="E172" s="205"/>
      <c r="F172" s="197"/>
      <c r="G172" s="197"/>
      <c r="H172" s="197"/>
      <c r="I172" s="197"/>
      <c r="J172" s="197"/>
      <c r="K172" s="197"/>
      <c r="L172" s="197"/>
      <c r="M172" s="197"/>
      <c r="N172" s="221"/>
      <c r="O172" s="221"/>
      <c r="P172" s="221"/>
      <c r="Q172" s="221"/>
    </row>
    <row r="173" ht="30" customHeight="1" spans="2:17">
      <c r="B173" s="202">
        <v>6521</v>
      </c>
      <c r="C173" s="402" t="s">
        <v>183</v>
      </c>
      <c r="D173" s="211"/>
      <c r="E173" s="205"/>
      <c r="F173" s="197"/>
      <c r="G173" s="197"/>
      <c r="H173" s="197"/>
      <c r="I173" s="197"/>
      <c r="J173" s="197"/>
      <c r="K173" s="197"/>
      <c r="L173" s="197"/>
      <c r="M173" s="197"/>
      <c r="N173" s="221"/>
      <c r="O173" s="221"/>
      <c r="P173" s="221"/>
      <c r="Q173" s="221"/>
    </row>
    <row r="174" ht="30" customHeight="1" spans="2:17">
      <c r="B174" s="202">
        <v>6531</v>
      </c>
      <c r="C174" s="402" t="s">
        <v>184</v>
      </c>
      <c r="D174" s="211"/>
      <c r="E174" s="205"/>
      <c r="F174" s="197"/>
      <c r="G174" s="197"/>
      <c r="H174" s="197"/>
      <c r="I174" s="197"/>
      <c r="J174" s="197"/>
      <c r="K174" s="197"/>
      <c r="L174" s="197"/>
      <c r="M174" s="197"/>
      <c r="N174" s="221"/>
      <c r="O174" s="221"/>
      <c r="P174" s="221"/>
      <c r="Q174" s="221"/>
    </row>
    <row r="175" ht="30" customHeight="1" spans="2:17">
      <c r="B175" s="202">
        <v>6541</v>
      </c>
      <c r="C175" s="402" t="s">
        <v>185</v>
      </c>
      <c r="D175" s="211"/>
      <c r="E175" s="205"/>
      <c r="F175" s="197"/>
      <c r="G175" s="197"/>
      <c r="H175" s="197"/>
      <c r="I175" s="197"/>
      <c r="J175" s="197"/>
      <c r="K175" s="197"/>
      <c r="L175" s="197"/>
      <c r="M175" s="197"/>
      <c r="N175" s="221"/>
      <c r="O175" s="221"/>
      <c r="P175" s="221"/>
      <c r="Q175" s="221"/>
    </row>
    <row r="176" ht="30" customHeight="1" spans="2:17">
      <c r="B176" s="202">
        <v>6542</v>
      </c>
      <c r="C176" s="402" t="s">
        <v>186</v>
      </c>
      <c r="D176" s="211"/>
      <c r="E176" s="205"/>
      <c r="F176" s="197"/>
      <c r="G176" s="197"/>
      <c r="H176" s="197"/>
      <c r="I176" s="197"/>
      <c r="J176" s="197"/>
      <c r="K176" s="197"/>
      <c r="L176" s="197"/>
      <c r="M176" s="197"/>
      <c r="N176" s="221"/>
      <c r="O176" s="221"/>
      <c r="P176" s="221"/>
      <c r="Q176" s="221"/>
    </row>
    <row r="177" ht="30" customHeight="1" spans="2:17">
      <c r="B177" s="241">
        <v>6601</v>
      </c>
      <c r="C177" s="417" t="s">
        <v>187</v>
      </c>
      <c r="D177" s="243"/>
      <c r="E177" s="244"/>
      <c r="F177" s="197"/>
      <c r="G177" s="197"/>
      <c r="H177" s="197"/>
      <c r="I177" s="197"/>
      <c r="J177" s="197"/>
      <c r="K177" s="197"/>
      <c r="L177" s="197"/>
      <c r="M177" s="197"/>
      <c r="N177" s="221"/>
      <c r="O177" s="221"/>
      <c r="P177" s="221"/>
      <c r="Q177" s="221"/>
    </row>
    <row r="178" ht="30" customHeight="1" spans="2:17">
      <c r="B178" s="241">
        <v>660101</v>
      </c>
      <c r="C178" s="417" t="s">
        <v>188</v>
      </c>
      <c r="D178" s="243"/>
      <c r="E178" s="244"/>
      <c r="F178" s="197"/>
      <c r="G178" s="197"/>
      <c r="H178" s="197"/>
      <c r="I178" s="197"/>
      <c r="J178" s="197"/>
      <c r="K178" s="197"/>
      <c r="L178" s="197"/>
      <c r="M178" s="197"/>
      <c r="N178" s="221"/>
      <c r="O178" s="221"/>
      <c r="P178" s="221"/>
      <c r="Q178" s="221"/>
    </row>
    <row r="179" ht="30" customHeight="1" spans="2:17">
      <c r="B179" s="241">
        <v>660102</v>
      </c>
      <c r="C179" s="417" t="s">
        <v>155</v>
      </c>
      <c r="D179" s="243"/>
      <c r="E179" s="244"/>
      <c r="F179" s="197"/>
      <c r="G179" s="197"/>
      <c r="H179" s="197"/>
      <c r="I179" s="197"/>
      <c r="J179" s="197"/>
      <c r="K179" s="197"/>
      <c r="L179" s="197"/>
      <c r="M179" s="197"/>
      <c r="N179" s="221"/>
      <c r="O179" s="221"/>
      <c r="P179" s="221"/>
      <c r="Q179" s="221"/>
    </row>
    <row r="180" ht="30" customHeight="1" spans="2:17">
      <c r="B180" s="241">
        <v>660103</v>
      </c>
      <c r="C180" s="417" t="s">
        <v>189</v>
      </c>
      <c r="D180" s="243"/>
      <c r="E180" s="244"/>
      <c r="F180" s="197"/>
      <c r="G180" s="197"/>
      <c r="H180" s="197"/>
      <c r="I180" s="197"/>
      <c r="J180" s="197"/>
      <c r="K180" s="197"/>
      <c r="L180" s="197"/>
      <c r="M180" s="197"/>
      <c r="N180" s="221"/>
      <c r="O180" s="221"/>
      <c r="P180" s="221"/>
      <c r="Q180" s="221"/>
    </row>
    <row r="181" ht="30" customHeight="1" spans="2:17">
      <c r="B181" s="241">
        <v>660104</v>
      </c>
      <c r="C181" s="417" t="s">
        <v>190</v>
      </c>
      <c r="D181" s="243"/>
      <c r="E181" s="244"/>
      <c r="F181" s="197"/>
      <c r="G181" s="197"/>
      <c r="H181" s="197"/>
      <c r="I181" s="197"/>
      <c r="J181" s="197"/>
      <c r="K181" s="197"/>
      <c r="L181" s="197"/>
      <c r="M181" s="197"/>
      <c r="N181" s="221"/>
      <c r="O181" s="221"/>
      <c r="P181" s="221"/>
      <c r="Q181" s="221"/>
    </row>
    <row r="182" ht="30" customHeight="1" spans="2:17">
      <c r="B182" s="241">
        <v>660105</v>
      </c>
      <c r="C182" s="417" t="s">
        <v>191</v>
      </c>
      <c r="D182" s="243"/>
      <c r="E182" s="244"/>
      <c r="F182" s="197"/>
      <c r="G182" s="197"/>
      <c r="H182" s="197"/>
      <c r="I182" s="197"/>
      <c r="J182" s="197"/>
      <c r="K182" s="197"/>
      <c r="L182" s="197"/>
      <c r="M182" s="197"/>
      <c r="N182" s="221"/>
      <c r="O182" s="221"/>
      <c r="P182" s="221"/>
      <c r="Q182" s="221"/>
    </row>
    <row r="183" ht="30" customHeight="1" spans="2:17">
      <c r="B183" s="227">
        <v>6602</v>
      </c>
      <c r="C183" s="418" t="s">
        <v>192</v>
      </c>
      <c r="D183" s="229"/>
      <c r="E183" s="230"/>
      <c r="F183" s="197"/>
      <c r="G183" s="197"/>
      <c r="H183" s="197"/>
      <c r="I183" s="197"/>
      <c r="J183" s="197"/>
      <c r="K183" s="197"/>
      <c r="L183" s="197"/>
      <c r="M183" s="197"/>
      <c r="N183" s="221"/>
      <c r="O183" s="221"/>
      <c r="P183" s="221"/>
      <c r="Q183" s="221"/>
    </row>
    <row r="184" ht="30" customHeight="1" spans="2:17">
      <c r="B184" s="227">
        <v>660201</v>
      </c>
      <c r="C184" s="418" t="s">
        <v>153</v>
      </c>
      <c r="D184" s="229"/>
      <c r="E184" s="230"/>
      <c r="F184" s="197"/>
      <c r="G184" s="197"/>
      <c r="H184" s="197"/>
      <c r="I184" s="197"/>
      <c r="J184" s="197"/>
      <c r="K184" s="197"/>
      <c r="L184" s="197"/>
      <c r="M184" s="197"/>
      <c r="N184" s="221"/>
      <c r="O184" s="221"/>
      <c r="P184" s="221"/>
      <c r="Q184" s="221"/>
    </row>
    <row r="185" ht="30" customHeight="1" spans="2:17">
      <c r="B185" s="227">
        <v>660202</v>
      </c>
      <c r="C185" s="418" t="s">
        <v>154</v>
      </c>
      <c r="D185" s="229"/>
      <c r="E185" s="230"/>
      <c r="F185" s="197"/>
      <c r="G185" s="197"/>
      <c r="H185" s="197"/>
      <c r="I185" s="197"/>
      <c r="J185" s="197"/>
      <c r="K185" s="197"/>
      <c r="L185" s="197"/>
      <c r="M185" s="197"/>
      <c r="N185" s="221"/>
      <c r="O185" s="221"/>
      <c r="P185" s="221"/>
      <c r="Q185" s="221"/>
    </row>
    <row r="186" ht="30" customHeight="1" spans="2:17">
      <c r="B186" s="227">
        <v>660203</v>
      </c>
      <c r="C186" s="418" t="s">
        <v>191</v>
      </c>
      <c r="D186" s="229"/>
      <c r="E186" s="230"/>
      <c r="F186" s="197"/>
      <c r="G186" s="197"/>
      <c r="H186" s="197"/>
      <c r="I186" s="197"/>
      <c r="J186" s="197"/>
      <c r="K186" s="197"/>
      <c r="L186" s="197"/>
      <c r="M186" s="197"/>
      <c r="N186" s="221"/>
      <c r="O186" s="221"/>
      <c r="P186" s="221"/>
      <c r="Q186" s="221"/>
    </row>
    <row r="187" ht="30" customHeight="1" spans="2:17">
      <c r="B187" s="227">
        <v>660204</v>
      </c>
      <c r="C187" s="418" t="s">
        <v>155</v>
      </c>
      <c r="D187" s="229"/>
      <c r="E187" s="230"/>
      <c r="F187" s="197"/>
      <c r="G187" s="197"/>
      <c r="H187" s="197"/>
      <c r="I187" s="197"/>
      <c r="J187" s="197"/>
      <c r="K187" s="197"/>
      <c r="L187" s="197"/>
      <c r="M187" s="197"/>
      <c r="N187" s="221"/>
      <c r="O187" s="221"/>
      <c r="P187" s="221"/>
      <c r="Q187" s="221"/>
    </row>
    <row r="188" ht="30" customHeight="1" spans="2:17">
      <c r="B188" s="227">
        <v>660205</v>
      </c>
      <c r="C188" s="418" t="s">
        <v>189</v>
      </c>
      <c r="D188" s="229"/>
      <c r="E188" s="230"/>
      <c r="F188" s="197"/>
      <c r="G188" s="197"/>
      <c r="H188" s="197"/>
      <c r="I188" s="197"/>
      <c r="J188" s="197"/>
      <c r="K188" s="197"/>
      <c r="L188" s="197"/>
      <c r="M188" s="197"/>
      <c r="N188" s="221"/>
      <c r="O188" s="221"/>
      <c r="P188" s="221"/>
      <c r="Q188" s="221"/>
    </row>
    <row r="189" ht="30" customHeight="1" spans="2:17">
      <c r="B189" s="227">
        <v>660206</v>
      </c>
      <c r="C189" s="418" t="s">
        <v>193</v>
      </c>
      <c r="D189" s="229"/>
      <c r="E189" s="230"/>
      <c r="F189" s="197"/>
      <c r="G189" s="197"/>
      <c r="H189" s="197"/>
      <c r="I189" s="197"/>
      <c r="J189" s="197"/>
      <c r="K189" s="197"/>
      <c r="L189" s="197"/>
      <c r="M189" s="197"/>
      <c r="N189" s="221"/>
      <c r="O189" s="221"/>
      <c r="P189" s="221"/>
      <c r="Q189" s="221"/>
    </row>
    <row r="190" ht="30" customHeight="1" spans="2:17">
      <c r="B190" s="245">
        <v>6603</v>
      </c>
      <c r="C190" s="419" t="s">
        <v>194</v>
      </c>
      <c r="D190" s="247"/>
      <c r="E190" s="248"/>
      <c r="F190" s="197"/>
      <c r="G190" s="197"/>
      <c r="H190" s="197"/>
      <c r="I190" s="197"/>
      <c r="J190" s="197"/>
      <c r="K190" s="197"/>
      <c r="L190" s="197"/>
      <c r="M190" s="197"/>
      <c r="N190" s="221"/>
      <c r="O190" s="221"/>
      <c r="P190" s="221"/>
      <c r="Q190" s="221"/>
    </row>
    <row r="191" ht="30" customHeight="1" spans="2:17">
      <c r="B191" s="245">
        <v>660301</v>
      </c>
      <c r="C191" s="419" t="s">
        <v>195</v>
      </c>
      <c r="D191" s="247"/>
      <c r="E191" s="248"/>
      <c r="F191" s="197"/>
      <c r="G191" s="197"/>
      <c r="H191" s="197"/>
      <c r="I191" s="197"/>
      <c r="J191" s="197"/>
      <c r="K191" s="197"/>
      <c r="L191" s="197"/>
      <c r="M191" s="197"/>
      <c r="N191" s="221"/>
      <c r="O191" s="221"/>
      <c r="P191" s="221"/>
      <c r="Q191" s="221"/>
    </row>
    <row r="192" ht="30" customHeight="1" spans="2:17">
      <c r="B192" s="245">
        <v>660302</v>
      </c>
      <c r="C192" s="419" t="s">
        <v>196</v>
      </c>
      <c r="D192" s="247"/>
      <c r="E192" s="248"/>
      <c r="F192" s="197"/>
      <c r="G192" s="197"/>
      <c r="H192" s="197"/>
      <c r="I192" s="197"/>
      <c r="J192" s="197"/>
      <c r="K192" s="197"/>
      <c r="L192" s="197"/>
      <c r="M192" s="197"/>
      <c r="N192" s="221"/>
      <c r="O192" s="221"/>
      <c r="P192" s="221"/>
      <c r="Q192" s="221"/>
    </row>
    <row r="193" ht="30" customHeight="1" spans="2:17">
      <c r="B193" s="245">
        <v>660303</v>
      </c>
      <c r="C193" s="419" t="s">
        <v>197</v>
      </c>
      <c r="D193" s="247"/>
      <c r="E193" s="248"/>
      <c r="F193" s="197"/>
      <c r="G193" s="197"/>
      <c r="H193" s="197"/>
      <c r="I193" s="197"/>
      <c r="J193" s="197"/>
      <c r="K193" s="197"/>
      <c r="L193" s="197"/>
      <c r="M193" s="197"/>
      <c r="N193" s="221"/>
      <c r="O193" s="221"/>
      <c r="P193" s="221"/>
      <c r="Q193" s="221"/>
    </row>
    <row r="194" ht="30" customHeight="1" spans="2:17">
      <c r="B194" s="202">
        <v>6604</v>
      </c>
      <c r="C194" s="402" t="s">
        <v>198</v>
      </c>
      <c r="D194" s="211"/>
      <c r="E194" s="205"/>
      <c r="F194" s="197"/>
      <c r="G194" s="197"/>
      <c r="H194" s="197"/>
      <c r="I194" s="197"/>
      <c r="J194" s="197"/>
      <c r="K194" s="197"/>
      <c r="L194" s="197"/>
      <c r="M194" s="197"/>
      <c r="N194" s="221"/>
      <c r="O194" s="221"/>
      <c r="P194" s="221"/>
      <c r="Q194" s="221"/>
    </row>
    <row r="195" ht="30" customHeight="1" spans="2:17">
      <c r="B195" s="202">
        <v>6701</v>
      </c>
      <c r="C195" s="402" t="s">
        <v>199</v>
      </c>
      <c r="D195" s="211"/>
      <c r="E195" s="205"/>
      <c r="F195" s="197"/>
      <c r="G195" s="197"/>
      <c r="H195" s="197"/>
      <c r="I195" s="197"/>
      <c r="J195" s="197"/>
      <c r="K195" s="197"/>
      <c r="L195" s="197"/>
      <c r="M195" s="197"/>
      <c r="N195" s="221"/>
      <c r="O195" s="221"/>
      <c r="P195" s="221"/>
      <c r="Q195" s="221"/>
    </row>
    <row r="196" ht="30" customHeight="1" spans="2:17">
      <c r="B196" s="231">
        <v>6711</v>
      </c>
      <c r="C196" s="420" t="s">
        <v>200</v>
      </c>
      <c r="D196" s="233"/>
      <c r="E196" s="234"/>
      <c r="F196" s="197"/>
      <c r="G196" s="197"/>
      <c r="H196" s="197"/>
      <c r="I196" s="197"/>
      <c r="J196" s="197"/>
      <c r="K196" s="197"/>
      <c r="L196" s="197"/>
      <c r="M196" s="197"/>
      <c r="N196" s="221"/>
      <c r="O196" s="221"/>
      <c r="P196" s="221"/>
      <c r="Q196" s="221"/>
    </row>
    <row r="197" ht="30" customHeight="1" spans="2:17">
      <c r="B197" s="231">
        <v>671101</v>
      </c>
      <c r="C197" s="420" t="s">
        <v>201</v>
      </c>
      <c r="D197" s="233"/>
      <c r="E197" s="234"/>
      <c r="F197" s="197"/>
      <c r="G197" s="197"/>
      <c r="H197" s="197"/>
      <c r="I197" s="197"/>
      <c r="J197" s="197"/>
      <c r="K197" s="197"/>
      <c r="L197" s="197"/>
      <c r="M197" s="197"/>
      <c r="N197" s="221"/>
      <c r="O197" s="221"/>
      <c r="P197" s="221"/>
      <c r="Q197" s="221"/>
    </row>
    <row r="198" ht="30" customHeight="1" spans="2:17">
      <c r="B198" s="231">
        <v>671102</v>
      </c>
      <c r="C198" s="420" t="s">
        <v>202</v>
      </c>
      <c r="D198" s="233"/>
      <c r="E198" s="234"/>
      <c r="F198" s="197"/>
      <c r="G198" s="197"/>
      <c r="H198" s="197"/>
      <c r="I198" s="197"/>
      <c r="J198" s="197"/>
      <c r="K198" s="197"/>
      <c r="L198" s="197"/>
      <c r="M198" s="197"/>
      <c r="N198" s="221"/>
      <c r="O198" s="221"/>
      <c r="P198" s="221"/>
      <c r="Q198" s="221"/>
    </row>
    <row r="199" ht="30" customHeight="1" spans="2:17">
      <c r="B199" s="202">
        <v>6801</v>
      </c>
      <c r="C199" s="402" t="s">
        <v>203</v>
      </c>
      <c r="D199" s="211"/>
      <c r="E199" s="205"/>
      <c r="F199" s="197"/>
      <c r="G199" s="197"/>
      <c r="H199" s="197"/>
      <c r="I199" s="197"/>
      <c r="J199" s="197"/>
      <c r="K199" s="197"/>
      <c r="L199" s="197"/>
      <c r="M199" s="197"/>
      <c r="N199" s="221"/>
      <c r="O199" s="221"/>
      <c r="P199" s="221"/>
      <c r="Q199" s="221"/>
    </row>
    <row r="200" ht="30" customHeight="1" spans="2:17">
      <c r="B200" s="202">
        <v>6901</v>
      </c>
      <c r="C200" s="402" t="s">
        <v>204</v>
      </c>
      <c r="D200" s="211"/>
      <c r="E200" s="205"/>
      <c r="F200" s="197"/>
      <c r="G200" s="197"/>
      <c r="H200" s="197"/>
      <c r="I200" s="197"/>
      <c r="J200" s="197"/>
      <c r="K200" s="197"/>
      <c r="L200" s="221"/>
      <c r="M200" s="221"/>
      <c r="N200" s="221"/>
      <c r="O200" s="221"/>
      <c r="P200" s="221"/>
      <c r="Q200" s="221"/>
    </row>
    <row r="201" ht="30" customHeight="1" spans="2:9">
      <c r="B201" s="249"/>
      <c r="C201" s="427" t="s">
        <v>208</v>
      </c>
      <c r="D201" s="251">
        <f>SUM(SUM(D7:D200))</f>
        <v>1000000</v>
      </c>
      <c r="E201" s="252">
        <f>SUM(E7:E200)</f>
        <v>1000000</v>
      </c>
      <c r="G201" s="16"/>
      <c r="H201" s="16"/>
      <c r="I201" s="16"/>
    </row>
    <row r="202" spans="2:9">
      <c r="B202" s="16"/>
      <c r="C202" s="16"/>
      <c r="D202" s="16"/>
      <c r="E202" s="16"/>
      <c r="G202" s="16"/>
      <c r="H202" s="16"/>
      <c r="I202" s="16"/>
    </row>
    <row r="203" spans="2:9">
      <c r="B203" s="16"/>
      <c r="C203" s="16"/>
      <c r="D203" s="16"/>
      <c r="E203" s="16"/>
      <c r="G203" s="16"/>
      <c r="H203" s="16"/>
      <c r="I203" s="16"/>
    </row>
    <row r="204" spans="2:9">
      <c r="B204" s="16"/>
      <c r="C204" s="16"/>
      <c r="D204" s="16"/>
      <c r="E204" s="16"/>
      <c r="G204" s="16"/>
      <c r="H204" s="16"/>
      <c r="I204" s="16"/>
    </row>
    <row r="205" spans="2:9">
      <c r="B205" s="16"/>
      <c r="C205" s="16"/>
      <c r="D205" s="16"/>
      <c r="E205" s="16"/>
      <c r="G205" s="16"/>
      <c r="H205" s="16"/>
      <c r="I205" s="16"/>
    </row>
    <row r="206" spans="2:9">
      <c r="B206" s="16"/>
      <c r="C206" s="16"/>
      <c r="D206" s="16"/>
      <c r="E206" s="16"/>
      <c r="G206" s="16"/>
      <c r="H206" s="16"/>
      <c r="I206" s="16"/>
    </row>
    <row r="207" spans="2:9">
      <c r="B207" s="16"/>
      <c r="C207" s="16"/>
      <c r="D207" s="16"/>
      <c r="E207" s="16"/>
      <c r="G207" s="16"/>
      <c r="H207" s="16"/>
      <c r="I207" s="16"/>
    </row>
    <row r="208" spans="2:9">
      <c r="B208" s="16"/>
      <c r="C208" s="16"/>
      <c r="D208" s="16"/>
      <c r="E208" s="16"/>
      <c r="G208" s="16"/>
      <c r="H208" s="16"/>
      <c r="I208" s="16"/>
    </row>
    <row r="209" spans="2:9">
      <c r="B209" s="16"/>
      <c r="C209" s="16"/>
      <c r="D209" s="16"/>
      <c r="E209" s="16"/>
      <c r="G209" s="16"/>
      <c r="H209" s="16"/>
      <c r="I209" s="16"/>
    </row>
    <row r="210" spans="2:9">
      <c r="B210" s="16"/>
      <c r="C210" s="16"/>
      <c r="D210" s="16"/>
      <c r="E210" s="16"/>
      <c r="G210" s="16"/>
      <c r="H210" s="16"/>
      <c r="I210" s="16"/>
    </row>
    <row r="211" spans="2:9">
      <c r="B211" s="16"/>
      <c r="C211" s="16"/>
      <c r="D211" s="16"/>
      <c r="E211" s="16"/>
      <c r="G211" s="16"/>
      <c r="H211" s="16"/>
      <c r="I211" s="16"/>
    </row>
    <row r="212" spans="2:9">
      <c r="B212" s="16"/>
      <c r="C212" s="16"/>
      <c r="D212" s="16"/>
      <c r="E212" s="16"/>
      <c r="G212" s="16"/>
      <c r="H212" s="16"/>
      <c r="I212" s="16"/>
    </row>
    <row r="213" spans="2:9">
      <c r="B213" s="16"/>
      <c r="C213" s="16"/>
      <c r="D213" s="16"/>
      <c r="E213" s="16"/>
      <c r="G213" s="16"/>
      <c r="H213" s="16"/>
      <c r="I213" s="16"/>
    </row>
    <row r="214" spans="2:9">
      <c r="B214" s="16"/>
      <c r="C214" s="16"/>
      <c r="D214" s="16"/>
      <c r="E214" s="16"/>
      <c r="G214" s="16"/>
      <c r="H214" s="16"/>
      <c r="I214" s="16"/>
    </row>
    <row r="215" spans="2:9">
      <c r="B215" s="16"/>
      <c r="C215" s="16"/>
      <c r="D215" s="16"/>
      <c r="E215" s="16"/>
      <c r="G215" s="16"/>
      <c r="H215" s="16"/>
      <c r="I215" s="16"/>
    </row>
    <row r="216" spans="2:9">
      <c r="B216" s="16"/>
      <c r="C216" s="16"/>
      <c r="D216" s="16"/>
      <c r="E216" s="16"/>
      <c r="G216" s="16"/>
      <c r="H216" s="16"/>
      <c r="I216" s="16"/>
    </row>
    <row r="217" spans="2:9">
      <c r="B217" s="16"/>
      <c r="C217" s="16"/>
      <c r="D217" s="16"/>
      <c r="E217" s="16"/>
      <c r="G217" s="16"/>
      <c r="H217" s="16"/>
      <c r="I217" s="16"/>
    </row>
    <row r="218" spans="2:9">
      <c r="B218" s="16"/>
      <c r="C218" s="16"/>
      <c r="D218" s="16"/>
      <c r="E218" s="16"/>
      <c r="G218" s="16"/>
      <c r="H218" s="16"/>
      <c r="I218" s="16"/>
    </row>
    <row r="219" spans="2:9">
      <c r="B219" s="16"/>
      <c r="C219" s="16"/>
      <c r="D219" s="16"/>
      <c r="E219" s="16"/>
      <c r="G219" s="16"/>
      <c r="H219" s="16"/>
      <c r="I219" s="16"/>
    </row>
    <row r="220" spans="2:9">
      <c r="B220" s="16"/>
      <c r="C220" s="16"/>
      <c r="D220" s="16"/>
      <c r="E220" s="16"/>
      <c r="G220" s="16"/>
      <c r="H220" s="16"/>
      <c r="I220" s="16"/>
    </row>
    <row r="221" spans="2:9">
      <c r="B221" s="16"/>
      <c r="C221" s="16"/>
      <c r="D221" s="16"/>
      <c r="E221" s="16"/>
      <c r="G221" s="16"/>
      <c r="H221" s="16"/>
      <c r="I221" s="16"/>
    </row>
    <row r="222" spans="2:9">
      <c r="B222" s="16"/>
      <c r="C222" s="16"/>
      <c r="D222" s="16"/>
      <c r="E222" s="16"/>
      <c r="G222" s="16"/>
      <c r="H222" s="16"/>
      <c r="I222" s="16"/>
    </row>
    <row r="223" spans="2:9">
      <c r="B223" s="16"/>
      <c r="C223" s="16"/>
      <c r="D223" s="16"/>
      <c r="E223" s="16"/>
      <c r="G223" s="16"/>
      <c r="H223" s="16"/>
      <c r="I223" s="16"/>
    </row>
    <row r="224" spans="2:9">
      <c r="B224" s="16"/>
      <c r="C224" s="16"/>
      <c r="D224" s="16"/>
      <c r="E224" s="16"/>
      <c r="G224" s="16"/>
      <c r="H224" s="16"/>
      <c r="I224" s="16"/>
    </row>
    <row r="225" spans="2:9">
      <c r="B225" s="16"/>
      <c r="C225" s="16"/>
      <c r="D225" s="16"/>
      <c r="E225" s="16"/>
      <c r="G225" s="16"/>
      <c r="H225" s="16"/>
      <c r="I225" s="16"/>
    </row>
    <row r="226" spans="2:9">
      <c r="B226" s="16"/>
      <c r="C226" s="16"/>
      <c r="D226" s="16"/>
      <c r="E226" s="16"/>
      <c r="G226" s="16"/>
      <c r="H226" s="16"/>
      <c r="I226" s="16"/>
    </row>
    <row r="227" spans="2:9">
      <c r="B227" s="16"/>
      <c r="C227" s="16"/>
      <c r="D227" s="16"/>
      <c r="E227" s="16"/>
      <c r="G227" s="16"/>
      <c r="H227" s="16"/>
      <c r="I227" s="16"/>
    </row>
    <row r="228" spans="2:9">
      <c r="B228" s="16"/>
      <c r="C228" s="16"/>
      <c r="D228" s="16"/>
      <c r="E228" s="16"/>
      <c r="G228" s="16"/>
      <c r="H228" s="16"/>
      <c r="I228" s="16"/>
    </row>
    <row r="229" spans="2:9">
      <c r="B229" s="16"/>
      <c r="C229" s="16"/>
      <c r="D229" s="16"/>
      <c r="E229" s="16"/>
      <c r="G229" s="16"/>
      <c r="H229" s="16"/>
      <c r="I229" s="16"/>
    </row>
    <row r="230" spans="2:9">
      <c r="B230" s="16"/>
      <c r="C230" s="16"/>
      <c r="D230" s="16"/>
      <c r="E230" s="16"/>
      <c r="G230" s="16"/>
      <c r="H230" s="16"/>
      <c r="I230" s="16"/>
    </row>
    <row r="231" spans="2:9">
      <c r="B231" s="16"/>
      <c r="C231" s="16"/>
      <c r="D231" s="16"/>
      <c r="E231" s="16"/>
      <c r="G231" s="16"/>
      <c r="H231" s="16"/>
      <c r="I231" s="16"/>
    </row>
    <row r="232" spans="2:9">
      <c r="B232" s="16"/>
      <c r="C232" s="16"/>
      <c r="D232" s="16"/>
      <c r="E232" s="16"/>
      <c r="G232" s="16"/>
      <c r="H232" s="16"/>
      <c r="I232" s="16"/>
    </row>
    <row r="233" spans="2:9">
      <c r="B233" s="16"/>
      <c r="C233" s="16"/>
      <c r="D233" s="16"/>
      <c r="E233" s="16"/>
      <c r="G233" s="16"/>
      <c r="H233" s="16"/>
      <c r="I233" s="16"/>
    </row>
    <row r="234" spans="2:9">
      <c r="B234" s="16"/>
      <c r="C234" s="16"/>
      <c r="D234" s="16"/>
      <c r="E234" s="16"/>
      <c r="G234" s="16"/>
      <c r="H234" s="16"/>
      <c r="I234" s="16"/>
    </row>
    <row r="235" spans="2:9">
      <c r="B235" s="16"/>
      <c r="C235" s="16"/>
      <c r="D235" s="16"/>
      <c r="E235" s="16"/>
      <c r="G235" s="16"/>
      <c r="H235" s="16"/>
      <c r="I235" s="16"/>
    </row>
    <row r="236" spans="2:9">
      <c r="B236" s="16"/>
      <c r="C236" s="16"/>
      <c r="D236" s="16"/>
      <c r="E236" s="16"/>
      <c r="G236" s="16"/>
      <c r="H236" s="16"/>
      <c r="I236" s="16"/>
    </row>
    <row r="237" spans="2:9">
      <c r="B237" s="16"/>
      <c r="C237" s="16"/>
      <c r="D237" s="16"/>
      <c r="E237" s="16"/>
      <c r="G237" s="16"/>
      <c r="H237" s="16"/>
      <c r="I237" s="16"/>
    </row>
    <row r="238" spans="2:9">
      <c r="B238" s="16"/>
      <c r="C238" s="16"/>
      <c r="D238" s="16"/>
      <c r="E238" s="16"/>
      <c r="G238" s="16"/>
      <c r="H238" s="16"/>
      <c r="I238" s="16"/>
    </row>
    <row r="239" spans="2:9">
      <c r="B239" s="16"/>
      <c r="C239" s="16"/>
      <c r="D239" s="16"/>
      <c r="E239" s="16"/>
      <c r="G239" s="16"/>
      <c r="H239" s="16"/>
      <c r="I239" s="16"/>
    </row>
    <row r="240" spans="2:9">
      <c r="B240" s="16"/>
      <c r="C240" s="16"/>
      <c r="D240" s="16"/>
      <c r="E240" s="16"/>
      <c r="G240" s="16"/>
      <c r="H240" s="16"/>
      <c r="I240" s="16"/>
    </row>
    <row r="241" spans="2:9">
      <c r="B241" s="16"/>
      <c r="C241" s="16"/>
      <c r="D241" s="16"/>
      <c r="E241" s="16"/>
      <c r="G241" s="16"/>
      <c r="H241" s="16"/>
      <c r="I241" s="16"/>
    </row>
    <row r="242" spans="2:9">
      <c r="B242" s="16"/>
      <c r="C242" s="16"/>
      <c r="D242" s="16"/>
      <c r="E242" s="16"/>
      <c r="G242" s="16"/>
      <c r="H242" s="16"/>
      <c r="I242" s="16"/>
    </row>
    <row r="243" spans="2:9">
      <c r="B243" s="16"/>
      <c r="C243" s="16"/>
      <c r="D243" s="16"/>
      <c r="E243" s="16"/>
      <c r="G243" s="16"/>
      <c r="H243" s="16"/>
      <c r="I243" s="16"/>
    </row>
    <row r="244" spans="2:9">
      <c r="B244" s="16"/>
      <c r="C244" s="16"/>
      <c r="D244" s="16"/>
      <c r="E244" s="16"/>
      <c r="G244" s="16"/>
      <c r="H244" s="16"/>
      <c r="I244" s="16"/>
    </row>
    <row r="245" spans="2:9">
      <c r="B245" s="16"/>
      <c r="C245" s="16"/>
      <c r="D245" s="16"/>
      <c r="E245" s="16"/>
      <c r="G245" s="16"/>
      <c r="H245" s="16"/>
      <c r="I245" s="16"/>
    </row>
    <row r="246" spans="2:9">
      <c r="B246" s="16"/>
      <c r="C246" s="16"/>
      <c r="D246" s="16"/>
      <c r="E246" s="16"/>
      <c r="G246" s="16"/>
      <c r="H246" s="16"/>
      <c r="I246" s="16"/>
    </row>
    <row r="247" spans="2:9">
      <c r="B247" s="16"/>
      <c r="C247" s="16"/>
      <c r="D247" s="16"/>
      <c r="E247" s="16"/>
      <c r="G247" s="16"/>
      <c r="H247" s="16"/>
      <c r="I247" s="16"/>
    </row>
    <row r="248" spans="2:9">
      <c r="B248" s="16"/>
      <c r="C248" s="16"/>
      <c r="D248" s="16"/>
      <c r="E248" s="16"/>
      <c r="G248" s="16"/>
      <c r="H248" s="16"/>
      <c r="I248" s="16"/>
    </row>
    <row r="249" spans="2:9">
      <c r="B249" s="16"/>
      <c r="C249" s="16"/>
      <c r="D249" s="16"/>
      <c r="E249" s="16"/>
      <c r="G249" s="16"/>
      <c r="H249" s="16"/>
      <c r="I249" s="16"/>
    </row>
    <row r="250" spans="2:9">
      <c r="B250" s="16"/>
      <c r="C250" s="16"/>
      <c r="D250" s="16"/>
      <c r="E250" s="16"/>
      <c r="G250" s="16"/>
      <c r="H250" s="16"/>
      <c r="I250" s="16"/>
    </row>
    <row r="251" spans="2:9">
      <c r="B251" s="16"/>
      <c r="C251" s="16"/>
      <c r="D251" s="16"/>
      <c r="E251" s="16"/>
      <c r="G251" s="16"/>
      <c r="H251" s="16"/>
      <c r="I251" s="16"/>
    </row>
    <row r="252" spans="2:9">
      <c r="B252" s="16"/>
      <c r="C252" s="16"/>
      <c r="D252" s="16"/>
      <c r="E252" s="16"/>
      <c r="G252" s="16"/>
      <c r="H252" s="16"/>
      <c r="I252" s="16"/>
    </row>
    <row r="253" spans="2:9">
      <c r="B253" s="16"/>
      <c r="C253" s="16"/>
      <c r="D253" s="16"/>
      <c r="E253" s="16"/>
      <c r="G253" s="16"/>
      <c r="H253" s="16"/>
      <c r="I253" s="16"/>
    </row>
    <row r="254" spans="2:9">
      <c r="B254" s="16"/>
      <c r="C254" s="16"/>
      <c r="D254" s="16"/>
      <c r="E254" s="16"/>
      <c r="G254" s="16"/>
      <c r="H254" s="16"/>
      <c r="I254" s="16"/>
    </row>
    <row r="255" spans="2:9">
      <c r="B255" s="16"/>
      <c r="C255" s="16"/>
      <c r="D255" s="16"/>
      <c r="E255" s="16"/>
      <c r="G255" s="16"/>
      <c r="H255" s="16"/>
      <c r="I255" s="16"/>
    </row>
    <row r="256" spans="2:9">
      <c r="B256" s="16"/>
      <c r="C256" s="16"/>
      <c r="D256" s="16"/>
      <c r="E256" s="16"/>
      <c r="G256" s="16"/>
      <c r="H256" s="16"/>
      <c r="I256" s="16"/>
    </row>
    <row r="257" spans="2:9">
      <c r="B257" s="16"/>
      <c r="C257" s="16"/>
      <c r="D257" s="16"/>
      <c r="E257" s="16"/>
      <c r="G257" s="16"/>
      <c r="H257" s="16"/>
      <c r="I257" s="16"/>
    </row>
    <row r="258" spans="2:9">
      <c r="B258" s="16"/>
      <c r="C258" s="16"/>
      <c r="D258" s="16"/>
      <c r="E258" s="16"/>
      <c r="G258" s="16"/>
      <c r="H258" s="16"/>
      <c r="I258" s="16"/>
    </row>
    <row r="259" spans="2:9">
      <c r="B259" s="16"/>
      <c r="C259" s="16"/>
      <c r="D259" s="16"/>
      <c r="E259" s="16"/>
      <c r="G259" s="16"/>
      <c r="H259" s="16"/>
      <c r="I259" s="16"/>
    </row>
    <row r="260" spans="2:9">
      <c r="B260" s="16"/>
      <c r="C260" s="16"/>
      <c r="D260" s="16"/>
      <c r="E260" s="16"/>
      <c r="G260" s="16"/>
      <c r="H260" s="16"/>
      <c r="I260" s="16"/>
    </row>
    <row r="261" spans="2:9">
      <c r="B261" s="16"/>
      <c r="C261" s="16"/>
      <c r="D261" s="16"/>
      <c r="E261" s="16"/>
      <c r="G261" s="16"/>
      <c r="H261" s="16"/>
      <c r="I261" s="16"/>
    </row>
    <row r="262" spans="2:9">
      <c r="B262" s="16"/>
      <c r="C262" s="16"/>
      <c r="D262" s="16"/>
      <c r="E262" s="16"/>
      <c r="G262" s="16"/>
      <c r="H262" s="16"/>
      <c r="I262" s="16"/>
    </row>
  </sheetData>
  <mergeCells count="2">
    <mergeCell ref="B1:E5"/>
    <mergeCell ref="G1:I6"/>
  </mergeCells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6</xdr:col>
                <xdr:colOff>457200</xdr:colOff>
                <xdr:row>0</xdr:row>
                <xdr:rowOff>161925</xdr:rowOff>
              </from>
              <to>
                <xdr:col>8</xdr:col>
                <xdr:colOff>133350</xdr:colOff>
                <xdr:row>3</xdr:row>
                <xdr:rowOff>19050</xdr:rowOff>
              </to>
            </anchor>
          </controlPr>
        </control>
      </mc:Choice>
      <mc:Fallback>
        <control shapeId="2049" r:id="rId3" name="CommandButton1"/>
      </mc:Fallback>
    </mc:AlternateContent>
    <mc:AlternateContent xmlns:mc="http://schemas.openxmlformats.org/markup-compatibility/2006">
      <mc:Choice Requires="x14">
        <control shapeId="2050" r:id="rId5" name="CommandButton2">
          <controlPr defaultSize="0" r:id="rId6">
            <anchor moveWithCells="1">
              <from>
                <xdr:col>6</xdr:col>
                <xdr:colOff>476250</xdr:colOff>
                <xdr:row>4</xdr:row>
                <xdr:rowOff>9525</xdr:rowOff>
              </from>
              <to>
                <xdr:col>8</xdr:col>
                <xdr:colOff>152400</xdr:colOff>
                <xdr:row>5</xdr:row>
                <xdr:rowOff>209550</xdr:rowOff>
              </to>
            </anchor>
          </controlPr>
        </control>
      </mc:Choice>
      <mc:Fallback>
        <control shapeId="2050" r:id="rId5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U55"/>
  <sheetViews>
    <sheetView workbookViewId="0">
      <selection activeCell="D3" sqref="D3"/>
    </sheetView>
  </sheetViews>
  <sheetFormatPr defaultColWidth="9" defaultRowHeight="14.25"/>
  <cols>
    <col min="1" max="1" width="9" style="16"/>
    <col min="2" max="2" width="24" customWidth="1"/>
    <col min="3" max="3" width="18" customWidth="1"/>
    <col min="4" max="4" width="28.75" style="128" customWidth="1"/>
    <col min="5" max="5" width="4.5" customWidth="1"/>
    <col min="6" max="6" width="8.25" customWidth="1"/>
    <col min="7" max="7" width="4.5" customWidth="1"/>
    <col min="8" max="8" width="8.125" customWidth="1"/>
    <col min="9" max="9" width="4.75" customWidth="1"/>
    <col min="10" max="10" width="8.5" customWidth="1"/>
    <col min="11" max="16" width="4.125" customWidth="1"/>
    <col min="18" max="21" width="9" style="16"/>
  </cols>
  <sheetData>
    <row r="1" spans="1:17">
      <c r="A1" s="129"/>
      <c r="B1" s="130" t="s">
        <v>209</v>
      </c>
      <c r="C1" s="131"/>
      <c r="D1" s="132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79"/>
    </row>
    <row r="2" ht="79" customHeight="1" spans="1:17">
      <c r="A2" s="133"/>
      <c r="B2" s="134"/>
      <c r="C2" s="134"/>
      <c r="D2" s="135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69"/>
    </row>
    <row r="3" s="127" customFormat="1" ht="36" customHeight="1" spans="1:21">
      <c r="A3" s="136"/>
      <c r="B3" s="137" t="s">
        <v>210</v>
      </c>
      <c r="C3" s="183" t="s">
        <v>211</v>
      </c>
      <c r="D3" s="139"/>
      <c r="E3" s="140" t="s">
        <v>212</v>
      </c>
      <c r="F3" s="141"/>
      <c r="G3" s="140" t="s">
        <v>213</v>
      </c>
      <c r="H3" s="141"/>
      <c r="I3" s="137" t="s">
        <v>214</v>
      </c>
      <c r="J3" s="166" t="s">
        <v>215</v>
      </c>
      <c r="K3" s="166"/>
      <c r="L3" s="166"/>
      <c r="M3" s="167"/>
      <c r="N3" s="166"/>
      <c r="O3" s="166"/>
      <c r="P3" s="167"/>
      <c r="Q3" s="180"/>
      <c r="R3" s="180"/>
      <c r="S3" s="181"/>
      <c r="T3" s="181"/>
      <c r="U3" s="181"/>
    </row>
    <row r="4" customFormat="1" ht="26" customHeight="1" spans="1:21">
      <c r="A4" s="133"/>
      <c r="B4" s="142" t="s">
        <v>216</v>
      </c>
      <c r="C4" s="143" t="s">
        <v>217</v>
      </c>
      <c r="D4" s="144"/>
      <c r="E4" s="145" t="s">
        <v>218</v>
      </c>
      <c r="F4" s="146"/>
      <c r="G4" s="146"/>
      <c r="H4" s="146"/>
      <c r="I4" s="170"/>
      <c r="J4" s="171" t="s">
        <v>219</v>
      </c>
      <c r="K4" s="171"/>
      <c r="L4" s="171"/>
      <c r="M4" s="171"/>
      <c r="N4" s="171"/>
      <c r="O4" s="171"/>
      <c r="P4" s="172"/>
      <c r="Q4" s="182"/>
      <c r="R4" s="16"/>
      <c r="S4" s="16"/>
      <c r="T4" s="16"/>
      <c r="U4" s="16"/>
    </row>
    <row r="5" customFormat="1" ht="26" customHeight="1" spans="1:21">
      <c r="A5" s="133"/>
      <c r="B5" s="147"/>
      <c r="C5" s="148" t="s">
        <v>220</v>
      </c>
      <c r="D5" s="148" t="s">
        <v>9</v>
      </c>
      <c r="E5" s="149"/>
      <c r="F5" s="149"/>
      <c r="G5" s="149"/>
      <c r="H5" s="149"/>
      <c r="I5" s="173"/>
      <c r="J5" s="143"/>
      <c r="K5" s="143"/>
      <c r="L5" s="143"/>
      <c r="M5" s="143"/>
      <c r="N5" s="143"/>
      <c r="O5" s="143"/>
      <c r="P5" s="148"/>
      <c r="Q5" s="69"/>
      <c r="R5" s="69"/>
      <c r="S5" s="16"/>
      <c r="T5" s="16"/>
      <c r="U5" s="16"/>
    </row>
    <row r="6" customFormat="1" ht="26" customHeight="1" spans="1:21">
      <c r="A6" s="133"/>
      <c r="B6" s="184"/>
      <c r="C6" s="185"/>
      <c r="D6" s="186"/>
      <c r="E6" s="149"/>
      <c r="F6" s="149"/>
      <c r="G6" s="149"/>
      <c r="H6" s="149"/>
      <c r="I6" s="147"/>
      <c r="J6" s="149"/>
      <c r="K6" s="149"/>
      <c r="L6" s="149"/>
      <c r="M6" s="149"/>
      <c r="N6" s="149"/>
      <c r="O6" s="149"/>
      <c r="P6" s="147"/>
      <c r="Q6" s="69"/>
      <c r="R6" s="69"/>
      <c r="S6" s="16"/>
      <c r="T6" s="16"/>
      <c r="U6" s="16"/>
    </row>
    <row r="7" customFormat="1" ht="26" customHeight="1" spans="1:21">
      <c r="A7" s="133"/>
      <c r="B7" s="187"/>
      <c r="C7" s="188"/>
      <c r="D7" s="139"/>
      <c r="E7" s="149"/>
      <c r="F7" s="149"/>
      <c r="G7" s="149"/>
      <c r="H7" s="149"/>
      <c r="I7" s="147"/>
      <c r="J7" s="149"/>
      <c r="K7" s="149"/>
      <c r="L7" s="149"/>
      <c r="M7" s="149"/>
      <c r="N7" s="149"/>
      <c r="O7" s="149"/>
      <c r="P7" s="147"/>
      <c r="Q7" s="69"/>
      <c r="R7" s="69"/>
      <c r="S7" s="16"/>
      <c r="T7" s="16"/>
      <c r="U7" s="16"/>
    </row>
    <row r="8" customFormat="1" ht="26" customHeight="1" spans="1:21">
      <c r="A8" s="133"/>
      <c r="B8" s="187"/>
      <c r="C8" s="188"/>
      <c r="D8" s="139"/>
      <c r="E8" s="149"/>
      <c r="F8" s="149"/>
      <c r="G8" s="149"/>
      <c r="H8" s="149"/>
      <c r="I8" s="147"/>
      <c r="J8" s="149"/>
      <c r="K8" s="149"/>
      <c r="L8" s="149"/>
      <c r="M8" s="149"/>
      <c r="N8" s="149"/>
      <c r="O8" s="149"/>
      <c r="P8" s="147"/>
      <c r="Q8" s="69"/>
      <c r="R8" s="69"/>
      <c r="S8" s="16"/>
      <c r="T8" s="16"/>
      <c r="U8" s="16"/>
    </row>
    <row r="9" customFormat="1" ht="26" customHeight="1" spans="1:21">
      <c r="A9" s="133"/>
      <c r="B9" s="187"/>
      <c r="C9" s="188"/>
      <c r="D9" s="139"/>
      <c r="E9" s="149"/>
      <c r="F9" s="149"/>
      <c r="G9" s="149"/>
      <c r="H9" s="149"/>
      <c r="I9" s="147"/>
      <c r="J9" s="149"/>
      <c r="K9" s="149"/>
      <c r="L9" s="149"/>
      <c r="M9" s="149"/>
      <c r="N9" s="149"/>
      <c r="O9" s="149"/>
      <c r="P9" s="147"/>
      <c r="Q9" s="69"/>
      <c r="R9" s="69"/>
      <c r="S9" s="16"/>
      <c r="T9" s="16"/>
      <c r="U9" s="16"/>
    </row>
    <row r="10" customFormat="1" ht="26" customHeight="1" spans="1:21">
      <c r="A10" s="133"/>
      <c r="B10" s="187"/>
      <c r="C10" s="188"/>
      <c r="D10" s="139"/>
      <c r="E10" s="149"/>
      <c r="F10" s="149"/>
      <c r="G10" s="149"/>
      <c r="H10" s="149"/>
      <c r="I10" s="147"/>
      <c r="J10" s="149"/>
      <c r="K10" s="149"/>
      <c r="L10" s="149"/>
      <c r="M10" s="149"/>
      <c r="N10" s="149"/>
      <c r="O10" s="149"/>
      <c r="P10" s="147"/>
      <c r="Q10" s="69"/>
      <c r="R10" s="69"/>
      <c r="S10" s="16"/>
      <c r="T10" s="16"/>
      <c r="U10" s="16"/>
    </row>
    <row r="11" customFormat="1" ht="26" customHeight="1" spans="1:21">
      <c r="A11" s="133"/>
      <c r="B11" s="187"/>
      <c r="C11" s="188"/>
      <c r="D11" s="139"/>
      <c r="E11" s="149"/>
      <c r="F11" s="149"/>
      <c r="G11" s="149"/>
      <c r="H11" s="149"/>
      <c r="I11" s="147"/>
      <c r="J11" s="149"/>
      <c r="K11" s="149"/>
      <c r="L11" s="149"/>
      <c r="M11" s="149"/>
      <c r="N11" s="149"/>
      <c r="O11" s="149"/>
      <c r="P11" s="147"/>
      <c r="Q11" s="69"/>
      <c r="R11" s="69"/>
      <c r="S11" s="16"/>
      <c r="T11" s="16"/>
      <c r="U11" s="16"/>
    </row>
    <row r="12" customFormat="1" ht="26" customHeight="1" spans="1:21">
      <c r="A12" s="133"/>
      <c r="B12" s="184"/>
      <c r="C12" s="185"/>
      <c r="D12" s="186"/>
      <c r="E12" s="149"/>
      <c r="F12" s="149"/>
      <c r="G12" s="149"/>
      <c r="H12" s="149"/>
      <c r="I12" s="147"/>
      <c r="J12" s="149"/>
      <c r="K12" s="149"/>
      <c r="L12" s="149"/>
      <c r="M12" s="149"/>
      <c r="N12" s="149"/>
      <c r="O12" s="149"/>
      <c r="P12" s="147"/>
      <c r="Q12" s="69"/>
      <c r="R12" s="69"/>
      <c r="S12" s="16"/>
      <c r="T12" s="16"/>
      <c r="U12" s="16"/>
    </row>
    <row r="13" customFormat="1" ht="26" customHeight="1" spans="1:21">
      <c r="A13" s="133"/>
      <c r="B13" s="157" t="s">
        <v>208</v>
      </c>
      <c r="C13" s="158"/>
      <c r="D13" s="159"/>
      <c r="E13" s="189">
        <f>SUM(E6:H12)</f>
        <v>0</v>
      </c>
      <c r="F13" s="189"/>
      <c r="G13" s="189"/>
      <c r="H13" s="189"/>
      <c r="I13" s="190"/>
      <c r="J13" s="191">
        <f>SUM(J6:N12)</f>
        <v>0</v>
      </c>
      <c r="K13" s="191"/>
      <c r="L13" s="191"/>
      <c r="M13" s="191"/>
      <c r="N13" s="191"/>
      <c r="O13" s="191"/>
      <c r="P13" s="192"/>
      <c r="Q13" s="69"/>
      <c r="R13" s="69"/>
      <c r="S13" s="16"/>
      <c r="T13" s="16"/>
      <c r="U13" s="16"/>
    </row>
    <row r="14" ht="25" customHeight="1" spans="2:17">
      <c r="B14" s="161" t="s">
        <v>221</v>
      </c>
      <c r="C14" s="162" t="s">
        <v>5</v>
      </c>
      <c r="D14" s="163"/>
      <c r="E14" s="164" t="s">
        <v>222</v>
      </c>
      <c r="F14" s="165"/>
      <c r="G14" s="164" t="s">
        <v>223</v>
      </c>
      <c r="H14" s="165"/>
      <c r="I14" s="164" t="s">
        <v>224</v>
      </c>
      <c r="J14" s="178" t="s">
        <v>225</v>
      </c>
      <c r="K14" s="69"/>
      <c r="L14" s="69"/>
      <c r="M14" s="69"/>
      <c r="N14" s="69"/>
      <c r="O14" s="69"/>
      <c r="P14" s="69"/>
      <c r="Q14" s="69"/>
    </row>
    <row r="15" spans="2:17">
      <c r="B15" s="16"/>
      <c r="C15" s="16"/>
      <c r="D15" s="163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</row>
    <row r="16" spans="2:17">
      <c r="B16" s="16"/>
      <c r="C16" s="16"/>
      <c r="D16" s="163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</row>
    <row r="17" spans="2:17">
      <c r="B17" s="16"/>
      <c r="C17" s="16"/>
      <c r="D17" s="163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</row>
    <row r="18" spans="2:17">
      <c r="B18" s="16"/>
      <c r="C18" s="16"/>
      <c r="D18" s="163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</row>
    <row r="19" spans="2:17">
      <c r="B19" s="16"/>
      <c r="C19" s="16"/>
      <c r="D19" s="163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</row>
    <row r="20" spans="2:17">
      <c r="B20" s="16"/>
      <c r="C20" s="16"/>
      <c r="D20" s="163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</row>
    <row r="21" spans="2:17">
      <c r="B21" s="16"/>
      <c r="C21" s="16"/>
      <c r="D21" s="163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3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3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>
      <c r="B24" s="16"/>
      <c r="C24" s="16"/>
      <c r="D24" s="163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3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2:17">
      <c r="B26" s="16"/>
      <c r="C26" s="16"/>
      <c r="D26" s="163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2:17">
      <c r="B27" s="16"/>
      <c r="C27" s="16"/>
      <c r="D27" s="163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2:17">
      <c r="B28" s="16"/>
      <c r="C28" s="16"/>
      <c r="D28" s="163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2:17">
      <c r="B29" s="16"/>
      <c r="C29" s="16"/>
      <c r="D29" s="163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2:17">
      <c r="B30" s="16"/>
      <c r="C30" s="16"/>
      <c r="D30" s="163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2:17">
      <c r="B31" s="16"/>
      <c r="C31" s="16"/>
      <c r="D31" s="163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2:17">
      <c r="B32" s="16"/>
      <c r="C32" s="16"/>
      <c r="D32" s="163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3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3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3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3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3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3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3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3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3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3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3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3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3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3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3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3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3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3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>
      <c r="B51" s="16"/>
      <c r="C51" s="16"/>
      <c r="D51" s="163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  <row r="52" spans="2:17">
      <c r="B52" s="16"/>
      <c r="C52" s="16"/>
      <c r="D52" s="163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</row>
    <row r="53" spans="2:17">
      <c r="B53" s="16"/>
      <c r="C53" s="16"/>
      <c r="D53" s="163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</row>
    <row r="54" spans="2:17">
      <c r="B54" s="16"/>
      <c r="C54" s="16"/>
      <c r="D54" s="163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</row>
    <row r="55" spans="2:17">
      <c r="B55" s="16"/>
      <c r="C55" s="16"/>
      <c r="D55" s="163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</row>
  </sheetData>
  <mergeCells count="24">
    <mergeCell ref="J3:M3"/>
    <mergeCell ref="N3:P3"/>
    <mergeCell ref="C4:D4"/>
    <mergeCell ref="E6:I6"/>
    <mergeCell ref="J6:P6"/>
    <mergeCell ref="E7:I7"/>
    <mergeCell ref="J7:P7"/>
    <mergeCell ref="E8:I8"/>
    <mergeCell ref="J8:P8"/>
    <mergeCell ref="E9:I9"/>
    <mergeCell ref="J9:P9"/>
    <mergeCell ref="E10:I10"/>
    <mergeCell ref="J10:P10"/>
    <mergeCell ref="E11:I11"/>
    <mergeCell ref="J11:P11"/>
    <mergeCell ref="E12:I12"/>
    <mergeCell ref="J12:P12"/>
    <mergeCell ref="C13:D13"/>
    <mergeCell ref="E13:I13"/>
    <mergeCell ref="J13:P13"/>
    <mergeCell ref="B4:B5"/>
    <mergeCell ref="E4:I5"/>
    <mergeCell ref="B1:P2"/>
    <mergeCell ref="J4:P5"/>
  </mergeCells>
  <dataValidations count="1">
    <dataValidation type="list" allowBlank="1" showInputMessage="1" showErrorMessage="1" sqref="C3">
      <formula1>"收款凭证,付款凭证,转账凭证"</formula1>
    </dataValidation>
  </dataValidations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r:id="rId4">
            <anchor moveWithCells="1">
              <from>
                <xdr:col>16</xdr:col>
                <xdr:colOff>504825</xdr:colOff>
                <xdr:row>1</xdr:row>
                <xdr:rowOff>704850</xdr:rowOff>
              </from>
              <to>
                <xdr:col>18</xdr:col>
                <xdr:colOff>504825</xdr:colOff>
                <xdr:row>2</xdr:row>
                <xdr:rowOff>104775</xdr:rowOff>
              </to>
            </anchor>
          </controlPr>
        </control>
      </mc:Choice>
      <mc:Fallback>
        <control shapeId="10241" r:id="rId3" name="CommandButton1"/>
      </mc:Fallback>
    </mc:AlternateContent>
    <mc:AlternateContent xmlns:mc="http://schemas.openxmlformats.org/markup-compatibility/2006">
      <mc:Choice Requires="x14">
        <control shapeId="10242" r:id="rId5" name="CommandButton2">
          <controlPr defaultSize="0" r:id="rId6">
            <anchor moveWithCells="1">
              <from>
                <xdr:col>16</xdr:col>
                <xdr:colOff>508000</xdr:colOff>
                <xdr:row>2</xdr:row>
                <xdr:rowOff>384175</xdr:rowOff>
              </from>
              <to>
                <xdr:col>18</xdr:col>
                <xdr:colOff>508000</xdr:colOff>
                <xdr:row>4</xdr:row>
                <xdr:rowOff>0</xdr:rowOff>
              </to>
            </anchor>
          </controlPr>
        </control>
      </mc:Choice>
      <mc:Fallback>
        <control shapeId="10242" r:id="rId5" name="CommandButton2"/>
      </mc:Fallback>
    </mc:AlternateContent>
    <mc:AlternateContent xmlns:mc="http://schemas.openxmlformats.org/markup-compatibility/2006">
      <mc:Choice Requires="x14">
        <control shapeId="10243" r:id="rId7" name="CommandButton3">
          <controlPr defaultSize="0" r:id="rId8">
            <anchor moveWithCells="1">
              <from>
                <xdr:col>16</xdr:col>
                <xdr:colOff>511175</xdr:colOff>
                <xdr:row>5</xdr:row>
                <xdr:rowOff>15875</xdr:rowOff>
              </from>
              <to>
                <xdr:col>18</xdr:col>
                <xdr:colOff>511175</xdr:colOff>
                <xdr:row>6</xdr:row>
                <xdr:rowOff>88900</xdr:rowOff>
              </to>
            </anchor>
          </controlPr>
        </control>
      </mc:Choice>
      <mc:Fallback>
        <control shapeId="10243" r:id="rId7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U151"/>
  <sheetViews>
    <sheetView workbookViewId="0">
      <selection activeCell="A1" sqref="A1"/>
    </sheetView>
  </sheetViews>
  <sheetFormatPr defaultColWidth="9" defaultRowHeight="14.25"/>
  <cols>
    <col min="1" max="1" width="9" style="16"/>
    <col min="2" max="2" width="24" customWidth="1"/>
    <col min="3" max="3" width="18" customWidth="1"/>
    <col min="4" max="4" width="28.75" style="128" customWidth="1"/>
    <col min="5" max="5" width="4.5" customWidth="1"/>
    <col min="6" max="6" width="8.25" customWidth="1"/>
    <col min="7" max="7" width="4.5" customWidth="1"/>
    <col min="8" max="8" width="8.75" customWidth="1"/>
    <col min="9" max="9" width="4.75" customWidth="1"/>
    <col min="10" max="10" width="8.5" customWidth="1"/>
    <col min="11" max="12" width="4.125" customWidth="1"/>
    <col min="13" max="13" width="2.125" customWidth="1"/>
    <col min="14" max="15" width="4.125" customWidth="1"/>
    <col min="16" max="16" width="7.375" customWidth="1"/>
    <col min="18" max="21" width="9" style="16"/>
  </cols>
  <sheetData>
    <row r="1" customFormat="1" spans="1:21">
      <c r="A1" s="129"/>
      <c r="B1" s="130" t="s">
        <v>209</v>
      </c>
      <c r="C1" s="131"/>
      <c r="D1" s="132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79"/>
      <c r="R1" s="16"/>
      <c r="S1" s="16"/>
      <c r="T1" s="16"/>
      <c r="U1" s="16"/>
    </row>
    <row r="2" customFormat="1" ht="79" customHeight="1" spans="1:21">
      <c r="A2" s="133"/>
      <c r="B2" s="134"/>
      <c r="C2" s="134"/>
      <c r="D2" s="135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69"/>
      <c r="R2" s="16"/>
      <c r="S2" s="16"/>
      <c r="T2" s="16"/>
      <c r="U2" s="16"/>
    </row>
    <row r="3" s="127" customFormat="1" ht="36" customHeight="1" spans="1:21">
      <c r="A3" s="136"/>
      <c r="B3" s="137" t="s">
        <v>210</v>
      </c>
      <c r="C3" s="138" t="s">
        <v>211</v>
      </c>
      <c r="D3" s="139"/>
      <c r="E3" s="140" t="s">
        <v>212</v>
      </c>
      <c r="F3" s="141"/>
      <c r="G3" s="140" t="s">
        <v>213</v>
      </c>
      <c r="H3" s="141"/>
      <c r="I3" s="137" t="s">
        <v>214</v>
      </c>
      <c r="J3" s="166"/>
      <c r="K3" s="166"/>
      <c r="L3" s="166"/>
      <c r="M3" s="167"/>
      <c r="N3" s="168">
        <v>5</v>
      </c>
      <c r="O3" s="168"/>
      <c r="P3" s="169"/>
      <c r="Q3" s="180"/>
      <c r="R3" s="180"/>
      <c r="S3" s="181"/>
      <c r="T3" s="181"/>
      <c r="U3" s="181">
        <v>5</v>
      </c>
    </row>
    <row r="4" customFormat="1" ht="26" customHeight="1" spans="1:21">
      <c r="A4" s="133"/>
      <c r="B4" s="142" t="s">
        <v>216</v>
      </c>
      <c r="C4" s="143" t="s">
        <v>217</v>
      </c>
      <c r="D4" s="144"/>
      <c r="E4" s="145" t="s">
        <v>218</v>
      </c>
      <c r="F4" s="146"/>
      <c r="G4" s="146"/>
      <c r="H4" s="146"/>
      <c r="I4" s="170"/>
      <c r="J4" s="171" t="s">
        <v>219</v>
      </c>
      <c r="K4" s="171"/>
      <c r="L4" s="171"/>
      <c r="M4" s="171"/>
      <c r="N4" s="171"/>
      <c r="O4" s="171"/>
      <c r="P4" s="172"/>
      <c r="Q4" s="182"/>
      <c r="R4" s="16"/>
      <c r="S4" s="16"/>
      <c r="T4" s="16"/>
      <c r="U4" s="16"/>
    </row>
    <row r="5" customFormat="1" ht="26" customHeight="1" spans="1:21">
      <c r="A5" s="133"/>
      <c r="B5" s="147"/>
      <c r="C5" s="148" t="s">
        <v>220</v>
      </c>
      <c r="D5" s="148" t="s">
        <v>9</v>
      </c>
      <c r="E5" s="149"/>
      <c r="F5" s="149"/>
      <c r="G5" s="149"/>
      <c r="H5" s="149"/>
      <c r="I5" s="173"/>
      <c r="J5" s="143"/>
      <c r="K5" s="143"/>
      <c r="L5" s="143"/>
      <c r="M5" s="143"/>
      <c r="N5" s="143"/>
      <c r="O5" s="143"/>
      <c r="P5" s="148"/>
      <c r="Q5" s="69"/>
      <c r="R5" s="69"/>
      <c r="S5" s="16"/>
      <c r="T5" s="16"/>
      <c r="U5" s="16"/>
    </row>
    <row r="6" customFormat="1" ht="26" customHeight="1" spans="1:21">
      <c r="A6" s="133"/>
      <c r="B6" s="150"/>
      <c r="C6" s="151"/>
      <c r="D6" s="152"/>
      <c r="E6" s="153"/>
      <c r="F6" s="153"/>
      <c r="G6" s="153"/>
      <c r="H6" s="153"/>
      <c r="I6" s="174"/>
      <c r="J6" s="153"/>
      <c r="K6" s="153"/>
      <c r="L6" s="153"/>
      <c r="M6" s="153"/>
      <c r="N6" s="153"/>
      <c r="O6" s="153"/>
      <c r="P6" s="174"/>
      <c r="Q6" s="69"/>
      <c r="R6" s="69"/>
      <c r="S6" s="16"/>
      <c r="T6" s="16"/>
      <c r="U6" s="16"/>
    </row>
    <row r="7" customFormat="1" ht="26" customHeight="1" spans="1:21">
      <c r="A7" s="133"/>
      <c r="B7" s="154"/>
      <c r="C7" s="155"/>
      <c r="D7" s="156"/>
      <c r="E7" s="153"/>
      <c r="F7" s="153"/>
      <c r="G7" s="153"/>
      <c r="H7" s="153"/>
      <c r="I7" s="174"/>
      <c r="J7" s="153"/>
      <c r="K7" s="153"/>
      <c r="L7" s="153"/>
      <c r="M7" s="153"/>
      <c r="N7" s="153"/>
      <c r="O7" s="153"/>
      <c r="P7" s="174"/>
      <c r="Q7" s="69"/>
      <c r="R7" s="69"/>
      <c r="S7" s="16"/>
      <c r="T7" s="16"/>
      <c r="U7" s="16"/>
    </row>
    <row r="8" customFormat="1" ht="26" customHeight="1" spans="1:21">
      <c r="A8" s="133"/>
      <c r="B8" s="154"/>
      <c r="C8" s="155"/>
      <c r="D8" s="156"/>
      <c r="E8" s="153"/>
      <c r="F8" s="153"/>
      <c r="G8" s="153"/>
      <c r="H8" s="153"/>
      <c r="I8" s="174"/>
      <c r="J8" s="153"/>
      <c r="K8" s="153"/>
      <c r="L8" s="153"/>
      <c r="M8" s="153"/>
      <c r="N8" s="153"/>
      <c r="O8" s="153"/>
      <c r="P8" s="174"/>
      <c r="Q8" s="69"/>
      <c r="R8" s="69"/>
      <c r="S8" s="16"/>
      <c r="T8" s="16"/>
      <c r="U8" s="16"/>
    </row>
    <row r="9" customFormat="1" ht="26" customHeight="1" spans="1:21">
      <c r="A9" s="133"/>
      <c r="B9" s="154"/>
      <c r="C9" s="155"/>
      <c r="D9" s="156"/>
      <c r="E9" s="153"/>
      <c r="F9" s="153"/>
      <c r="G9" s="153"/>
      <c r="H9" s="153"/>
      <c r="I9" s="174"/>
      <c r="J9" s="153"/>
      <c r="K9" s="153"/>
      <c r="L9" s="153"/>
      <c r="M9" s="153"/>
      <c r="N9" s="153"/>
      <c r="O9" s="153"/>
      <c r="P9" s="174"/>
      <c r="Q9" s="69"/>
      <c r="R9" s="69"/>
      <c r="S9" s="16"/>
      <c r="T9" s="16"/>
      <c r="U9" s="16"/>
    </row>
    <row r="10" customFormat="1" ht="26" customHeight="1" spans="1:21">
      <c r="A10" s="133"/>
      <c r="B10" s="154"/>
      <c r="C10" s="155"/>
      <c r="D10" s="156"/>
      <c r="E10" s="153"/>
      <c r="F10" s="153"/>
      <c r="G10" s="153"/>
      <c r="H10" s="153"/>
      <c r="I10" s="174"/>
      <c r="J10" s="153"/>
      <c r="K10" s="153"/>
      <c r="L10" s="153"/>
      <c r="M10" s="153"/>
      <c r="N10" s="153"/>
      <c r="O10" s="153"/>
      <c r="P10" s="174"/>
      <c r="Q10" s="69"/>
      <c r="R10" s="69"/>
      <c r="S10" s="16"/>
      <c r="T10" s="16"/>
      <c r="U10" s="16"/>
    </row>
    <row r="11" customFormat="1" ht="26" customHeight="1" spans="1:21">
      <c r="A11" s="133"/>
      <c r="B11" s="154"/>
      <c r="C11" s="155"/>
      <c r="D11" s="156"/>
      <c r="E11" s="153"/>
      <c r="F11" s="153"/>
      <c r="G11" s="153"/>
      <c r="H11" s="153"/>
      <c r="I11" s="174"/>
      <c r="J11" s="153"/>
      <c r="K11" s="153"/>
      <c r="L11" s="153"/>
      <c r="M11" s="153"/>
      <c r="N11" s="153"/>
      <c r="O11" s="153"/>
      <c r="P11" s="174"/>
      <c r="Q11" s="69"/>
      <c r="R11" s="69"/>
      <c r="S11" s="16"/>
      <c r="T11" s="16"/>
      <c r="U11" s="16"/>
    </row>
    <row r="12" customFormat="1" ht="26" customHeight="1" spans="1:21">
      <c r="A12" s="133"/>
      <c r="B12" s="150"/>
      <c r="C12" s="151"/>
      <c r="D12" s="152"/>
      <c r="E12" s="153"/>
      <c r="F12" s="153"/>
      <c r="G12" s="153"/>
      <c r="H12" s="153"/>
      <c r="I12" s="174"/>
      <c r="J12" s="153"/>
      <c r="K12" s="153"/>
      <c r="L12" s="153"/>
      <c r="M12" s="153"/>
      <c r="N12" s="153"/>
      <c r="O12" s="153"/>
      <c r="P12" s="174"/>
      <c r="Q12" s="69"/>
      <c r="R12" s="69"/>
      <c r="S12" s="16"/>
      <c r="T12" s="16"/>
      <c r="U12" s="16"/>
    </row>
    <row r="13" customFormat="1" ht="26" customHeight="1" spans="1:21">
      <c r="A13" s="133"/>
      <c r="B13" s="157" t="s">
        <v>208</v>
      </c>
      <c r="C13" s="158"/>
      <c r="D13" s="159"/>
      <c r="E13" s="160">
        <f>SUM(E6:H12)</f>
        <v>0</v>
      </c>
      <c r="F13" s="160"/>
      <c r="G13" s="160"/>
      <c r="H13" s="160"/>
      <c r="I13" s="175"/>
      <c r="J13" s="176">
        <f>SUM(J6:P12)</f>
        <v>0</v>
      </c>
      <c r="K13" s="176"/>
      <c r="L13" s="176"/>
      <c r="M13" s="176"/>
      <c r="N13" s="176"/>
      <c r="O13" s="176"/>
      <c r="P13" s="177"/>
      <c r="Q13" s="69"/>
      <c r="R13" s="69"/>
      <c r="S13" s="16"/>
      <c r="T13" s="16"/>
      <c r="U13" s="16"/>
    </row>
    <row r="14" customFormat="1" ht="25" customHeight="1" spans="1:21">
      <c r="A14" s="16"/>
      <c r="B14" s="161" t="s">
        <v>221</v>
      </c>
      <c r="C14" s="162" t="s">
        <v>5</v>
      </c>
      <c r="D14" s="163"/>
      <c r="E14" s="164" t="s">
        <v>222</v>
      </c>
      <c r="F14" s="165"/>
      <c r="G14" s="164" t="s">
        <v>223</v>
      </c>
      <c r="H14" s="165"/>
      <c r="I14" s="164" t="s">
        <v>224</v>
      </c>
      <c r="J14" s="178" t="s">
        <v>225</v>
      </c>
      <c r="K14" s="69"/>
      <c r="L14" s="69"/>
      <c r="M14" s="69"/>
      <c r="N14" s="69"/>
      <c r="O14" s="69"/>
      <c r="P14" s="69"/>
      <c r="Q14" s="69"/>
      <c r="R14" s="16"/>
      <c r="S14" s="16"/>
      <c r="T14" s="16"/>
      <c r="U14" s="16"/>
    </row>
    <row r="15" customFormat="1" spans="1:21">
      <c r="A15" s="16"/>
      <c r="B15" s="16"/>
      <c r="C15" s="16"/>
      <c r="D15" s="163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</row>
    <row r="16" customFormat="1" spans="1:21">
      <c r="A16" s="16"/>
      <c r="B16" s="16"/>
      <c r="C16" s="16"/>
      <c r="D16" s="163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</row>
    <row r="17" customFormat="1" spans="1:21">
      <c r="A17" s="16"/>
      <c r="B17" s="16"/>
      <c r="C17" s="16"/>
      <c r="D17" s="163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</row>
    <row r="18" customFormat="1" spans="1:21">
      <c r="A18" s="16"/>
      <c r="B18" s="16"/>
      <c r="C18" s="16"/>
      <c r="D18" s="163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</row>
    <row r="19" customFormat="1" spans="1:21">
      <c r="A19" s="16"/>
      <c r="B19" s="16"/>
      <c r="C19" s="16"/>
      <c r="D19" s="163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</row>
    <row r="20" customFormat="1" spans="1:21">
      <c r="A20" s="16"/>
      <c r="B20" s="16"/>
      <c r="C20" s="16"/>
      <c r="D20" s="163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</row>
    <row r="21" customFormat="1" spans="1:21">
      <c r="A21" s="16"/>
      <c r="B21" s="16"/>
      <c r="C21" s="16"/>
      <c r="D21" s="163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</row>
    <row r="22" customFormat="1" spans="1:21">
      <c r="A22" s="16"/>
      <c r="B22" s="16"/>
      <c r="C22" s="16"/>
      <c r="D22" s="163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</row>
    <row r="23" customFormat="1" spans="1:21">
      <c r="A23" s="16"/>
      <c r="B23" s="16"/>
      <c r="C23" s="16"/>
      <c r="D23" s="163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</row>
    <row r="24" customFormat="1" spans="1:21">
      <c r="A24" s="16"/>
      <c r="B24" s="16"/>
      <c r="C24" s="16"/>
      <c r="D24" s="163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</row>
    <row r="25" customFormat="1" spans="1:21">
      <c r="A25" s="16"/>
      <c r="B25" s="16"/>
      <c r="C25" s="16"/>
      <c r="D25" s="163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</row>
    <row r="26" customFormat="1" spans="1:21">
      <c r="A26" s="16"/>
      <c r="B26" s="16"/>
      <c r="C26" s="16"/>
      <c r="D26" s="163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</row>
    <row r="27" customFormat="1" spans="1:21">
      <c r="A27" s="16"/>
      <c r="B27" s="16"/>
      <c r="C27" s="16"/>
      <c r="D27" s="163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</row>
    <row r="28" customFormat="1" spans="1:21">
      <c r="A28" s="16"/>
      <c r="B28" s="16"/>
      <c r="C28" s="16"/>
      <c r="D28" s="163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</row>
    <row r="29" customFormat="1" spans="1:21">
      <c r="A29" s="16"/>
      <c r="B29" s="16"/>
      <c r="C29" s="16"/>
      <c r="D29" s="163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</row>
    <row r="30" customFormat="1" spans="1:21">
      <c r="A30" s="16"/>
      <c r="B30" s="16"/>
      <c r="C30" s="16"/>
      <c r="D30" s="163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</row>
    <row r="31" customFormat="1" spans="1:21">
      <c r="A31" s="16"/>
      <c r="B31" s="16"/>
      <c r="C31" s="16"/>
      <c r="D31" s="163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</row>
    <row r="32" customFormat="1" spans="1:21">
      <c r="A32" s="16"/>
      <c r="B32" s="16"/>
      <c r="C32" s="16"/>
      <c r="D32" s="163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</row>
    <row r="33" customFormat="1" spans="1:21">
      <c r="A33" s="16"/>
      <c r="B33" s="16"/>
      <c r="C33" s="16"/>
      <c r="D33" s="163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</row>
    <row r="34" customFormat="1" spans="1:21">
      <c r="A34" s="16"/>
      <c r="B34" s="16"/>
      <c r="C34" s="16"/>
      <c r="D34" s="163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</row>
    <row r="35" customFormat="1" spans="1:21">
      <c r="A35" s="16"/>
      <c r="B35" s="16"/>
      <c r="C35" s="16"/>
      <c r="D35" s="163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</row>
    <row r="36" customFormat="1" spans="1:21">
      <c r="A36" s="16"/>
      <c r="B36" s="16"/>
      <c r="C36" s="16"/>
      <c r="D36" s="163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</row>
    <row r="37" customFormat="1" spans="1:21">
      <c r="A37" s="16"/>
      <c r="B37" s="16"/>
      <c r="C37" s="16"/>
      <c r="D37" s="163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</row>
    <row r="38" customFormat="1" spans="1:21">
      <c r="A38" s="16"/>
      <c r="B38" s="16"/>
      <c r="C38" s="16"/>
      <c r="D38" s="163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</row>
    <row r="39" customFormat="1" spans="1:21">
      <c r="A39" s="16"/>
      <c r="B39" s="16"/>
      <c r="C39" s="16"/>
      <c r="D39" s="163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</row>
    <row r="40" customFormat="1" spans="1:21">
      <c r="A40" s="16"/>
      <c r="B40" s="16"/>
      <c r="C40" s="16"/>
      <c r="D40" s="163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</row>
    <row r="41" customFormat="1" spans="1:21">
      <c r="A41" s="16"/>
      <c r="B41" s="16"/>
      <c r="C41" s="16"/>
      <c r="D41" s="163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</row>
    <row r="42" customFormat="1" spans="1:21">
      <c r="A42" s="16"/>
      <c r="B42" s="16"/>
      <c r="C42" s="16"/>
      <c r="D42" s="163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</row>
    <row r="43" customFormat="1" spans="1:21">
      <c r="A43" s="16"/>
      <c r="B43" s="16"/>
      <c r="C43" s="16"/>
      <c r="D43" s="163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</row>
    <row r="44" customFormat="1" spans="1:21">
      <c r="A44" s="16"/>
      <c r="B44" s="16"/>
      <c r="C44" s="16"/>
      <c r="D44" s="163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customFormat="1" spans="1:21">
      <c r="A45" s="16"/>
      <c r="B45" s="16"/>
      <c r="C45" s="16"/>
      <c r="D45" s="163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</row>
    <row r="46" customFormat="1" spans="1:21">
      <c r="A46" s="16"/>
      <c r="B46" s="16"/>
      <c r="C46" s="16"/>
      <c r="D46" s="163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</row>
    <row r="47" customFormat="1" spans="1:21">
      <c r="A47" s="16"/>
      <c r="B47" s="16"/>
      <c r="C47" s="16"/>
      <c r="D47" s="163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</row>
    <row r="48" customFormat="1" spans="1:21">
      <c r="A48" s="16"/>
      <c r="B48" s="16"/>
      <c r="C48" s="16"/>
      <c r="D48" s="163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</row>
    <row r="49" customFormat="1" spans="1:21">
      <c r="A49" s="16"/>
      <c r="B49" s="16"/>
      <c r="C49" s="16"/>
      <c r="D49" s="163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</row>
    <row r="50" customFormat="1" spans="1:21">
      <c r="A50" s="16"/>
      <c r="B50" s="16"/>
      <c r="C50" s="16"/>
      <c r="D50" s="163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</row>
    <row r="51" customFormat="1" spans="1:21">
      <c r="A51" s="16"/>
      <c r="B51" s="16"/>
      <c r="C51" s="16"/>
      <c r="D51" s="163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</row>
    <row r="52" customFormat="1" spans="1:21">
      <c r="A52" s="16"/>
      <c r="B52" s="16"/>
      <c r="C52" s="16"/>
      <c r="D52" s="163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</row>
    <row r="53" customFormat="1" spans="1:21">
      <c r="A53" s="16"/>
      <c r="B53" s="16"/>
      <c r="C53" s="16"/>
      <c r="D53" s="163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</row>
    <row r="54" customFormat="1" spans="1:21">
      <c r="A54" s="16"/>
      <c r="B54" s="16"/>
      <c r="C54" s="16"/>
      <c r="D54" s="163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</row>
    <row r="55" customFormat="1" spans="1:21">
      <c r="A55" s="16"/>
      <c r="B55" s="16"/>
      <c r="C55" s="16"/>
      <c r="D55" s="163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</row>
    <row r="56" spans="2:17">
      <c r="B56" s="16"/>
      <c r="C56" s="16"/>
      <c r="D56" s="163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</row>
    <row r="57" spans="2:17">
      <c r="B57" s="16"/>
      <c r="C57" s="16"/>
      <c r="D57" s="163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3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3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>
      <c r="B60" s="16"/>
      <c r="C60" s="16"/>
      <c r="D60" s="163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3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</row>
    <row r="62" spans="2:17">
      <c r="B62" s="16"/>
      <c r="C62" s="16"/>
      <c r="D62" s="163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  <row r="63" spans="2:17">
      <c r="B63" s="16"/>
      <c r="C63" s="16"/>
      <c r="D63" s="163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</row>
    <row r="64" spans="2:17">
      <c r="B64" s="16"/>
      <c r="C64" s="16"/>
      <c r="D64" s="163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</row>
    <row r="65" spans="2:17">
      <c r="B65" s="16"/>
      <c r="C65" s="16"/>
      <c r="D65" s="163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</row>
    <row r="66" spans="2:17">
      <c r="B66" s="16"/>
      <c r="C66" s="16"/>
      <c r="D66" s="163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</row>
    <row r="67" spans="2:17">
      <c r="B67" s="16"/>
      <c r="C67" s="16"/>
      <c r="D67" s="163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</row>
    <row r="68" spans="2:17">
      <c r="B68" s="16"/>
      <c r="C68" s="16"/>
      <c r="D68" s="163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</row>
    <row r="69" spans="2:17">
      <c r="B69" s="16"/>
      <c r="C69" s="16"/>
      <c r="D69" s="163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3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3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>
      <c r="B72" s="16"/>
      <c r="C72" s="16"/>
      <c r="D72" s="163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3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</row>
    <row r="74" spans="2:17">
      <c r="B74" s="16"/>
      <c r="C74" s="16"/>
      <c r="D74" s="163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</row>
    <row r="75" spans="2:17">
      <c r="B75" s="16"/>
      <c r="C75" s="16"/>
      <c r="D75" s="163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</row>
    <row r="76" spans="2:17">
      <c r="B76" s="16"/>
      <c r="C76" s="16"/>
      <c r="D76" s="163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</row>
    <row r="77" spans="2:17">
      <c r="B77" s="16"/>
      <c r="C77" s="16"/>
      <c r="D77" s="163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</row>
    <row r="78" spans="2:17">
      <c r="B78" s="16"/>
      <c r="C78" s="16"/>
      <c r="D78" s="163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</row>
    <row r="79" spans="2:17">
      <c r="B79" s="16"/>
      <c r="C79" s="16"/>
      <c r="D79" s="163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</row>
    <row r="80" spans="2:17">
      <c r="B80" s="16"/>
      <c r="C80" s="16"/>
      <c r="D80" s="163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</row>
    <row r="81" spans="2:17">
      <c r="B81" s="16"/>
      <c r="C81" s="16"/>
      <c r="D81" s="163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3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>
      <c r="B83" s="16"/>
      <c r="C83" s="16"/>
      <c r="D83" s="163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>
      <c r="B84" s="16"/>
      <c r="C84" s="16"/>
      <c r="D84" s="163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</row>
    <row r="85" spans="2:17">
      <c r="B85" s="16"/>
      <c r="C85" s="16"/>
      <c r="D85" s="163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</row>
    <row r="86" spans="2:17">
      <c r="B86" s="16"/>
      <c r="C86" s="16"/>
      <c r="D86" s="163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</row>
    <row r="87" spans="2:17">
      <c r="B87" s="16"/>
      <c r="C87" s="16"/>
      <c r="D87" s="163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</row>
    <row r="88" spans="2:17">
      <c r="B88" s="16"/>
      <c r="C88" s="16"/>
      <c r="D88" s="163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</row>
    <row r="89" spans="2:17">
      <c r="B89" s="16"/>
      <c r="C89" s="16"/>
      <c r="D89" s="163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</row>
    <row r="90" spans="2:17">
      <c r="B90" s="16"/>
      <c r="C90" s="16"/>
      <c r="D90" s="163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</row>
    <row r="91" spans="2:17">
      <c r="B91" s="16"/>
      <c r="C91" s="16"/>
      <c r="D91" s="163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</row>
    <row r="92" spans="2:17">
      <c r="B92" s="16"/>
      <c r="C92" s="16"/>
      <c r="D92" s="163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</row>
    <row r="93" spans="2:17">
      <c r="B93" s="16"/>
      <c r="C93" s="16"/>
      <c r="D93" s="163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>
      <c r="B94" s="16"/>
      <c r="C94" s="16"/>
      <c r="D94" s="163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  <row r="95" spans="2:17">
      <c r="B95" s="16"/>
      <c r="C95" s="16"/>
      <c r="D95" s="163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</row>
    <row r="96" spans="2:17">
      <c r="B96" s="16"/>
      <c r="C96" s="16"/>
      <c r="D96" s="163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</row>
    <row r="97" spans="2:17">
      <c r="B97" s="16"/>
      <c r="C97" s="16"/>
      <c r="D97" s="163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</row>
    <row r="98" spans="2:17">
      <c r="B98" s="16"/>
      <c r="C98" s="16"/>
      <c r="D98" s="163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</row>
    <row r="99" spans="2:17">
      <c r="B99" s="16"/>
      <c r="C99" s="16"/>
      <c r="D99" s="163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</row>
    <row r="100" spans="2:17">
      <c r="B100" s="16"/>
      <c r="C100" s="16"/>
      <c r="D100" s="163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</row>
    <row r="101" spans="2:17">
      <c r="B101" s="16"/>
      <c r="C101" s="16"/>
      <c r="D101" s="163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</row>
    <row r="102" spans="2:17">
      <c r="B102" s="16"/>
      <c r="C102" s="16"/>
      <c r="D102" s="163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</row>
    <row r="103" spans="2:17">
      <c r="B103" s="16"/>
      <c r="C103" s="16"/>
      <c r="D103" s="163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</row>
    <row r="104" spans="2:17">
      <c r="B104" s="16"/>
      <c r="C104" s="16"/>
      <c r="D104" s="163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</row>
    <row r="105" spans="2:17">
      <c r="B105" s="16"/>
      <c r="C105" s="16"/>
      <c r="D105" s="163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</row>
    <row r="106" spans="2:17">
      <c r="B106" s="16"/>
      <c r="C106" s="16"/>
      <c r="D106" s="163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</row>
    <row r="107" spans="2:17">
      <c r="B107" s="16"/>
      <c r="C107" s="16"/>
      <c r="D107" s="163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</row>
    <row r="108" spans="2:17">
      <c r="B108" s="16"/>
      <c r="C108" s="16"/>
      <c r="D108" s="163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</row>
    <row r="109" spans="2:17">
      <c r="B109" s="16"/>
      <c r="C109" s="16"/>
      <c r="D109" s="163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</row>
    <row r="110" spans="2:17">
      <c r="B110" s="16"/>
      <c r="C110" s="16"/>
      <c r="D110" s="163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</row>
    <row r="111" spans="2:17">
      <c r="B111" s="16"/>
      <c r="C111" s="16"/>
      <c r="D111" s="163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</row>
    <row r="112" spans="2:17">
      <c r="B112" s="16"/>
      <c r="C112" s="16"/>
      <c r="D112" s="163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</row>
    <row r="113" spans="2:17">
      <c r="B113" s="16"/>
      <c r="C113" s="16"/>
      <c r="D113" s="163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</row>
    <row r="114" spans="2:17">
      <c r="B114" s="16"/>
      <c r="C114" s="16"/>
      <c r="D114" s="163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</row>
    <row r="115" spans="2:17">
      <c r="B115" s="16"/>
      <c r="C115" s="16"/>
      <c r="D115" s="163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</row>
    <row r="116" spans="2:17">
      <c r="B116" s="16"/>
      <c r="C116" s="16"/>
      <c r="D116" s="163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</row>
    <row r="117" spans="2:17">
      <c r="B117" s="16"/>
      <c r="C117" s="16"/>
      <c r="D117" s="163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</row>
    <row r="118" spans="2:17">
      <c r="B118" s="16"/>
      <c r="C118" s="16"/>
      <c r="D118" s="163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</row>
    <row r="119" spans="2:17">
      <c r="B119" s="16"/>
      <c r="C119" s="16"/>
      <c r="D119" s="163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</row>
    <row r="120" spans="2:17">
      <c r="B120" s="16"/>
      <c r="C120" s="16"/>
      <c r="D120" s="163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</row>
    <row r="121" spans="2:17">
      <c r="B121" s="16"/>
      <c r="C121" s="16"/>
      <c r="D121" s="163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</row>
    <row r="122" spans="2:17">
      <c r="B122" s="16"/>
      <c r="C122" s="16"/>
      <c r="D122" s="163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</row>
    <row r="123" spans="2:17">
      <c r="B123" s="16"/>
      <c r="C123" s="16"/>
      <c r="D123" s="163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</row>
    <row r="124" spans="2:17">
      <c r="B124" s="16"/>
      <c r="C124" s="16"/>
      <c r="D124" s="163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</row>
    <row r="125" spans="2:17">
      <c r="B125" s="16"/>
      <c r="C125" s="16"/>
      <c r="D125" s="163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</row>
    <row r="126" spans="2:17">
      <c r="B126" s="16"/>
      <c r="C126" s="16"/>
      <c r="D126" s="163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</row>
    <row r="127" spans="2:17">
      <c r="B127" s="16"/>
      <c r="C127" s="16"/>
      <c r="D127" s="163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</row>
    <row r="128" spans="2:17">
      <c r="B128" s="16"/>
      <c r="C128" s="16"/>
      <c r="D128" s="163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</row>
    <row r="129" spans="2:17">
      <c r="B129" s="16"/>
      <c r="C129" s="16"/>
      <c r="D129" s="163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</row>
    <row r="130" spans="2:17">
      <c r="B130" s="16"/>
      <c r="C130" s="16"/>
      <c r="D130" s="163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</row>
    <row r="131" spans="2:17">
      <c r="B131" s="16"/>
      <c r="C131" s="16"/>
      <c r="D131" s="163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</row>
    <row r="132" spans="2:17">
      <c r="B132" s="16"/>
      <c r="C132" s="16"/>
      <c r="D132" s="163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</row>
    <row r="133" spans="2:17">
      <c r="B133" s="16"/>
      <c r="C133" s="16"/>
      <c r="D133" s="163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</row>
    <row r="134" spans="2:17">
      <c r="B134" s="16"/>
      <c r="C134" s="16"/>
      <c r="D134" s="163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</row>
    <row r="135" spans="2:17">
      <c r="B135" s="16"/>
      <c r="C135" s="16"/>
      <c r="D135" s="163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</row>
    <row r="136" spans="2:17">
      <c r="B136" s="16"/>
      <c r="C136" s="16"/>
      <c r="D136" s="163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</row>
    <row r="137" spans="2:17">
      <c r="B137" s="16"/>
      <c r="C137" s="16"/>
      <c r="D137" s="163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</row>
    <row r="138" spans="2:17">
      <c r="B138" s="16"/>
      <c r="C138" s="16"/>
      <c r="D138" s="163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</row>
    <row r="139" spans="2:17">
      <c r="B139" s="16"/>
      <c r="C139" s="16"/>
      <c r="D139" s="163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</row>
    <row r="140" spans="2:17">
      <c r="B140" s="16"/>
      <c r="C140" s="16"/>
      <c r="D140" s="163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</row>
    <row r="141" spans="2:17">
      <c r="B141" s="16"/>
      <c r="C141" s="16"/>
      <c r="D141" s="163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</row>
    <row r="142" spans="2:17">
      <c r="B142" s="16"/>
      <c r="C142" s="16"/>
      <c r="D142" s="163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</row>
    <row r="143" spans="2:17">
      <c r="B143" s="16"/>
      <c r="C143" s="16"/>
      <c r="D143" s="163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</row>
    <row r="144" spans="2:17">
      <c r="B144" s="16"/>
      <c r="C144" s="16"/>
      <c r="D144" s="163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</row>
    <row r="145" spans="2:17">
      <c r="B145" s="16"/>
      <c r="C145" s="16"/>
      <c r="D145" s="163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</row>
    <row r="146" spans="2:17">
      <c r="B146" s="16"/>
      <c r="C146" s="16"/>
      <c r="D146" s="163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</row>
    <row r="147" spans="2:17">
      <c r="B147" s="16"/>
      <c r="C147" s="16"/>
      <c r="D147" s="163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</row>
    <row r="148" spans="2:17">
      <c r="B148" s="16"/>
      <c r="C148" s="16"/>
      <c r="D148" s="163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</row>
    <row r="149" spans="2:17">
      <c r="B149" s="16"/>
      <c r="C149" s="16"/>
      <c r="D149" s="163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</row>
    <row r="150" spans="2:17">
      <c r="B150" s="16"/>
      <c r="C150" s="16"/>
      <c r="D150" s="163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</row>
    <row r="151" spans="2:17">
      <c r="B151" s="16"/>
      <c r="C151" s="16"/>
      <c r="D151" s="163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</row>
  </sheetData>
  <mergeCells count="24">
    <mergeCell ref="J3:M3"/>
    <mergeCell ref="N3:O3"/>
    <mergeCell ref="C4:D4"/>
    <mergeCell ref="E6:I6"/>
    <mergeCell ref="J6:P6"/>
    <mergeCell ref="E7:I7"/>
    <mergeCell ref="J7:P7"/>
    <mergeCell ref="E8:I8"/>
    <mergeCell ref="J8:P8"/>
    <mergeCell ref="E9:I9"/>
    <mergeCell ref="J9:P9"/>
    <mergeCell ref="E10:I10"/>
    <mergeCell ref="J10:P10"/>
    <mergeCell ref="E11:I11"/>
    <mergeCell ref="J11:P11"/>
    <mergeCell ref="E12:I12"/>
    <mergeCell ref="J12:P12"/>
    <mergeCell ref="C13:D13"/>
    <mergeCell ref="E13:I13"/>
    <mergeCell ref="J13:P13"/>
    <mergeCell ref="B4:B5"/>
    <mergeCell ref="B1:P2"/>
    <mergeCell ref="E4:I5"/>
    <mergeCell ref="J4:P5"/>
  </mergeCells>
  <dataValidations count="1">
    <dataValidation type="list" allowBlank="1" showInputMessage="1" showErrorMessage="1" sqref="C3">
      <formula1>"收款凭证,付款凭证,转账凭证"</formula1>
    </dataValidation>
  </dataValidations>
  <pageMargins left="0.699305555555556" right="0.699305555555556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1267" r:id="rId3" name="CommandButton1">
          <controlPr defaultSize="0" r:id="rId4">
            <anchor moveWithCells="1">
              <from>
                <xdr:col>16</xdr:col>
                <xdr:colOff>514350</xdr:colOff>
                <xdr:row>1</xdr:row>
                <xdr:rowOff>266700</xdr:rowOff>
              </from>
              <to>
                <xdr:col>18</xdr:col>
                <xdr:colOff>323850</xdr:colOff>
                <xdr:row>1</xdr:row>
                <xdr:rowOff>638175</xdr:rowOff>
              </to>
            </anchor>
          </controlPr>
        </control>
      </mc:Choice>
      <mc:Fallback>
        <control shapeId="11267" r:id="rId3" name="CommandButton1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r:id="rId6">
            <anchor moveWithCells="1">
              <from>
                <xdr:col>16</xdr:col>
                <xdr:colOff>536575</xdr:colOff>
                <xdr:row>1</xdr:row>
                <xdr:rowOff>860425</xdr:rowOff>
              </from>
              <to>
                <xdr:col>18</xdr:col>
                <xdr:colOff>346075</xdr:colOff>
                <xdr:row>2</xdr:row>
                <xdr:rowOff>228600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9" r:id="rId7" name="CommandButton3">
          <controlPr defaultSize="0" r:id="rId8">
            <anchor moveWithCells="1">
              <from>
                <xdr:col>16</xdr:col>
                <xdr:colOff>530225</xdr:colOff>
                <xdr:row>3</xdr:row>
                <xdr:rowOff>6350</xdr:rowOff>
              </from>
              <to>
                <xdr:col>18</xdr:col>
                <xdr:colOff>339725</xdr:colOff>
                <xdr:row>4</xdr:row>
                <xdr:rowOff>47625</xdr:rowOff>
              </to>
            </anchor>
          </controlPr>
        </control>
      </mc:Choice>
      <mc:Fallback>
        <control shapeId="11269" r:id="rId7" name="CommandButton3"/>
      </mc:Fallback>
    </mc:AlternateContent>
    <mc:AlternateContent xmlns:mc="http://schemas.openxmlformats.org/markup-compatibility/2006">
      <mc:Choice Requires="x14">
        <control shapeId="11270" r:id="rId9" name="CommandButton4">
          <controlPr defaultSize="0" r:id="rId10">
            <anchor moveWithCells="1">
              <from>
                <xdr:col>16</xdr:col>
                <xdr:colOff>542925</xdr:colOff>
                <xdr:row>4</xdr:row>
                <xdr:rowOff>257175</xdr:rowOff>
              </from>
              <to>
                <xdr:col>18</xdr:col>
                <xdr:colOff>352425</xdr:colOff>
                <xdr:row>5</xdr:row>
                <xdr:rowOff>298450</xdr:rowOff>
              </to>
            </anchor>
          </controlPr>
        </control>
      </mc:Choice>
      <mc:Fallback>
        <control shapeId="11270" r:id="rId9" name="CommandButton4"/>
      </mc:Fallback>
    </mc:AlternateContent>
    <mc:AlternateContent xmlns:mc="http://schemas.openxmlformats.org/markup-compatibility/2006">
      <mc:Choice Requires="x14">
        <control shapeId="11271" r:id="rId11" name="CommandButton5">
          <controlPr defaultSize="0" r:id="rId12">
            <anchor moveWithCells="1">
              <from>
                <xdr:col>16</xdr:col>
                <xdr:colOff>555625</xdr:colOff>
                <xdr:row>6</xdr:row>
                <xdr:rowOff>196850</xdr:rowOff>
              </from>
              <to>
                <xdr:col>18</xdr:col>
                <xdr:colOff>365125</xdr:colOff>
                <xdr:row>7</xdr:row>
                <xdr:rowOff>238125</xdr:rowOff>
              </to>
            </anchor>
          </controlPr>
        </control>
      </mc:Choice>
      <mc:Fallback>
        <control shapeId="11271" r:id="rId11" name="CommandButton5"/>
      </mc:Fallback>
    </mc:AlternateContent>
    <mc:AlternateContent xmlns:mc="http://schemas.openxmlformats.org/markup-compatibility/2006">
      <mc:Choice Requires="x14">
        <control shapeId="11272" r:id="rId13" name="CommandButton6">
          <controlPr defaultSize="0" r:id="rId14">
            <anchor moveWithCells="1">
              <from>
                <xdr:col>16</xdr:col>
                <xdr:colOff>558800</xdr:colOff>
                <xdr:row>8</xdr:row>
                <xdr:rowOff>104775</xdr:rowOff>
              </from>
              <to>
                <xdr:col>18</xdr:col>
                <xdr:colOff>368300</xdr:colOff>
                <xdr:row>9</xdr:row>
                <xdr:rowOff>146050</xdr:rowOff>
              </to>
            </anchor>
          </controlPr>
        </control>
      </mc:Choice>
      <mc:Fallback>
        <control shapeId="11272" r:id="rId13" name="CommandButton6"/>
      </mc:Fallback>
    </mc:AlternateContent>
    <mc:AlternateContent xmlns:mc="http://schemas.openxmlformats.org/markup-compatibility/2006">
      <mc:Choice Requires="x14">
        <control shapeId="11273" name="Spinner 9" r:id="rId15">
          <controlPr defaultSize="0">
            <anchor moveWithCells="1" sizeWithCells="1">
              <from>
                <xdr:col>14</xdr:col>
                <xdr:colOff>247650</xdr:colOff>
                <xdr:row>2</xdr:row>
                <xdr:rowOff>57150</xdr:rowOff>
              </from>
              <to>
                <xdr:col>15</xdr:col>
                <xdr:colOff>533400</xdr:colOff>
                <xdr:row>2</xdr:row>
                <xdr:rowOff>361950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M57"/>
  <sheetViews>
    <sheetView workbookViewId="0">
      <pane ySplit="1" topLeftCell="A2" activePane="bottomLeft" state="frozen"/>
      <selection/>
      <selection pane="bottomLeft" activeCell="A35" sqref="A35"/>
    </sheetView>
  </sheetViews>
  <sheetFormatPr defaultColWidth="9" defaultRowHeight="13.5"/>
  <cols>
    <col min="1" max="1" width="15.5" style="1" customWidth="1"/>
    <col min="2" max="2" width="7.875" style="1" customWidth="1"/>
    <col min="3" max="3" width="29.5" style="1" customWidth="1"/>
    <col min="4" max="4" width="20.25" style="1" customWidth="1"/>
    <col min="5" max="5" width="30.375" style="1" customWidth="1"/>
    <col min="6" max="6" width="17.5" style="2" customWidth="1"/>
    <col min="7" max="7" width="17" style="2" customWidth="1"/>
    <col min="8" max="8" width="13.125" style="1" customWidth="1"/>
    <col min="9" max="9" width="13.375" style="1" customWidth="1"/>
    <col min="10" max="10" width="12.75" customWidth="1"/>
  </cols>
  <sheetData>
    <row r="1" customFormat="1" ht="20.25" spans="1:13">
      <c r="A1" s="3" t="s">
        <v>226</v>
      </c>
      <c r="B1" s="4" t="s">
        <v>227</v>
      </c>
      <c r="C1" s="3" t="s">
        <v>216</v>
      </c>
      <c r="D1" s="4" t="s">
        <v>220</v>
      </c>
      <c r="E1" s="3" t="s">
        <v>9</v>
      </c>
      <c r="F1" s="5" t="s">
        <v>206</v>
      </c>
      <c r="G1" s="5" t="s">
        <v>207</v>
      </c>
      <c r="H1" s="3" t="s">
        <v>224</v>
      </c>
      <c r="I1" s="3" t="s">
        <v>223</v>
      </c>
      <c r="J1" s="3" t="s">
        <v>222</v>
      </c>
      <c r="K1" s="13" t="s">
        <v>212</v>
      </c>
      <c r="L1" s="13" t="s">
        <v>213</v>
      </c>
      <c r="M1" s="13" t="s">
        <v>214</v>
      </c>
    </row>
    <row r="2" customFormat="1" spans="1:13">
      <c r="A2" s="6" t="s">
        <v>228</v>
      </c>
      <c r="B2" s="7">
        <v>1</v>
      </c>
      <c r="C2" s="8" t="s">
        <v>229</v>
      </c>
      <c r="D2" s="9">
        <v>140301</v>
      </c>
      <c r="E2" s="8" t="s">
        <v>230</v>
      </c>
      <c r="F2" s="10">
        <v>117000</v>
      </c>
      <c r="G2" s="10"/>
      <c r="H2" s="8" t="s">
        <v>225</v>
      </c>
      <c r="I2" s="8"/>
      <c r="J2" s="8"/>
      <c r="K2" s="14">
        <v>2011</v>
      </c>
      <c r="L2" s="14">
        <v>4</v>
      </c>
      <c r="M2" s="14">
        <v>15</v>
      </c>
    </row>
    <row r="3" customFormat="1" spans="1:13">
      <c r="A3" s="6" t="s">
        <v>228</v>
      </c>
      <c r="B3" s="7">
        <v>1</v>
      </c>
      <c r="C3" s="8" t="s">
        <v>229</v>
      </c>
      <c r="D3" s="9">
        <v>100201</v>
      </c>
      <c r="E3" s="8" t="s">
        <v>231</v>
      </c>
      <c r="F3" s="10"/>
      <c r="G3" s="10">
        <v>117000</v>
      </c>
      <c r="H3" s="8" t="s">
        <v>225</v>
      </c>
      <c r="I3" s="8"/>
      <c r="J3" s="8"/>
      <c r="K3" s="14">
        <v>2011</v>
      </c>
      <c r="L3" s="14">
        <v>4</v>
      </c>
      <c r="M3" s="14">
        <v>15</v>
      </c>
    </row>
    <row r="4" customFormat="1" spans="1:13">
      <c r="A4" s="6" t="s">
        <v>228</v>
      </c>
      <c r="B4" s="7">
        <v>2</v>
      </c>
      <c r="C4" s="8" t="s">
        <v>232</v>
      </c>
      <c r="D4" s="9">
        <v>2211</v>
      </c>
      <c r="E4" s="8" t="s">
        <v>110</v>
      </c>
      <c r="F4" s="10">
        <v>35000</v>
      </c>
      <c r="G4" s="10"/>
      <c r="H4" s="8" t="s">
        <v>225</v>
      </c>
      <c r="I4" s="8" t="s">
        <v>5</v>
      </c>
      <c r="J4" s="8" t="s">
        <v>5</v>
      </c>
      <c r="K4" s="14">
        <v>2010</v>
      </c>
      <c r="L4" s="14">
        <v>4</v>
      </c>
      <c r="M4" s="14">
        <v>20</v>
      </c>
    </row>
    <row r="5" customFormat="1" spans="1:13">
      <c r="A5" s="6" t="s">
        <v>228</v>
      </c>
      <c r="B5" s="7">
        <v>2</v>
      </c>
      <c r="C5" s="8" t="s">
        <v>232</v>
      </c>
      <c r="D5" s="9">
        <v>1001</v>
      </c>
      <c r="E5" s="8" t="s">
        <v>13</v>
      </c>
      <c r="F5" s="10"/>
      <c r="G5" s="10">
        <v>35000</v>
      </c>
      <c r="H5" s="8" t="s">
        <v>225</v>
      </c>
      <c r="I5" s="8" t="s">
        <v>5</v>
      </c>
      <c r="J5" s="8" t="s">
        <v>5</v>
      </c>
      <c r="K5" s="14">
        <v>2010</v>
      </c>
      <c r="L5" s="14">
        <v>4</v>
      </c>
      <c r="M5" s="14">
        <v>20</v>
      </c>
    </row>
    <row r="6" customFormat="1" spans="1:13">
      <c r="A6" s="6" t="s">
        <v>228</v>
      </c>
      <c r="B6" s="7">
        <v>3</v>
      </c>
      <c r="C6" s="8" t="s">
        <v>233</v>
      </c>
      <c r="D6" s="9">
        <v>100201</v>
      </c>
      <c r="E6" s="8" t="s">
        <v>231</v>
      </c>
      <c r="F6" s="10">
        <v>280</v>
      </c>
      <c r="G6" s="10"/>
      <c r="H6" s="8" t="s">
        <v>225</v>
      </c>
      <c r="I6" s="8" t="s">
        <v>5</v>
      </c>
      <c r="J6" s="8" t="s">
        <v>5</v>
      </c>
      <c r="K6" s="14">
        <v>2011</v>
      </c>
      <c r="L6" s="14">
        <v>4</v>
      </c>
      <c r="M6" s="14">
        <v>21</v>
      </c>
    </row>
    <row r="7" customFormat="1" spans="1:13">
      <c r="A7" s="6" t="s">
        <v>228</v>
      </c>
      <c r="B7" s="7">
        <v>3</v>
      </c>
      <c r="C7" s="8" t="s">
        <v>233</v>
      </c>
      <c r="D7" s="9">
        <v>1001</v>
      </c>
      <c r="E7" s="8" t="s">
        <v>13</v>
      </c>
      <c r="F7" s="10"/>
      <c r="G7" s="10">
        <v>280</v>
      </c>
      <c r="H7" s="8" t="s">
        <v>225</v>
      </c>
      <c r="I7" s="8" t="s">
        <v>5</v>
      </c>
      <c r="J7" s="8" t="s">
        <v>5</v>
      </c>
      <c r="K7" s="14">
        <v>2011</v>
      </c>
      <c r="L7" s="14">
        <v>4</v>
      </c>
      <c r="M7" s="14">
        <v>21</v>
      </c>
    </row>
    <row r="8" customFormat="1" spans="1:13">
      <c r="A8" s="6" t="s">
        <v>228</v>
      </c>
      <c r="B8" s="7">
        <v>4</v>
      </c>
      <c r="C8" s="8" t="s">
        <v>111</v>
      </c>
      <c r="D8" s="9">
        <v>22210101</v>
      </c>
      <c r="E8" s="8" t="s">
        <v>234</v>
      </c>
      <c r="F8" s="10">
        <v>25000</v>
      </c>
      <c r="G8" s="10"/>
      <c r="H8" s="8" t="s">
        <v>225</v>
      </c>
      <c r="I8" s="8" t="s">
        <v>5</v>
      </c>
      <c r="J8" s="8" t="s">
        <v>5</v>
      </c>
      <c r="K8" s="14">
        <v>2011</v>
      </c>
      <c r="L8" s="14">
        <v>4</v>
      </c>
      <c r="M8" s="14">
        <v>24</v>
      </c>
    </row>
    <row r="9" customFormat="1" spans="1:13">
      <c r="A9" s="6" t="s">
        <v>228</v>
      </c>
      <c r="B9" s="7">
        <v>4</v>
      </c>
      <c r="C9" s="8" t="s">
        <v>111</v>
      </c>
      <c r="D9" s="9">
        <v>100201</v>
      </c>
      <c r="E9" s="8" t="s">
        <v>231</v>
      </c>
      <c r="F9" s="10"/>
      <c r="G9" s="10">
        <v>25000</v>
      </c>
      <c r="H9" s="8" t="s">
        <v>225</v>
      </c>
      <c r="I9" s="8" t="s">
        <v>5</v>
      </c>
      <c r="J9" s="8" t="s">
        <v>5</v>
      </c>
      <c r="K9" s="14">
        <v>2011</v>
      </c>
      <c r="L9" s="14">
        <v>4</v>
      </c>
      <c r="M9" s="14">
        <v>24</v>
      </c>
    </row>
    <row r="10" customFormat="1" spans="1:13">
      <c r="A10" s="6" t="s">
        <v>228</v>
      </c>
      <c r="B10" s="7">
        <v>5</v>
      </c>
      <c r="C10" s="8" t="s">
        <v>36</v>
      </c>
      <c r="D10" s="9">
        <v>123102</v>
      </c>
      <c r="E10" s="8" t="s">
        <v>235</v>
      </c>
      <c r="F10" s="10">
        <v>2000</v>
      </c>
      <c r="G10" s="10"/>
      <c r="H10" s="8" t="s">
        <v>225</v>
      </c>
      <c r="I10" s="8" t="s">
        <v>5</v>
      </c>
      <c r="J10" s="8" t="s">
        <v>5</v>
      </c>
      <c r="K10" s="14">
        <v>2011</v>
      </c>
      <c r="L10" s="14">
        <v>4</v>
      </c>
      <c r="M10" s="14">
        <v>24</v>
      </c>
    </row>
    <row r="11" customFormat="1" spans="1:13">
      <c r="A11" s="6" t="s">
        <v>228</v>
      </c>
      <c r="B11" s="7">
        <v>5</v>
      </c>
      <c r="C11" s="8" t="s">
        <v>36</v>
      </c>
      <c r="D11" s="9">
        <v>1001</v>
      </c>
      <c r="E11" s="8" t="s">
        <v>13</v>
      </c>
      <c r="F11" s="10"/>
      <c r="G11" s="10">
        <v>2000</v>
      </c>
      <c r="H11" s="8" t="s">
        <v>225</v>
      </c>
      <c r="I11" s="8" t="s">
        <v>5</v>
      </c>
      <c r="J11" s="8" t="s">
        <v>5</v>
      </c>
      <c r="K11" s="14">
        <v>2011</v>
      </c>
      <c r="L11" s="14">
        <v>4</v>
      </c>
      <c r="M11" s="14">
        <v>24</v>
      </c>
    </row>
    <row r="12" customFormat="1" spans="1:13">
      <c r="A12" s="6" t="s">
        <v>211</v>
      </c>
      <c r="B12" s="7">
        <v>1</v>
      </c>
      <c r="C12" s="8" t="s">
        <v>236</v>
      </c>
      <c r="D12" s="11">
        <v>10020201</v>
      </c>
      <c r="E12" s="8" t="s">
        <v>237</v>
      </c>
      <c r="F12" s="10"/>
      <c r="G12" s="10">
        <v>61794.87</v>
      </c>
      <c r="H12" s="8" t="s">
        <v>225</v>
      </c>
      <c r="I12" s="8"/>
      <c r="J12" s="8"/>
      <c r="K12" s="14">
        <v>2011</v>
      </c>
      <c r="L12" s="14">
        <v>4</v>
      </c>
      <c r="M12" s="14">
        <v>25</v>
      </c>
    </row>
    <row r="13" customFormat="1" spans="1:13">
      <c r="A13" s="6" t="s">
        <v>211</v>
      </c>
      <c r="B13" s="7">
        <v>1</v>
      </c>
      <c r="C13" s="8" t="s">
        <v>236</v>
      </c>
      <c r="D13" s="11">
        <v>6001</v>
      </c>
      <c r="E13" s="8" t="s">
        <v>162</v>
      </c>
      <c r="F13" s="10">
        <v>68000</v>
      </c>
      <c r="G13" s="10"/>
      <c r="H13" s="8" t="s">
        <v>225</v>
      </c>
      <c r="I13" s="8"/>
      <c r="J13" s="8"/>
      <c r="K13" s="14">
        <v>2011</v>
      </c>
      <c r="L13" s="14">
        <v>4</v>
      </c>
      <c r="M13" s="14">
        <v>25</v>
      </c>
    </row>
    <row r="14" customFormat="1" spans="1:13">
      <c r="A14" s="6" t="s">
        <v>211</v>
      </c>
      <c r="B14" s="7">
        <v>1</v>
      </c>
      <c r="C14" s="8" t="s">
        <v>236</v>
      </c>
      <c r="D14" s="11">
        <v>22210101</v>
      </c>
      <c r="E14" s="8" t="s">
        <v>238</v>
      </c>
      <c r="F14" s="10"/>
      <c r="G14" s="10">
        <v>6205.13</v>
      </c>
      <c r="H14" s="8" t="s">
        <v>225</v>
      </c>
      <c r="I14" s="8"/>
      <c r="J14" s="8"/>
      <c r="K14" s="14">
        <v>2011</v>
      </c>
      <c r="L14" s="14">
        <v>4</v>
      </c>
      <c r="M14" s="14">
        <v>25</v>
      </c>
    </row>
    <row r="15" customFormat="1" spans="1:13">
      <c r="A15" s="6" t="s">
        <v>239</v>
      </c>
      <c r="B15" s="7">
        <v>1</v>
      </c>
      <c r="C15" s="8" t="s">
        <v>240</v>
      </c>
      <c r="D15" s="9">
        <v>1122</v>
      </c>
      <c r="E15" s="8" t="s">
        <v>28</v>
      </c>
      <c r="F15" s="2"/>
      <c r="G15" s="10">
        <v>99450</v>
      </c>
      <c r="H15" s="8" t="s">
        <v>225</v>
      </c>
      <c r="I15" s="8" t="s">
        <v>5</v>
      </c>
      <c r="J15" s="8" t="s">
        <v>5</v>
      </c>
      <c r="K15" s="14">
        <v>2011</v>
      </c>
      <c r="L15" s="14">
        <v>4</v>
      </c>
      <c r="M15" s="14">
        <v>27</v>
      </c>
    </row>
    <row r="16" customFormat="1" spans="1:13">
      <c r="A16" s="6" t="s">
        <v>239</v>
      </c>
      <c r="B16" s="7">
        <v>1</v>
      </c>
      <c r="C16" s="8" t="s">
        <v>240</v>
      </c>
      <c r="D16" s="9">
        <v>6001</v>
      </c>
      <c r="E16" s="8" t="s">
        <v>162</v>
      </c>
      <c r="F16" s="10">
        <v>116000</v>
      </c>
      <c r="G16" s="10"/>
      <c r="H16" s="8" t="s">
        <v>225</v>
      </c>
      <c r="I16" s="8" t="s">
        <v>5</v>
      </c>
      <c r="J16" s="8" t="s">
        <v>5</v>
      </c>
      <c r="K16" s="14">
        <v>2011</v>
      </c>
      <c r="L16" s="14">
        <v>4</v>
      </c>
      <c r="M16" s="14">
        <v>27</v>
      </c>
    </row>
    <row r="17" customFormat="1" spans="1:13">
      <c r="A17" s="6" t="s">
        <v>239</v>
      </c>
      <c r="B17" s="7">
        <v>1</v>
      </c>
      <c r="C17" s="8" t="s">
        <v>240</v>
      </c>
      <c r="D17" s="9">
        <v>22210101</v>
      </c>
      <c r="E17" s="8" t="s">
        <v>234</v>
      </c>
      <c r="F17" s="10"/>
      <c r="G17" s="10">
        <v>16550</v>
      </c>
      <c r="H17" s="8" t="s">
        <v>225</v>
      </c>
      <c r="I17" s="8" t="s">
        <v>5</v>
      </c>
      <c r="J17" s="8" t="s">
        <v>5</v>
      </c>
      <c r="K17" s="14">
        <v>2011</v>
      </c>
      <c r="L17" s="14">
        <v>4</v>
      </c>
      <c r="M17" s="14">
        <v>27</v>
      </c>
    </row>
    <row r="18" customFormat="1" spans="1:13">
      <c r="A18" s="1" t="s">
        <v>228</v>
      </c>
      <c r="B18" s="7">
        <v>6</v>
      </c>
      <c r="C18" t="s">
        <v>241</v>
      </c>
      <c r="D18" s="12">
        <v>1001</v>
      </c>
      <c r="E18" t="s">
        <v>13</v>
      </c>
      <c r="F18" s="2">
        <v>112</v>
      </c>
      <c r="G18" s="2"/>
      <c r="H18" s="8" t="s">
        <v>225</v>
      </c>
      <c r="I18" s="8" t="s">
        <v>5</v>
      </c>
      <c r="J18" s="8" t="s">
        <v>5</v>
      </c>
      <c r="K18" s="12">
        <v>2013</v>
      </c>
      <c r="L18" s="12">
        <v>11</v>
      </c>
      <c r="M18" s="12">
        <v>21</v>
      </c>
    </row>
    <row r="19" customFormat="1" spans="1:13">
      <c r="A19" s="1" t="s">
        <v>228</v>
      </c>
      <c r="B19" s="7">
        <v>6</v>
      </c>
      <c r="C19" t="s">
        <v>241</v>
      </c>
      <c r="D19" s="12">
        <v>1406</v>
      </c>
      <c r="E19" t="s">
        <v>55</v>
      </c>
      <c r="F19" s="2"/>
      <c r="G19" s="2">
        <v>112</v>
      </c>
      <c r="H19" s="8" t="s">
        <v>225</v>
      </c>
      <c r="I19" s="8" t="s">
        <v>5</v>
      </c>
      <c r="J19" s="8" t="s">
        <v>5</v>
      </c>
      <c r="K19" s="12">
        <v>2013</v>
      </c>
      <c r="L19" s="12">
        <v>11</v>
      </c>
      <c r="M19" s="12">
        <v>21</v>
      </c>
    </row>
    <row r="20" customFormat="1" spans="1:13">
      <c r="A20" s="1" t="s">
        <v>228</v>
      </c>
      <c r="B20" s="7">
        <v>7</v>
      </c>
      <c r="C20" t="s">
        <v>26</v>
      </c>
      <c r="D20" s="12">
        <v>1001</v>
      </c>
      <c r="E20" t="s">
        <v>13</v>
      </c>
      <c r="F20" s="2">
        <v>111</v>
      </c>
      <c r="G20" s="2"/>
      <c r="H20" s="8" t="s">
        <v>225</v>
      </c>
      <c r="I20" s="8" t="s">
        <v>5</v>
      </c>
      <c r="J20" s="8" t="s">
        <v>5</v>
      </c>
      <c r="K20" s="12">
        <v>2013</v>
      </c>
      <c r="L20" s="12">
        <v>11</v>
      </c>
      <c r="M20" s="12">
        <v>2</v>
      </c>
    </row>
    <row r="21" customFormat="1" spans="1:13">
      <c r="A21" s="1" t="s">
        <v>228</v>
      </c>
      <c r="B21" s="7">
        <v>7</v>
      </c>
      <c r="C21" t="s">
        <v>26</v>
      </c>
      <c r="D21" s="12">
        <v>1121</v>
      </c>
      <c r="E21" t="s">
        <v>26</v>
      </c>
      <c r="F21" s="2"/>
      <c r="G21" s="2">
        <v>111</v>
      </c>
      <c r="H21" s="8" t="s">
        <v>225</v>
      </c>
      <c r="I21" s="8" t="s">
        <v>5</v>
      </c>
      <c r="J21" s="8" t="s">
        <v>5</v>
      </c>
      <c r="K21" s="12">
        <v>2013</v>
      </c>
      <c r="L21" s="12">
        <v>11</v>
      </c>
      <c r="M21" s="12">
        <v>2</v>
      </c>
    </row>
    <row r="22" customFormat="1" spans="1:13">
      <c r="A22" s="1" t="s">
        <v>228</v>
      </c>
      <c r="B22" s="7">
        <v>8</v>
      </c>
      <c r="C22" t="s">
        <v>28</v>
      </c>
      <c r="D22" s="12">
        <v>1001</v>
      </c>
      <c r="E22" t="s">
        <v>13</v>
      </c>
      <c r="F22" s="2">
        <v>112</v>
      </c>
      <c r="G22" s="2"/>
      <c r="H22" s="8" t="s">
        <v>225</v>
      </c>
      <c r="I22" s="8" t="s">
        <v>5</v>
      </c>
      <c r="J22" s="8" t="s">
        <v>5</v>
      </c>
      <c r="K22" s="12">
        <v>2013</v>
      </c>
      <c r="L22" s="12">
        <v>1</v>
      </c>
      <c r="M22" s="12">
        <v>1</v>
      </c>
    </row>
    <row r="23" customFormat="1" spans="1:13">
      <c r="A23" s="1" t="s">
        <v>228</v>
      </c>
      <c r="B23" s="7">
        <v>8</v>
      </c>
      <c r="C23" t="s">
        <v>28</v>
      </c>
      <c r="D23" s="12">
        <v>1122</v>
      </c>
      <c r="E23" t="s">
        <v>28</v>
      </c>
      <c r="F23" s="2"/>
      <c r="G23" s="2">
        <v>112</v>
      </c>
      <c r="H23" s="8" t="s">
        <v>225</v>
      </c>
      <c r="I23" s="8" t="s">
        <v>5</v>
      </c>
      <c r="J23" s="8" t="s">
        <v>5</v>
      </c>
      <c r="K23" s="12">
        <v>2013</v>
      </c>
      <c r="L23" s="12">
        <v>1</v>
      </c>
      <c r="M23" s="12">
        <v>1</v>
      </c>
    </row>
    <row r="24" customFormat="1" spans="1:13">
      <c r="A24" s="1"/>
      <c r="B24" s="1"/>
      <c r="D24" s="12"/>
      <c r="F24" s="2"/>
      <c r="G24" s="2"/>
      <c r="H24" s="1"/>
      <c r="I24" s="1"/>
      <c r="J24" s="1"/>
      <c r="K24" s="12"/>
      <c r="L24" s="12"/>
      <c r="M24" s="12"/>
    </row>
    <row r="25" customFormat="1" spans="1:13">
      <c r="A25" s="1"/>
      <c r="B25" s="1"/>
      <c r="D25" s="12"/>
      <c r="F25" s="2"/>
      <c r="G25" s="2"/>
      <c r="H25" s="1"/>
      <c r="I25" s="1"/>
      <c r="J25" s="1"/>
      <c r="K25" s="12"/>
      <c r="L25" s="12"/>
      <c r="M25" s="12"/>
    </row>
    <row r="26" customFormat="1" spans="1:13">
      <c r="A26" s="1"/>
      <c r="B26" s="1"/>
      <c r="D26" s="12"/>
      <c r="F26" s="2"/>
      <c r="G26" s="2"/>
      <c r="H26" s="1"/>
      <c r="I26" s="1"/>
      <c r="J26" s="1"/>
      <c r="K26" s="12"/>
      <c r="L26" s="12"/>
      <c r="M26" s="12"/>
    </row>
    <row r="27" customFormat="1" spans="1:13">
      <c r="A27" s="1"/>
      <c r="B27" s="1"/>
      <c r="D27" s="12"/>
      <c r="F27" s="2"/>
      <c r="G27" s="2"/>
      <c r="H27" s="1"/>
      <c r="I27" s="1"/>
      <c r="J27" s="1"/>
      <c r="K27" s="12"/>
      <c r="L27" s="12"/>
      <c r="M27" s="12"/>
    </row>
    <row r="28" customFormat="1" spans="1:13">
      <c r="A28" s="1"/>
      <c r="B28" s="1"/>
      <c r="D28" s="12"/>
      <c r="F28" s="2"/>
      <c r="G28" s="2"/>
      <c r="H28" s="1"/>
      <c r="I28" s="1"/>
      <c r="J28" s="1"/>
      <c r="K28" s="12"/>
      <c r="L28" s="12"/>
      <c r="M28" s="12"/>
    </row>
    <row r="29" customFormat="1" spans="1:13">
      <c r="A29" s="1"/>
      <c r="B29" s="1"/>
      <c r="D29" s="12"/>
      <c r="F29" s="2"/>
      <c r="G29" s="2"/>
      <c r="H29" s="1"/>
      <c r="I29" s="1"/>
      <c r="J29" s="1"/>
      <c r="K29" s="12"/>
      <c r="L29" s="12"/>
      <c r="M29" s="12"/>
    </row>
    <row r="30" customFormat="1" spans="1:13">
      <c r="A30" s="1"/>
      <c r="B30" s="1"/>
      <c r="D30" s="12"/>
      <c r="F30" s="2"/>
      <c r="G30" s="2"/>
      <c r="H30" s="1"/>
      <c r="I30" s="1"/>
      <c r="J30" s="1"/>
      <c r="K30" s="12"/>
      <c r="L30" s="12"/>
      <c r="M30" s="12"/>
    </row>
    <row r="31" customFormat="1" spans="1:13">
      <c r="A31" s="1"/>
      <c r="B31" s="1"/>
      <c r="D31" s="12"/>
      <c r="F31" s="2"/>
      <c r="G31" s="2"/>
      <c r="H31" s="1"/>
      <c r="I31" s="1"/>
      <c r="J31" s="1"/>
      <c r="K31" s="12"/>
      <c r="L31" s="12"/>
      <c r="M31" s="12"/>
    </row>
    <row r="32" customFormat="1" spans="1:13">
      <c r="A32" s="1"/>
      <c r="B32" s="1"/>
      <c r="D32" s="12"/>
      <c r="F32" s="2"/>
      <c r="G32" s="2"/>
      <c r="H32" s="1"/>
      <c r="I32" s="1"/>
      <c r="J32" s="1"/>
      <c r="K32" s="12"/>
      <c r="L32" s="12"/>
      <c r="M32" s="12"/>
    </row>
    <row r="33" customFormat="1" spans="1:13">
      <c r="A33" s="1"/>
      <c r="B33" s="1"/>
      <c r="D33" s="12"/>
      <c r="F33" s="2"/>
      <c r="G33" s="2"/>
      <c r="H33" s="1"/>
      <c r="I33" s="1"/>
      <c r="J33" s="1"/>
      <c r="K33" s="12"/>
      <c r="L33" s="12"/>
      <c r="M33" s="12"/>
    </row>
    <row r="34" customFormat="1" spans="1:13">
      <c r="A34" s="1"/>
      <c r="B34" s="1"/>
      <c r="D34" s="12"/>
      <c r="F34" s="2"/>
      <c r="G34" s="2"/>
      <c r="H34" s="1"/>
      <c r="I34" s="1"/>
      <c r="J34" s="1"/>
      <c r="K34" s="12"/>
      <c r="L34" s="12"/>
      <c r="M34" s="12"/>
    </row>
    <row r="35" customFormat="1" spans="1:13">
      <c r="A35" s="1"/>
      <c r="B35" s="1"/>
      <c r="D35" s="12"/>
      <c r="F35" s="2"/>
      <c r="G35" s="2"/>
      <c r="H35" s="1"/>
      <c r="I35" s="1"/>
      <c r="J35" s="1"/>
      <c r="K35" s="12"/>
      <c r="L35" s="12"/>
      <c r="M35" s="12"/>
    </row>
    <row r="36" customFormat="1" spans="1:13">
      <c r="A36" s="1"/>
      <c r="B36" s="1"/>
      <c r="D36" s="12"/>
      <c r="F36" s="2"/>
      <c r="G36" s="2"/>
      <c r="H36" s="1"/>
      <c r="I36" s="1"/>
      <c r="J36" s="1"/>
      <c r="K36" s="12"/>
      <c r="L36" s="12"/>
      <c r="M36" s="12"/>
    </row>
    <row r="37" customFormat="1" spans="1:13">
      <c r="A37" s="1"/>
      <c r="B37" s="1"/>
      <c r="D37" s="12"/>
      <c r="F37" s="2"/>
      <c r="G37" s="2"/>
      <c r="H37" s="1"/>
      <c r="I37" s="1"/>
      <c r="J37" s="1"/>
      <c r="K37" s="12"/>
      <c r="L37" s="12"/>
      <c r="M37" s="12"/>
    </row>
    <row r="38" customFormat="1" spans="1:13">
      <c r="A38" s="1"/>
      <c r="B38" s="1"/>
      <c r="C38" s="1"/>
      <c r="D38" s="12"/>
      <c r="F38" s="2"/>
      <c r="G38" s="2"/>
      <c r="H38" s="1"/>
      <c r="I38" s="1"/>
      <c r="J38" s="1"/>
      <c r="K38" s="12"/>
      <c r="L38" s="12"/>
      <c r="M38" s="12"/>
    </row>
    <row r="39" customFormat="1" spans="1:13">
      <c r="A39" s="1"/>
      <c r="B39" s="1"/>
      <c r="C39" s="1"/>
      <c r="D39" s="12"/>
      <c r="F39" s="2"/>
      <c r="G39" s="2"/>
      <c r="H39" s="1"/>
      <c r="I39" s="1"/>
      <c r="J39" s="1"/>
      <c r="K39" s="12"/>
      <c r="L39" s="12"/>
      <c r="M39" s="12"/>
    </row>
    <row r="40" customFormat="1" spans="1:13">
      <c r="A40" s="1"/>
      <c r="B40" s="1"/>
      <c r="C40" s="1"/>
      <c r="D40" s="12"/>
      <c r="F40" s="2"/>
      <c r="G40" s="2"/>
      <c r="H40" s="1"/>
      <c r="I40" s="1"/>
      <c r="J40" s="1"/>
      <c r="K40" s="12"/>
      <c r="L40" s="12"/>
      <c r="M40" s="12"/>
    </row>
    <row r="41" customFormat="1" spans="1:13">
      <c r="A41" s="1"/>
      <c r="B41" s="1"/>
      <c r="C41" s="1"/>
      <c r="D41" s="1"/>
      <c r="E41" s="1"/>
      <c r="F41" s="2"/>
      <c r="G41" s="2"/>
      <c r="H41" s="1"/>
      <c r="I41" s="1"/>
      <c r="J41" s="1"/>
      <c r="K41" s="12"/>
      <c r="L41" s="12"/>
      <c r="M41" s="12"/>
    </row>
    <row r="42" customFormat="1" spans="1:13">
      <c r="A42" s="1"/>
      <c r="B42" s="1"/>
      <c r="C42" s="1"/>
      <c r="D42" s="1"/>
      <c r="E42" s="1"/>
      <c r="F42" s="2"/>
      <c r="G42" s="2"/>
      <c r="H42" s="1"/>
      <c r="I42" s="1"/>
      <c r="J42" s="1"/>
      <c r="K42" s="12"/>
      <c r="L42" s="12"/>
      <c r="M42" s="12"/>
    </row>
    <row r="43" customFormat="1" spans="1:13">
      <c r="A43" s="1"/>
      <c r="B43" s="1"/>
      <c r="C43" s="1"/>
      <c r="D43" s="1"/>
      <c r="E43" s="1"/>
      <c r="F43" s="2"/>
      <c r="G43" s="2"/>
      <c r="H43" s="1"/>
      <c r="I43" s="1"/>
      <c r="J43" s="1"/>
      <c r="K43" s="12"/>
      <c r="L43" s="12"/>
      <c r="M43" s="12"/>
    </row>
    <row r="44" customFormat="1" spans="1:13">
      <c r="A44" s="1"/>
      <c r="B44" s="1"/>
      <c r="C44" s="1"/>
      <c r="D44" s="1"/>
      <c r="E44" s="1"/>
      <c r="F44" s="2"/>
      <c r="G44" s="2"/>
      <c r="H44" s="1"/>
      <c r="I44" s="1"/>
      <c r="J44" s="1"/>
      <c r="K44" s="12"/>
      <c r="L44" s="12"/>
      <c r="M44" s="12"/>
    </row>
    <row r="45" customFormat="1" spans="1:13">
      <c r="A45" s="1"/>
      <c r="B45" s="1"/>
      <c r="C45" s="1"/>
      <c r="D45" s="1"/>
      <c r="E45" s="1"/>
      <c r="F45" s="2"/>
      <c r="G45" s="2"/>
      <c r="H45" s="1"/>
      <c r="I45" s="1"/>
      <c r="J45" s="1"/>
      <c r="K45" s="12"/>
      <c r="L45" s="12"/>
      <c r="M45" s="12"/>
    </row>
    <row r="46" customFormat="1" spans="1:13">
      <c r="A46" s="1"/>
      <c r="B46" s="1"/>
      <c r="C46" s="1"/>
      <c r="D46" s="1"/>
      <c r="E46" s="1"/>
      <c r="F46" s="2"/>
      <c r="G46" s="2"/>
      <c r="H46" s="1"/>
      <c r="I46" s="1"/>
      <c r="J46" s="1"/>
      <c r="K46" s="12"/>
      <c r="L46" s="12"/>
      <c r="M46" s="12"/>
    </row>
    <row r="47" customFormat="1" spans="1:13">
      <c r="A47" s="1"/>
      <c r="B47" s="1"/>
      <c r="C47" s="1"/>
      <c r="D47" s="1"/>
      <c r="E47" s="1"/>
      <c r="F47" s="2"/>
      <c r="G47" s="2"/>
      <c r="H47" s="1"/>
      <c r="I47" s="1"/>
      <c r="J47" s="1"/>
      <c r="K47" s="12"/>
      <c r="L47" s="12"/>
      <c r="M47" s="12"/>
    </row>
    <row r="48" customFormat="1" spans="1:13">
      <c r="A48" s="1"/>
      <c r="B48" s="1"/>
      <c r="C48" s="1"/>
      <c r="D48" s="1"/>
      <c r="E48" s="1"/>
      <c r="F48" s="2"/>
      <c r="G48" s="2"/>
      <c r="H48" s="1"/>
      <c r="I48" s="1"/>
      <c r="J48" s="1"/>
      <c r="K48" s="12"/>
      <c r="L48" s="12"/>
      <c r="M48" s="12"/>
    </row>
    <row r="49" customFormat="1" spans="1:13">
      <c r="A49" s="1"/>
      <c r="B49" s="1"/>
      <c r="C49" s="1"/>
      <c r="D49" s="1"/>
      <c r="E49" s="1"/>
      <c r="F49" s="2"/>
      <c r="G49" s="2"/>
      <c r="H49" s="1"/>
      <c r="I49" s="1"/>
      <c r="J49" s="1"/>
      <c r="K49" s="12"/>
      <c r="L49" s="12"/>
      <c r="M49" s="12"/>
    </row>
    <row r="50" customFormat="1" spans="1:13">
      <c r="A50" s="1"/>
      <c r="B50" s="1"/>
      <c r="C50" s="1"/>
      <c r="D50" s="1"/>
      <c r="E50" s="1"/>
      <c r="F50" s="2"/>
      <c r="G50" s="2"/>
      <c r="H50" s="1"/>
      <c r="I50" s="1"/>
      <c r="J50" s="1"/>
      <c r="K50" s="12"/>
      <c r="L50" s="12"/>
      <c r="M50" s="12"/>
    </row>
    <row r="51" customFormat="1" spans="1:10">
      <c r="A51" s="1"/>
      <c r="B51" s="1"/>
      <c r="C51" s="1"/>
      <c r="D51" s="1"/>
      <c r="E51" s="1"/>
      <c r="F51" s="2"/>
      <c r="G51" s="2"/>
      <c r="H51" s="1"/>
      <c r="I51" s="1"/>
      <c r="J51" s="1"/>
    </row>
    <row r="52" customFormat="1" spans="1:10">
      <c r="A52" s="1"/>
      <c r="B52" s="1"/>
      <c r="C52" s="1"/>
      <c r="D52" s="1"/>
      <c r="E52" s="1"/>
      <c r="F52" s="2"/>
      <c r="G52" s="2"/>
      <c r="H52" s="1"/>
      <c r="I52" s="1"/>
      <c r="J52" s="1"/>
    </row>
    <row r="53" customFormat="1" spans="1:10">
      <c r="A53" s="1"/>
      <c r="B53" s="1"/>
      <c r="C53" s="1"/>
      <c r="D53" s="1"/>
      <c r="E53" s="1"/>
      <c r="F53" s="2"/>
      <c r="G53" s="2"/>
      <c r="H53" s="1"/>
      <c r="I53" s="1"/>
      <c r="J53" s="1"/>
    </row>
    <row r="54" customFormat="1" spans="1:10">
      <c r="A54" s="1"/>
      <c r="B54" s="1"/>
      <c r="C54" s="1"/>
      <c r="D54" s="1"/>
      <c r="E54" s="1"/>
      <c r="F54" s="2"/>
      <c r="G54" s="2"/>
      <c r="H54" s="1"/>
      <c r="I54" s="1"/>
      <c r="J54" s="1"/>
    </row>
    <row r="55" customFormat="1" spans="1:7">
      <c r="A55" s="1"/>
      <c r="B55" s="1"/>
      <c r="C55" s="1"/>
      <c r="D55" s="1"/>
      <c r="E55" s="1"/>
      <c r="F55" s="2"/>
      <c r="G55" s="2"/>
    </row>
    <row r="56" customFormat="1" spans="1:7">
      <c r="A56" s="1"/>
      <c r="B56" s="1"/>
      <c r="C56" s="1"/>
      <c r="D56" s="1"/>
      <c r="E56" s="1"/>
      <c r="F56" s="2"/>
      <c r="G56" s="2"/>
    </row>
    <row r="57" customFormat="1" spans="1:7">
      <c r="A57" s="1"/>
      <c r="B57" s="1"/>
      <c r="C57" s="1"/>
      <c r="D57" s="1"/>
      <c r="E57" s="1"/>
      <c r="F57" s="2"/>
      <c r="G57" s="2"/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1505" r:id="rId3" name="CommandButton1">
          <controlPr defaultSize="0" r:id="rId4">
            <anchor moveWithCells="1">
              <from>
                <xdr:col>4</xdr:col>
                <xdr:colOff>47625</xdr:colOff>
                <xdr:row>28</xdr:row>
                <xdr:rowOff>19050</xdr:rowOff>
              </from>
              <to>
                <xdr:col>4</xdr:col>
                <xdr:colOff>1095375</xdr:colOff>
                <xdr:row>30</xdr:row>
                <xdr:rowOff>47625</xdr:rowOff>
              </to>
            </anchor>
          </controlPr>
        </control>
      </mc:Choice>
      <mc:Fallback>
        <control shapeId="21505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XFB59"/>
  <sheetViews>
    <sheetView workbookViewId="0">
      <selection activeCell="D3" sqref="D3:E3"/>
    </sheetView>
  </sheetViews>
  <sheetFormatPr defaultColWidth="9" defaultRowHeight="13.5"/>
  <cols>
    <col min="1" max="1" width="9.875" style="57" customWidth="1"/>
    <col min="2" max="2" width="9.375" style="1" customWidth="1"/>
    <col min="3" max="3" width="10.625" style="1" customWidth="1"/>
    <col min="4" max="4" width="9.875" style="1" customWidth="1"/>
    <col min="5" max="5" width="16.75" style="1" customWidth="1"/>
    <col min="6" max="6" width="12.125" style="2" customWidth="1"/>
    <col min="7" max="7" width="22.375" style="1" customWidth="1"/>
    <col min="8" max="8" width="17.875" style="1" customWidth="1"/>
    <col min="9" max="9" width="17.75" style="1" customWidth="1"/>
    <col min="10" max="10" width="5.875" style="16" customWidth="1"/>
    <col min="11" max="11" width="17.375" style="16" customWidth="1"/>
    <col min="12" max="12" width="5.25" style="16" customWidth="1"/>
    <col min="13" max="13" width="5.375" style="16" customWidth="1"/>
    <col min="14" max="14" width="4.875" style="16" customWidth="1"/>
    <col min="15" max="21" width="9" style="16"/>
  </cols>
  <sheetData>
    <row r="1" customFormat="1" ht="24" customHeight="1" spans="1:16382">
      <c r="A1" s="88"/>
      <c r="B1" s="89" t="s">
        <v>242</v>
      </c>
      <c r="C1" s="90"/>
      <c r="D1" s="91"/>
      <c r="E1" s="92"/>
      <c r="F1" s="92"/>
      <c r="G1" s="92"/>
      <c r="H1" s="92"/>
      <c r="I1" s="91"/>
      <c r="J1" s="114"/>
      <c r="K1" s="115"/>
      <c r="L1" s="116"/>
      <c r="M1" s="116"/>
      <c r="N1" s="116"/>
      <c r="O1" s="96"/>
      <c r="P1" s="96"/>
      <c r="Q1" s="96"/>
      <c r="R1" s="96"/>
      <c r="S1" s="96"/>
      <c r="T1" s="96"/>
      <c r="U1" s="96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  <c r="AAA1" s="9"/>
      <c r="AAB1" s="9"/>
      <c r="AAC1" s="9"/>
      <c r="AAD1" s="9"/>
      <c r="AAE1" s="9"/>
      <c r="AAF1" s="9"/>
      <c r="AAG1" s="9"/>
      <c r="AAH1" s="9"/>
      <c r="AAI1" s="9"/>
      <c r="AAJ1" s="9"/>
      <c r="AAK1" s="9"/>
      <c r="AAL1" s="9"/>
      <c r="AAM1" s="9"/>
      <c r="AAN1" s="9"/>
      <c r="AAO1" s="9"/>
      <c r="AAP1" s="9"/>
      <c r="AAQ1" s="9"/>
      <c r="AAR1" s="9"/>
      <c r="AAS1" s="9"/>
      <c r="AAT1" s="9"/>
      <c r="AAU1" s="9"/>
      <c r="AAV1" s="9"/>
      <c r="AAW1" s="9"/>
      <c r="AAX1" s="9"/>
      <c r="AAY1" s="9"/>
      <c r="AAZ1" s="9"/>
      <c r="ABA1" s="9"/>
      <c r="ABB1" s="9"/>
      <c r="ABC1" s="9"/>
      <c r="ABD1" s="9"/>
      <c r="ABE1" s="9"/>
      <c r="ABF1" s="9"/>
      <c r="ABG1" s="9"/>
      <c r="ABH1" s="9"/>
      <c r="ABI1" s="9"/>
      <c r="ABJ1" s="9"/>
      <c r="ABK1" s="9"/>
      <c r="ABL1" s="9"/>
      <c r="ABM1" s="9"/>
      <c r="ABN1" s="9"/>
      <c r="ABO1" s="9"/>
      <c r="ABP1" s="9"/>
      <c r="ABQ1" s="9"/>
      <c r="ABR1" s="9"/>
      <c r="ABS1" s="9"/>
      <c r="ABT1" s="9"/>
      <c r="ABU1" s="9"/>
      <c r="ABV1" s="9"/>
      <c r="ABW1" s="9"/>
      <c r="ABX1" s="9"/>
      <c r="ABY1" s="9"/>
      <c r="ABZ1" s="9"/>
      <c r="ACA1" s="9"/>
      <c r="ACB1" s="9"/>
      <c r="ACC1" s="9"/>
      <c r="ACD1" s="9"/>
      <c r="ACE1" s="9"/>
      <c r="ACF1" s="9"/>
      <c r="ACG1" s="9"/>
      <c r="ACH1" s="9"/>
      <c r="ACI1" s="9"/>
      <c r="ACJ1" s="9"/>
      <c r="ACK1" s="9"/>
      <c r="ACL1" s="9"/>
      <c r="ACM1" s="9"/>
      <c r="ACN1" s="9"/>
      <c r="ACO1" s="9"/>
      <c r="ACP1" s="9"/>
      <c r="ACQ1" s="9"/>
      <c r="ACR1" s="9"/>
      <c r="ACS1" s="9"/>
      <c r="ACT1" s="9"/>
      <c r="ACU1" s="9"/>
      <c r="ACV1" s="9"/>
      <c r="ACW1" s="9"/>
      <c r="ACX1" s="9"/>
      <c r="ACY1" s="9"/>
      <c r="ACZ1" s="9"/>
      <c r="ADA1" s="9"/>
      <c r="ADB1" s="9"/>
      <c r="ADC1" s="9"/>
      <c r="ADD1" s="9"/>
      <c r="ADE1" s="9"/>
      <c r="ADF1" s="9"/>
      <c r="ADG1" s="9"/>
      <c r="ADH1" s="9"/>
      <c r="ADI1" s="9"/>
      <c r="ADJ1" s="9"/>
      <c r="ADK1" s="9"/>
      <c r="ADL1" s="9"/>
      <c r="ADM1" s="9"/>
      <c r="ADN1" s="9"/>
      <c r="ADO1" s="9"/>
      <c r="ADP1" s="9"/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9"/>
      <c r="AEH1" s="9"/>
      <c r="AEI1" s="9"/>
      <c r="AEJ1" s="9"/>
      <c r="AEK1" s="9"/>
      <c r="AEL1" s="9"/>
      <c r="AEM1" s="9"/>
      <c r="AEN1" s="9"/>
      <c r="AEO1" s="9"/>
      <c r="AEP1" s="9"/>
      <c r="AEQ1" s="9"/>
      <c r="AER1" s="9"/>
      <c r="AES1" s="9"/>
      <c r="AET1" s="9"/>
      <c r="AEU1" s="9"/>
      <c r="AEV1" s="9"/>
      <c r="AEW1" s="9"/>
      <c r="AEX1" s="9"/>
      <c r="AEY1" s="9"/>
      <c r="AEZ1" s="9"/>
      <c r="AFA1" s="9"/>
      <c r="AFB1" s="9"/>
      <c r="AFC1" s="9"/>
      <c r="AFD1" s="9"/>
      <c r="AFE1" s="9"/>
      <c r="AFF1" s="9"/>
      <c r="AFG1" s="9"/>
      <c r="AFH1" s="9"/>
      <c r="AFI1" s="9"/>
      <c r="AFJ1" s="9"/>
      <c r="AFK1" s="9"/>
      <c r="AFL1" s="9"/>
      <c r="AFM1" s="9"/>
      <c r="AFN1" s="9"/>
      <c r="AFO1" s="9"/>
      <c r="AFP1" s="9"/>
      <c r="AFQ1" s="9"/>
      <c r="AFR1" s="9"/>
      <c r="AFS1" s="9"/>
      <c r="AFT1" s="9"/>
      <c r="AFU1" s="9"/>
      <c r="AFV1" s="9"/>
      <c r="AFW1" s="9"/>
      <c r="AFX1" s="9"/>
      <c r="AFY1" s="9"/>
      <c r="AFZ1" s="9"/>
      <c r="AGA1" s="9"/>
      <c r="AGB1" s="9"/>
      <c r="AGC1" s="9"/>
      <c r="AGD1" s="9"/>
      <c r="AGE1" s="9"/>
      <c r="AGF1" s="9"/>
      <c r="AGG1" s="9"/>
      <c r="AGH1" s="9"/>
      <c r="AGI1" s="9"/>
      <c r="AGJ1" s="9"/>
      <c r="AGK1" s="9"/>
      <c r="AGL1" s="9"/>
      <c r="AGM1" s="9"/>
      <c r="AGN1" s="9"/>
      <c r="AGO1" s="9"/>
      <c r="AGP1" s="9"/>
      <c r="AGQ1" s="9"/>
      <c r="AGR1" s="9"/>
      <c r="AGS1" s="9"/>
      <c r="AGT1" s="9"/>
      <c r="AGU1" s="9"/>
      <c r="AGV1" s="9"/>
      <c r="AGW1" s="9"/>
      <c r="AGX1" s="9"/>
      <c r="AGY1" s="9"/>
      <c r="AGZ1" s="9"/>
      <c r="AHA1" s="9"/>
      <c r="AHB1" s="9"/>
      <c r="AHC1" s="9"/>
      <c r="AHD1" s="9"/>
      <c r="AHE1" s="9"/>
      <c r="AHF1" s="9"/>
      <c r="AHG1" s="9"/>
      <c r="AHH1" s="9"/>
      <c r="AHI1" s="9"/>
      <c r="AHJ1" s="9"/>
      <c r="AHK1" s="9"/>
      <c r="AHL1" s="9"/>
      <c r="AHM1" s="9"/>
      <c r="AHN1" s="9"/>
      <c r="AHO1" s="9"/>
      <c r="AHP1" s="9"/>
      <c r="AHQ1" s="9"/>
      <c r="AHR1" s="9"/>
      <c r="AHS1" s="9"/>
      <c r="AHT1" s="9"/>
      <c r="AHU1" s="9"/>
      <c r="AHV1" s="9"/>
      <c r="AHW1" s="9"/>
      <c r="AHX1" s="9"/>
      <c r="AHY1" s="9"/>
      <c r="AHZ1" s="9"/>
      <c r="AIA1" s="9"/>
      <c r="AIB1" s="9"/>
      <c r="AIC1" s="9"/>
      <c r="AID1" s="9"/>
      <c r="AIE1" s="9"/>
      <c r="AIF1" s="9"/>
      <c r="AIG1" s="9"/>
      <c r="AIH1" s="9"/>
      <c r="AII1" s="9"/>
      <c r="AIJ1" s="9"/>
      <c r="AIK1" s="9"/>
      <c r="AIL1" s="9"/>
      <c r="AIM1" s="9"/>
      <c r="AIN1" s="9"/>
      <c r="AIO1" s="9"/>
      <c r="AIP1" s="9"/>
      <c r="AIQ1" s="9"/>
      <c r="AIR1" s="9"/>
      <c r="AIS1" s="9"/>
      <c r="AIT1" s="9"/>
      <c r="AIU1" s="9"/>
      <c r="AIV1" s="9"/>
      <c r="AIW1" s="9"/>
      <c r="AIX1" s="9"/>
      <c r="AIY1" s="9"/>
      <c r="AIZ1" s="9"/>
      <c r="AJA1" s="9"/>
      <c r="AJB1" s="9"/>
      <c r="AJC1" s="9"/>
      <c r="AJD1" s="9"/>
      <c r="AJE1" s="9"/>
      <c r="AJF1" s="9"/>
      <c r="AJG1" s="9"/>
      <c r="AJH1" s="9"/>
      <c r="AJI1" s="9"/>
      <c r="AJJ1" s="9"/>
      <c r="AJK1" s="9"/>
      <c r="AJL1" s="9"/>
      <c r="AJM1" s="9"/>
      <c r="AJN1" s="9"/>
      <c r="AJO1" s="9"/>
      <c r="AJP1" s="9"/>
      <c r="AJQ1" s="9"/>
      <c r="AJR1" s="9"/>
      <c r="AJS1" s="9"/>
      <c r="AJT1" s="9"/>
      <c r="AJU1" s="9"/>
      <c r="AJV1" s="9"/>
      <c r="AJW1" s="9"/>
      <c r="AJX1" s="9"/>
      <c r="AJY1" s="9"/>
      <c r="AJZ1" s="9"/>
      <c r="AKA1" s="9"/>
      <c r="AKB1" s="9"/>
      <c r="AKC1" s="9"/>
      <c r="AKD1" s="9"/>
      <c r="AKE1" s="9"/>
      <c r="AKF1" s="9"/>
      <c r="AKG1" s="9"/>
      <c r="AKH1" s="9"/>
      <c r="AKI1" s="9"/>
      <c r="AKJ1" s="9"/>
      <c r="AKK1" s="9"/>
      <c r="AKL1" s="9"/>
      <c r="AKM1" s="9"/>
      <c r="AKN1" s="9"/>
      <c r="AKO1" s="9"/>
      <c r="AKP1" s="9"/>
      <c r="AKQ1" s="9"/>
      <c r="AKR1" s="9"/>
      <c r="AKS1" s="9"/>
      <c r="AKT1" s="9"/>
      <c r="AKU1" s="9"/>
      <c r="AKV1" s="9"/>
      <c r="AKW1" s="9"/>
      <c r="AKX1" s="9"/>
      <c r="AKY1" s="9"/>
      <c r="AKZ1" s="9"/>
      <c r="ALA1" s="9"/>
      <c r="ALB1" s="9"/>
      <c r="ALC1" s="9"/>
      <c r="ALD1" s="9"/>
      <c r="ALE1" s="9"/>
      <c r="ALF1" s="9"/>
      <c r="ALG1" s="9"/>
      <c r="ALH1" s="9"/>
      <c r="ALI1" s="9"/>
      <c r="ALJ1" s="9"/>
      <c r="ALK1" s="9"/>
      <c r="ALL1" s="9"/>
      <c r="ALM1" s="9"/>
      <c r="ALN1" s="9"/>
      <c r="ALO1" s="9"/>
      <c r="ALP1" s="9"/>
      <c r="ALQ1" s="9"/>
      <c r="ALR1" s="9"/>
      <c r="ALS1" s="9"/>
      <c r="ALT1" s="9"/>
      <c r="ALU1" s="9"/>
      <c r="ALV1" s="9"/>
      <c r="ALW1" s="9"/>
      <c r="ALX1" s="9"/>
      <c r="ALY1" s="9"/>
      <c r="ALZ1" s="9"/>
      <c r="AMA1" s="9"/>
      <c r="AMB1" s="9"/>
      <c r="AMC1" s="9"/>
      <c r="AMD1" s="9"/>
      <c r="AME1" s="9"/>
      <c r="AMF1" s="9"/>
      <c r="AMG1" s="9"/>
      <c r="AMH1" s="9"/>
      <c r="AMI1" s="9"/>
      <c r="AMJ1" s="9"/>
      <c r="AMK1" s="9"/>
      <c r="AML1" s="9"/>
      <c r="AMM1" s="9"/>
      <c r="AMN1" s="9"/>
      <c r="AMO1" s="9"/>
      <c r="AMP1" s="9"/>
      <c r="AMQ1" s="9"/>
      <c r="AMR1" s="9"/>
      <c r="AMS1" s="9"/>
      <c r="AMT1" s="9"/>
      <c r="AMU1" s="9"/>
      <c r="AMV1" s="9"/>
      <c r="AMW1" s="9"/>
      <c r="AMX1" s="9"/>
      <c r="AMY1" s="9"/>
      <c r="AMZ1" s="9"/>
      <c r="ANA1" s="9"/>
      <c r="ANB1" s="9"/>
      <c r="ANC1" s="9"/>
      <c r="AND1" s="9"/>
      <c r="ANE1" s="9"/>
      <c r="ANF1" s="9"/>
      <c r="ANG1" s="9"/>
      <c r="ANH1" s="9"/>
      <c r="ANI1" s="9"/>
      <c r="ANJ1" s="9"/>
      <c r="ANK1" s="9"/>
      <c r="ANL1" s="9"/>
      <c r="ANM1" s="9"/>
      <c r="ANN1" s="9"/>
      <c r="ANO1" s="9"/>
      <c r="ANP1" s="9"/>
      <c r="ANQ1" s="9"/>
      <c r="ANR1" s="9"/>
      <c r="ANS1" s="9"/>
      <c r="ANT1" s="9"/>
      <c r="ANU1" s="9"/>
      <c r="ANV1" s="9"/>
      <c r="ANW1" s="9"/>
      <c r="ANX1" s="9"/>
      <c r="ANY1" s="9"/>
      <c r="ANZ1" s="9"/>
      <c r="AOA1" s="9"/>
      <c r="AOB1" s="9"/>
      <c r="AOC1" s="9"/>
      <c r="AOD1" s="9"/>
      <c r="AOE1" s="9"/>
      <c r="AOF1" s="9"/>
      <c r="AOG1" s="9"/>
      <c r="AOH1" s="9"/>
      <c r="AOI1" s="9"/>
      <c r="AOJ1" s="9"/>
      <c r="AOK1" s="9"/>
      <c r="AOL1" s="9"/>
      <c r="AOM1" s="9"/>
      <c r="AON1" s="9"/>
      <c r="AOO1" s="9"/>
      <c r="AOP1" s="9"/>
      <c r="AOQ1" s="9"/>
      <c r="AOR1" s="9"/>
      <c r="AOS1" s="9"/>
      <c r="AOT1" s="9"/>
      <c r="AOU1" s="9"/>
      <c r="AOV1" s="9"/>
      <c r="AOW1" s="9"/>
      <c r="AOX1" s="9"/>
      <c r="AOY1" s="9"/>
      <c r="AOZ1" s="9"/>
      <c r="APA1" s="9"/>
      <c r="APB1" s="9"/>
      <c r="APC1" s="9"/>
      <c r="APD1" s="9"/>
      <c r="APE1" s="9"/>
      <c r="APF1" s="9"/>
      <c r="APG1" s="9"/>
      <c r="APH1" s="9"/>
      <c r="API1" s="9"/>
      <c r="APJ1" s="9"/>
      <c r="APK1" s="9"/>
      <c r="APL1" s="9"/>
      <c r="APM1" s="9"/>
      <c r="APN1" s="9"/>
      <c r="APO1" s="9"/>
      <c r="APP1" s="9"/>
      <c r="APQ1" s="9"/>
      <c r="APR1" s="9"/>
      <c r="APS1" s="9"/>
      <c r="APT1" s="9"/>
      <c r="APU1" s="9"/>
      <c r="APV1" s="9"/>
      <c r="APW1" s="9"/>
      <c r="APX1" s="9"/>
      <c r="APY1" s="9"/>
      <c r="APZ1" s="9"/>
      <c r="AQA1" s="9"/>
      <c r="AQB1" s="9"/>
      <c r="AQC1" s="9"/>
      <c r="AQD1" s="9"/>
      <c r="AQE1" s="9"/>
      <c r="AQF1" s="9"/>
      <c r="AQG1" s="9"/>
      <c r="AQH1" s="9"/>
      <c r="AQI1" s="9"/>
      <c r="AQJ1" s="9"/>
      <c r="AQK1" s="9"/>
      <c r="AQL1" s="9"/>
      <c r="AQM1" s="9"/>
      <c r="AQN1" s="9"/>
      <c r="AQO1" s="9"/>
      <c r="AQP1" s="9"/>
      <c r="AQQ1" s="9"/>
      <c r="AQR1" s="9"/>
      <c r="AQS1" s="9"/>
      <c r="AQT1" s="9"/>
      <c r="AQU1" s="9"/>
      <c r="AQV1" s="9"/>
      <c r="AQW1" s="9"/>
      <c r="AQX1" s="9"/>
      <c r="AQY1" s="9"/>
      <c r="AQZ1" s="9"/>
      <c r="ARA1" s="9"/>
      <c r="ARB1" s="9"/>
      <c r="ARC1" s="9"/>
      <c r="ARD1" s="9"/>
      <c r="ARE1" s="9"/>
      <c r="ARF1" s="9"/>
      <c r="ARG1" s="9"/>
      <c r="ARH1" s="9"/>
      <c r="ARI1" s="9"/>
      <c r="ARJ1" s="9"/>
      <c r="ARK1" s="9"/>
      <c r="ARL1" s="9"/>
      <c r="ARM1" s="9"/>
      <c r="ARN1" s="9"/>
      <c r="ARO1" s="9"/>
      <c r="ARP1" s="9"/>
      <c r="ARQ1" s="9"/>
      <c r="ARR1" s="9"/>
      <c r="ARS1" s="9"/>
      <c r="ART1" s="9"/>
      <c r="ARU1" s="9"/>
      <c r="ARV1" s="9"/>
      <c r="ARW1" s="9"/>
      <c r="ARX1" s="9"/>
      <c r="ARY1" s="9"/>
      <c r="ARZ1" s="9"/>
      <c r="ASA1" s="9"/>
      <c r="ASB1" s="9"/>
      <c r="ASC1" s="9"/>
      <c r="ASD1" s="9"/>
      <c r="ASE1" s="9"/>
      <c r="ASF1" s="9"/>
      <c r="ASG1" s="9"/>
      <c r="ASH1" s="9"/>
      <c r="ASI1" s="9"/>
      <c r="ASJ1" s="9"/>
      <c r="ASK1" s="9"/>
      <c r="ASL1" s="9"/>
      <c r="ASM1" s="9"/>
      <c r="ASN1" s="9"/>
      <c r="ASO1" s="9"/>
      <c r="ASP1" s="9"/>
      <c r="ASQ1" s="9"/>
      <c r="ASR1" s="9"/>
      <c r="ASS1" s="9"/>
      <c r="AST1" s="9"/>
      <c r="ASU1" s="9"/>
      <c r="ASV1" s="9"/>
      <c r="ASW1" s="9"/>
      <c r="ASX1" s="9"/>
      <c r="ASY1" s="9"/>
      <c r="ASZ1" s="9"/>
      <c r="ATA1" s="9"/>
      <c r="ATB1" s="9"/>
      <c r="ATC1" s="9"/>
      <c r="ATD1" s="9"/>
      <c r="ATE1" s="9"/>
      <c r="ATF1" s="9"/>
      <c r="ATG1" s="9"/>
      <c r="ATH1" s="9"/>
      <c r="ATI1" s="9"/>
      <c r="ATJ1" s="9"/>
      <c r="ATK1" s="9"/>
      <c r="ATL1" s="9"/>
      <c r="ATM1" s="9"/>
      <c r="ATN1" s="9"/>
      <c r="ATO1" s="9"/>
      <c r="ATP1" s="9"/>
      <c r="ATQ1" s="9"/>
      <c r="ATR1" s="9"/>
      <c r="ATS1" s="9"/>
      <c r="ATT1" s="9"/>
      <c r="ATU1" s="9"/>
      <c r="ATV1" s="9"/>
      <c r="ATW1" s="9"/>
      <c r="ATX1" s="9"/>
      <c r="ATY1" s="9"/>
      <c r="ATZ1" s="9"/>
      <c r="AUA1" s="9"/>
      <c r="AUB1" s="9"/>
      <c r="AUC1" s="9"/>
      <c r="AUD1" s="9"/>
      <c r="AUE1" s="9"/>
      <c r="AUF1" s="9"/>
      <c r="AUG1" s="9"/>
      <c r="AUH1" s="9"/>
      <c r="AUI1" s="9"/>
      <c r="AUJ1" s="9"/>
      <c r="AUK1" s="9"/>
      <c r="AUL1" s="9"/>
      <c r="AUM1" s="9"/>
      <c r="AUN1" s="9"/>
      <c r="AUO1" s="9"/>
      <c r="AUP1" s="9"/>
      <c r="AUQ1" s="9"/>
      <c r="AUR1" s="9"/>
      <c r="AUS1" s="9"/>
      <c r="AUT1" s="9"/>
      <c r="AUU1" s="9"/>
      <c r="AUV1" s="9"/>
      <c r="AUW1" s="9"/>
      <c r="AUX1" s="9"/>
      <c r="AUY1" s="9"/>
      <c r="AUZ1" s="9"/>
      <c r="AVA1" s="9"/>
      <c r="AVB1" s="9"/>
      <c r="AVC1" s="9"/>
      <c r="AVD1" s="9"/>
      <c r="AVE1" s="9"/>
      <c r="AVF1" s="9"/>
      <c r="AVG1" s="9"/>
      <c r="AVH1" s="9"/>
      <c r="AVI1" s="9"/>
      <c r="AVJ1" s="9"/>
      <c r="AVK1" s="9"/>
      <c r="AVL1" s="9"/>
      <c r="AVM1" s="9"/>
      <c r="AVN1" s="9"/>
      <c r="AVO1" s="9"/>
      <c r="AVP1" s="9"/>
      <c r="AVQ1" s="9"/>
      <c r="AVR1" s="9"/>
      <c r="AVS1" s="9"/>
      <c r="AVT1" s="9"/>
      <c r="AVU1" s="9"/>
      <c r="AVV1" s="9"/>
      <c r="AVW1" s="9"/>
      <c r="AVX1" s="9"/>
      <c r="AVY1" s="9"/>
      <c r="AVZ1" s="9"/>
      <c r="AWA1" s="9"/>
      <c r="AWB1" s="9"/>
      <c r="AWC1" s="9"/>
      <c r="AWD1" s="9"/>
      <c r="AWE1" s="9"/>
      <c r="AWF1" s="9"/>
      <c r="AWG1" s="9"/>
      <c r="AWH1" s="9"/>
      <c r="AWI1" s="9"/>
      <c r="AWJ1" s="9"/>
      <c r="AWK1" s="9"/>
      <c r="AWL1" s="9"/>
      <c r="AWM1" s="9"/>
      <c r="AWN1" s="9"/>
      <c r="AWO1" s="9"/>
      <c r="AWP1" s="9"/>
      <c r="AWQ1" s="9"/>
      <c r="AWR1" s="9"/>
      <c r="AWS1" s="9"/>
      <c r="AWT1" s="9"/>
      <c r="AWU1" s="9"/>
      <c r="AWV1" s="9"/>
      <c r="AWW1" s="9"/>
      <c r="AWX1" s="9"/>
      <c r="AWY1" s="9"/>
      <c r="AWZ1" s="9"/>
      <c r="AXA1" s="9"/>
      <c r="AXB1" s="9"/>
      <c r="AXC1" s="9"/>
      <c r="AXD1" s="9"/>
      <c r="AXE1" s="9"/>
      <c r="AXF1" s="9"/>
      <c r="AXG1" s="9"/>
      <c r="AXH1" s="9"/>
      <c r="AXI1" s="9"/>
      <c r="AXJ1" s="9"/>
      <c r="AXK1" s="9"/>
      <c r="AXL1" s="9"/>
      <c r="AXM1" s="9"/>
      <c r="AXN1" s="9"/>
      <c r="AXO1" s="9"/>
      <c r="AXP1" s="9"/>
      <c r="AXQ1" s="9"/>
      <c r="AXR1" s="9"/>
      <c r="AXS1" s="9"/>
      <c r="AXT1" s="9"/>
      <c r="AXU1" s="9"/>
      <c r="AXV1" s="9"/>
      <c r="AXW1" s="9"/>
      <c r="AXX1" s="9"/>
      <c r="AXY1" s="9"/>
      <c r="AXZ1" s="9"/>
      <c r="AYA1" s="9"/>
      <c r="AYB1" s="9"/>
      <c r="AYC1" s="9"/>
      <c r="AYD1" s="9"/>
      <c r="AYE1" s="9"/>
      <c r="AYF1" s="9"/>
      <c r="AYG1" s="9"/>
      <c r="AYH1" s="9"/>
      <c r="AYI1" s="9"/>
      <c r="AYJ1" s="9"/>
      <c r="AYK1" s="9"/>
      <c r="AYL1" s="9"/>
      <c r="AYM1" s="9"/>
      <c r="AYN1" s="9"/>
      <c r="AYO1" s="9"/>
      <c r="AYP1" s="9"/>
      <c r="AYQ1" s="9"/>
      <c r="AYR1" s="9"/>
      <c r="AYS1" s="9"/>
      <c r="AYT1" s="9"/>
      <c r="AYU1" s="9"/>
      <c r="AYV1" s="9"/>
      <c r="AYW1" s="9"/>
      <c r="AYX1" s="9"/>
      <c r="AYY1" s="9"/>
      <c r="AYZ1" s="9"/>
      <c r="AZA1" s="9"/>
      <c r="AZB1" s="9"/>
      <c r="AZC1" s="9"/>
      <c r="AZD1" s="9"/>
      <c r="AZE1" s="9"/>
      <c r="AZF1" s="9"/>
      <c r="AZG1" s="9"/>
      <c r="AZH1" s="9"/>
      <c r="AZI1" s="9"/>
      <c r="AZJ1" s="9"/>
      <c r="AZK1" s="9"/>
      <c r="AZL1" s="9"/>
      <c r="AZM1" s="9"/>
      <c r="AZN1" s="9"/>
      <c r="AZO1" s="9"/>
      <c r="AZP1" s="9"/>
      <c r="AZQ1" s="9"/>
      <c r="AZR1" s="9"/>
      <c r="AZS1" s="9"/>
      <c r="AZT1" s="9"/>
      <c r="AZU1" s="9"/>
      <c r="AZV1" s="9"/>
      <c r="AZW1" s="9"/>
      <c r="AZX1" s="9"/>
      <c r="AZY1" s="9"/>
      <c r="AZZ1" s="9"/>
      <c r="BAA1" s="9"/>
      <c r="BAB1" s="9"/>
      <c r="BAC1" s="9"/>
      <c r="BAD1" s="9"/>
      <c r="BAE1" s="9"/>
      <c r="BAF1" s="9"/>
      <c r="BAG1" s="9"/>
      <c r="BAH1" s="9"/>
      <c r="BAI1" s="9"/>
      <c r="BAJ1" s="9"/>
      <c r="BAK1" s="9"/>
      <c r="BAL1" s="9"/>
      <c r="BAM1" s="9"/>
      <c r="BAN1" s="9"/>
      <c r="BAO1" s="9"/>
      <c r="BAP1" s="9"/>
      <c r="BAQ1" s="9"/>
      <c r="BAR1" s="9"/>
      <c r="BAS1" s="9"/>
      <c r="BAT1" s="9"/>
      <c r="BAU1" s="9"/>
      <c r="BAV1" s="9"/>
      <c r="BAW1" s="9"/>
      <c r="BAX1" s="9"/>
      <c r="BAY1" s="9"/>
      <c r="BAZ1" s="9"/>
      <c r="BBA1" s="9"/>
      <c r="BBB1" s="9"/>
      <c r="BBC1" s="9"/>
      <c r="BBD1" s="9"/>
      <c r="BBE1" s="9"/>
      <c r="BBF1" s="9"/>
      <c r="BBG1" s="9"/>
      <c r="BBH1" s="9"/>
      <c r="BBI1" s="9"/>
      <c r="BBJ1" s="9"/>
      <c r="BBK1" s="9"/>
      <c r="BBL1" s="9"/>
      <c r="BBM1" s="9"/>
      <c r="BBN1" s="9"/>
      <c r="BBO1" s="9"/>
      <c r="BBP1" s="9"/>
      <c r="BBQ1" s="9"/>
      <c r="BBR1" s="9"/>
      <c r="BBS1" s="9"/>
      <c r="BBT1" s="9"/>
      <c r="BBU1" s="9"/>
      <c r="BBV1" s="9"/>
      <c r="BBW1" s="9"/>
      <c r="BBX1" s="9"/>
      <c r="BBY1" s="9"/>
      <c r="BBZ1" s="9"/>
      <c r="BCA1" s="9"/>
      <c r="BCB1" s="9"/>
      <c r="BCC1" s="9"/>
      <c r="BCD1" s="9"/>
      <c r="BCE1" s="9"/>
      <c r="BCF1" s="9"/>
      <c r="BCG1" s="9"/>
      <c r="BCH1" s="9"/>
      <c r="BCI1" s="9"/>
      <c r="BCJ1" s="9"/>
      <c r="BCK1" s="9"/>
      <c r="BCL1" s="9"/>
      <c r="BCM1" s="9"/>
      <c r="BCN1" s="9"/>
      <c r="BCO1" s="9"/>
      <c r="BCP1" s="9"/>
      <c r="BCQ1" s="9"/>
      <c r="BCR1" s="9"/>
      <c r="BCS1" s="9"/>
      <c r="BCT1" s="9"/>
      <c r="BCU1" s="9"/>
      <c r="BCV1" s="9"/>
      <c r="BCW1" s="9"/>
      <c r="BCX1" s="9"/>
      <c r="BCY1" s="9"/>
      <c r="BCZ1" s="9"/>
      <c r="BDA1" s="9"/>
      <c r="BDB1" s="9"/>
      <c r="BDC1" s="9"/>
      <c r="BDD1" s="9"/>
      <c r="BDE1" s="9"/>
      <c r="BDF1" s="9"/>
      <c r="BDG1" s="9"/>
      <c r="BDH1" s="9"/>
      <c r="BDI1" s="9"/>
      <c r="BDJ1" s="9"/>
      <c r="BDK1" s="9"/>
      <c r="BDL1" s="9"/>
      <c r="BDM1" s="9"/>
      <c r="BDN1" s="9"/>
      <c r="BDO1" s="9"/>
      <c r="BDP1" s="9"/>
      <c r="BDQ1" s="9"/>
      <c r="BDR1" s="9"/>
      <c r="BDS1" s="9"/>
      <c r="BDT1" s="9"/>
      <c r="BDU1" s="9"/>
      <c r="BDV1" s="9"/>
      <c r="BDW1" s="9"/>
      <c r="BDX1" s="9"/>
      <c r="BDY1" s="9"/>
      <c r="BDZ1" s="9"/>
      <c r="BEA1" s="9"/>
      <c r="BEB1" s="9"/>
      <c r="BEC1" s="9"/>
      <c r="BED1" s="9"/>
      <c r="BEE1" s="9"/>
      <c r="BEF1" s="9"/>
      <c r="BEG1" s="9"/>
      <c r="BEH1" s="9"/>
      <c r="BEI1" s="9"/>
      <c r="BEJ1" s="9"/>
      <c r="BEK1" s="9"/>
      <c r="BEL1" s="9"/>
      <c r="BEM1" s="9"/>
      <c r="BEN1" s="9"/>
      <c r="BEO1" s="9"/>
      <c r="BEP1" s="9"/>
      <c r="BEQ1" s="9"/>
      <c r="BER1" s="9"/>
      <c r="BES1" s="9"/>
      <c r="BET1" s="9"/>
      <c r="BEU1" s="9"/>
      <c r="BEV1" s="9"/>
      <c r="BEW1" s="9"/>
      <c r="BEX1" s="9"/>
      <c r="BEY1" s="9"/>
      <c r="BEZ1" s="9"/>
      <c r="BFA1" s="9"/>
      <c r="BFB1" s="9"/>
      <c r="BFC1" s="9"/>
      <c r="BFD1" s="9"/>
      <c r="BFE1" s="9"/>
      <c r="BFF1" s="9"/>
      <c r="BFG1" s="9"/>
      <c r="BFH1" s="9"/>
      <c r="BFI1" s="9"/>
      <c r="BFJ1" s="9"/>
      <c r="BFK1" s="9"/>
      <c r="BFL1" s="9"/>
      <c r="BFM1" s="9"/>
      <c r="BFN1" s="9"/>
      <c r="BFO1" s="9"/>
      <c r="BFP1" s="9"/>
      <c r="BFQ1" s="9"/>
      <c r="BFR1" s="9"/>
      <c r="BFS1" s="9"/>
      <c r="BFT1" s="9"/>
      <c r="BFU1" s="9"/>
      <c r="BFV1" s="9"/>
      <c r="BFW1" s="9"/>
      <c r="BFX1" s="9"/>
      <c r="BFY1" s="9"/>
      <c r="BFZ1" s="9"/>
      <c r="BGA1" s="9"/>
      <c r="BGB1" s="9"/>
      <c r="BGC1" s="9"/>
      <c r="BGD1" s="9"/>
      <c r="BGE1" s="9"/>
      <c r="BGF1" s="9"/>
      <c r="BGG1" s="9"/>
      <c r="BGH1" s="9"/>
      <c r="BGI1" s="9"/>
      <c r="BGJ1" s="9"/>
      <c r="BGK1" s="9"/>
      <c r="BGL1" s="9"/>
      <c r="BGM1" s="9"/>
      <c r="BGN1" s="9"/>
      <c r="BGO1" s="9"/>
      <c r="BGP1" s="9"/>
      <c r="BGQ1" s="9"/>
      <c r="BGR1" s="9"/>
      <c r="BGS1" s="9"/>
      <c r="BGT1" s="9"/>
      <c r="BGU1" s="9"/>
      <c r="BGV1" s="9"/>
      <c r="BGW1" s="9"/>
      <c r="BGX1" s="9"/>
      <c r="BGY1" s="9"/>
      <c r="BGZ1" s="9"/>
      <c r="BHA1" s="9"/>
      <c r="BHB1" s="9"/>
      <c r="BHC1" s="9"/>
      <c r="BHD1" s="9"/>
      <c r="BHE1" s="9"/>
      <c r="BHF1" s="9"/>
      <c r="BHG1" s="9"/>
      <c r="BHH1" s="9"/>
      <c r="BHI1" s="9"/>
      <c r="BHJ1" s="9"/>
      <c r="BHK1" s="9"/>
      <c r="BHL1" s="9"/>
      <c r="BHM1" s="9"/>
      <c r="BHN1" s="9"/>
      <c r="BHO1" s="9"/>
      <c r="BHP1" s="9"/>
      <c r="BHQ1" s="9"/>
      <c r="BHR1" s="9"/>
      <c r="BHS1" s="9"/>
      <c r="BHT1" s="9"/>
      <c r="BHU1" s="9"/>
      <c r="BHV1" s="9"/>
      <c r="BHW1" s="9"/>
      <c r="BHX1" s="9"/>
      <c r="BHY1" s="9"/>
      <c r="BHZ1" s="9"/>
      <c r="BIA1" s="9"/>
      <c r="BIB1" s="9"/>
      <c r="BIC1" s="9"/>
      <c r="BID1" s="9"/>
      <c r="BIE1" s="9"/>
      <c r="BIF1" s="9"/>
      <c r="BIG1" s="9"/>
      <c r="BIH1" s="9"/>
      <c r="BII1" s="9"/>
      <c r="BIJ1" s="9"/>
      <c r="BIK1" s="9"/>
      <c r="BIL1" s="9"/>
      <c r="BIM1" s="9"/>
      <c r="BIN1" s="9"/>
      <c r="BIO1" s="9"/>
      <c r="BIP1" s="9"/>
      <c r="BIQ1" s="9"/>
      <c r="BIR1" s="9"/>
      <c r="BIS1" s="9"/>
      <c r="BIT1" s="9"/>
      <c r="BIU1" s="9"/>
      <c r="BIV1" s="9"/>
      <c r="BIW1" s="9"/>
      <c r="BIX1" s="9"/>
      <c r="BIY1" s="9"/>
      <c r="BIZ1" s="9"/>
      <c r="BJA1" s="9"/>
      <c r="BJB1" s="9"/>
      <c r="BJC1" s="9"/>
      <c r="BJD1" s="9"/>
      <c r="BJE1" s="9"/>
      <c r="BJF1" s="9"/>
      <c r="BJG1" s="9"/>
      <c r="BJH1" s="9"/>
      <c r="BJI1" s="9"/>
      <c r="BJJ1" s="9"/>
      <c r="BJK1" s="9"/>
      <c r="BJL1" s="9"/>
      <c r="BJM1" s="9"/>
      <c r="BJN1" s="9"/>
      <c r="BJO1" s="9"/>
      <c r="BJP1" s="9"/>
      <c r="BJQ1" s="9"/>
      <c r="BJR1" s="9"/>
      <c r="BJS1" s="9"/>
      <c r="BJT1" s="9"/>
      <c r="BJU1" s="9"/>
      <c r="BJV1" s="9"/>
      <c r="BJW1" s="9"/>
      <c r="BJX1" s="9"/>
      <c r="BJY1" s="9"/>
      <c r="BJZ1" s="9"/>
      <c r="BKA1" s="9"/>
      <c r="BKB1" s="9"/>
      <c r="BKC1" s="9"/>
      <c r="BKD1" s="9"/>
      <c r="BKE1" s="9"/>
      <c r="BKF1" s="9"/>
      <c r="BKG1" s="9"/>
      <c r="BKH1" s="9"/>
      <c r="BKI1" s="9"/>
      <c r="BKJ1" s="9"/>
      <c r="BKK1" s="9"/>
      <c r="BKL1" s="9"/>
      <c r="BKM1" s="9"/>
      <c r="BKN1" s="9"/>
      <c r="BKO1" s="9"/>
      <c r="BKP1" s="9"/>
      <c r="BKQ1" s="9"/>
      <c r="BKR1" s="9"/>
      <c r="BKS1" s="9"/>
      <c r="BKT1" s="9"/>
      <c r="BKU1" s="9"/>
      <c r="BKV1" s="9"/>
      <c r="BKW1" s="9"/>
      <c r="BKX1" s="9"/>
      <c r="BKY1" s="9"/>
      <c r="BKZ1" s="9"/>
      <c r="BLA1" s="9"/>
      <c r="BLB1" s="9"/>
      <c r="BLC1" s="9"/>
      <c r="BLD1" s="9"/>
      <c r="BLE1" s="9"/>
      <c r="BLF1" s="9"/>
      <c r="BLG1" s="9"/>
      <c r="BLH1" s="9"/>
      <c r="BLI1" s="9"/>
      <c r="BLJ1" s="9"/>
      <c r="BLK1" s="9"/>
      <c r="BLL1" s="9"/>
      <c r="BLM1" s="9"/>
      <c r="BLN1" s="9"/>
      <c r="BLO1" s="9"/>
      <c r="BLP1" s="9"/>
      <c r="BLQ1" s="9"/>
      <c r="BLR1" s="9"/>
      <c r="BLS1" s="9"/>
      <c r="BLT1" s="9"/>
      <c r="BLU1" s="9"/>
      <c r="BLV1" s="9"/>
      <c r="BLW1" s="9"/>
      <c r="BLX1" s="9"/>
      <c r="BLY1" s="9"/>
      <c r="BLZ1" s="9"/>
      <c r="BMA1" s="9"/>
      <c r="BMB1" s="9"/>
      <c r="BMC1" s="9"/>
      <c r="BMD1" s="9"/>
      <c r="BME1" s="9"/>
      <c r="BMF1" s="9"/>
      <c r="BMG1" s="9"/>
      <c r="BMH1" s="9"/>
      <c r="BMI1" s="9"/>
      <c r="BMJ1" s="9"/>
      <c r="BMK1" s="9"/>
      <c r="BML1" s="9"/>
      <c r="BMM1" s="9"/>
      <c r="BMN1" s="9"/>
      <c r="BMO1" s="9"/>
      <c r="BMP1" s="9"/>
      <c r="BMQ1" s="9"/>
      <c r="BMR1" s="9"/>
      <c r="BMS1" s="9"/>
      <c r="BMT1" s="9"/>
      <c r="BMU1" s="9"/>
      <c r="BMV1" s="9"/>
      <c r="BMW1" s="9"/>
      <c r="BMX1" s="9"/>
      <c r="BMY1" s="9"/>
      <c r="BMZ1" s="9"/>
      <c r="BNA1" s="9"/>
      <c r="BNB1" s="9"/>
      <c r="BNC1" s="9"/>
      <c r="BND1" s="9"/>
      <c r="BNE1" s="9"/>
      <c r="BNF1" s="9"/>
      <c r="BNG1" s="9"/>
      <c r="BNH1" s="9"/>
      <c r="BNI1" s="9"/>
      <c r="BNJ1" s="9"/>
      <c r="BNK1" s="9"/>
      <c r="BNL1" s="9"/>
      <c r="BNM1" s="9"/>
      <c r="BNN1" s="9"/>
      <c r="BNO1" s="9"/>
      <c r="BNP1" s="9"/>
      <c r="BNQ1" s="9"/>
      <c r="BNR1" s="9"/>
      <c r="BNS1" s="9"/>
      <c r="BNT1" s="9"/>
      <c r="BNU1" s="9"/>
      <c r="BNV1" s="9"/>
      <c r="BNW1" s="9"/>
      <c r="BNX1" s="9"/>
      <c r="BNY1" s="9"/>
      <c r="BNZ1" s="9"/>
      <c r="BOA1" s="9"/>
      <c r="BOB1" s="9"/>
      <c r="BOC1" s="9"/>
      <c r="BOD1" s="9"/>
      <c r="BOE1" s="9"/>
      <c r="BOF1" s="9"/>
      <c r="BOG1" s="9"/>
      <c r="BOH1" s="9"/>
      <c r="BOI1" s="9"/>
      <c r="BOJ1" s="9"/>
      <c r="BOK1" s="9"/>
      <c r="BOL1" s="9"/>
      <c r="BOM1" s="9"/>
      <c r="BON1" s="9"/>
      <c r="BOO1" s="9"/>
      <c r="BOP1" s="9"/>
      <c r="BOQ1" s="9"/>
      <c r="BOR1" s="9"/>
      <c r="BOS1" s="9"/>
      <c r="BOT1" s="9"/>
      <c r="BOU1" s="9"/>
      <c r="BOV1" s="9"/>
      <c r="BOW1" s="9"/>
      <c r="BOX1" s="9"/>
      <c r="BOY1" s="9"/>
      <c r="BOZ1" s="9"/>
      <c r="BPA1" s="9"/>
      <c r="BPB1" s="9"/>
      <c r="BPC1" s="9"/>
      <c r="BPD1" s="9"/>
      <c r="BPE1" s="9"/>
      <c r="BPF1" s="9"/>
      <c r="BPG1" s="9"/>
      <c r="BPH1" s="9"/>
      <c r="BPI1" s="9"/>
      <c r="BPJ1" s="9"/>
      <c r="BPK1" s="9"/>
      <c r="BPL1" s="9"/>
      <c r="BPM1" s="9"/>
      <c r="BPN1" s="9"/>
      <c r="BPO1" s="9"/>
      <c r="BPP1" s="9"/>
      <c r="BPQ1" s="9"/>
      <c r="BPR1" s="9"/>
      <c r="BPS1" s="9"/>
      <c r="BPT1" s="9"/>
      <c r="BPU1" s="9"/>
      <c r="BPV1" s="9"/>
      <c r="BPW1" s="9"/>
      <c r="BPX1" s="9"/>
      <c r="BPY1" s="9"/>
      <c r="BPZ1" s="9"/>
      <c r="BQA1" s="9"/>
      <c r="BQB1" s="9"/>
      <c r="BQC1" s="9"/>
      <c r="BQD1" s="9"/>
      <c r="BQE1" s="9"/>
      <c r="BQF1" s="9"/>
      <c r="BQG1" s="9"/>
      <c r="BQH1" s="9"/>
      <c r="BQI1" s="9"/>
      <c r="BQJ1" s="9"/>
      <c r="BQK1" s="9"/>
      <c r="BQL1" s="9"/>
      <c r="BQM1" s="9"/>
      <c r="BQN1" s="9"/>
      <c r="BQO1" s="9"/>
      <c r="BQP1" s="9"/>
      <c r="BQQ1" s="9"/>
      <c r="BQR1" s="9"/>
      <c r="BQS1" s="9"/>
      <c r="BQT1" s="9"/>
      <c r="BQU1" s="9"/>
      <c r="BQV1" s="9"/>
      <c r="BQW1" s="9"/>
      <c r="BQX1" s="9"/>
      <c r="BQY1" s="9"/>
      <c r="BQZ1" s="9"/>
      <c r="BRA1" s="9"/>
      <c r="BRB1" s="9"/>
      <c r="BRC1" s="9"/>
      <c r="BRD1" s="9"/>
      <c r="BRE1" s="9"/>
      <c r="BRF1" s="9"/>
      <c r="BRG1" s="9"/>
      <c r="BRH1" s="9"/>
      <c r="BRI1" s="9"/>
      <c r="BRJ1" s="9"/>
      <c r="BRK1" s="9"/>
      <c r="BRL1" s="9"/>
      <c r="BRM1" s="9"/>
      <c r="BRN1" s="9"/>
      <c r="BRO1" s="9"/>
      <c r="BRP1" s="9"/>
      <c r="BRQ1" s="9"/>
      <c r="BRR1" s="9"/>
      <c r="BRS1" s="9"/>
      <c r="BRT1" s="9"/>
      <c r="BRU1" s="9"/>
      <c r="BRV1" s="9"/>
      <c r="BRW1" s="9"/>
      <c r="BRX1" s="9"/>
      <c r="BRY1" s="9"/>
      <c r="BRZ1" s="9"/>
      <c r="BSA1" s="9"/>
      <c r="BSB1" s="9"/>
      <c r="BSC1" s="9"/>
      <c r="BSD1" s="9"/>
      <c r="BSE1" s="9"/>
      <c r="BSF1" s="9"/>
      <c r="BSG1" s="9"/>
      <c r="BSH1" s="9"/>
      <c r="BSI1" s="9"/>
      <c r="BSJ1" s="9"/>
      <c r="BSK1" s="9"/>
      <c r="BSL1" s="9"/>
      <c r="BSM1" s="9"/>
      <c r="BSN1" s="9"/>
      <c r="BSO1" s="9"/>
      <c r="BSP1" s="9"/>
      <c r="BSQ1" s="9"/>
      <c r="BSR1" s="9"/>
      <c r="BSS1" s="9"/>
      <c r="BST1" s="9"/>
      <c r="BSU1" s="9"/>
      <c r="BSV1" s="9"/>
      <c r="BSW1" s="9"/>
      <c r="BSX1" s="9"/>
      <c r="BSY1" s="9"/>
      <c r="BSZ1" s="9"/>
      <c r="BTA1" s="9"/>
      <c r="BTB1" s="9"/>
      <c r="BTC1" s="9"/>
      <c r="BTD1" s="9"/>
      <c r="BTE1" s="9"/>
      <c r="BTF1" s="9"/>
      <c r="BTG1" s="9"/>
      <c r="BTH1" s="9"/>
      <c r="BTI1" s="9"/>
      <c r="BTJ1" s="9"/>
      <c r="BTK1" s="9"/>
      <c r="BTL1" s="9"/>
      <c r="BTM1" s="9"/>
      <c r="BTN1" s="9"/>
      <c r="BTO1" s="9"/>
      <c r="BTP1" s="9"/>
      <c r="BTQ1" s="9"/>
      <c r="BTR1" s="9"/>
      <c r="BTS1" s="9"/>
      <c r="BTT1" s="9"/>
      <c r="BTU1" s="9"/>
      <c r="BTV1" s="9"/>
      <c r="BTW1" s="9"/>
      <c r="BTX1" s="9"/>
      <c r="BTY1" s="9"/>
      <c r="BTZ1" s="9"/>
      <c r="BUA1" s="9"/>
      <c r="BUB1" s="9"/>
      <c r="BUC1" s="9"/>
      <c r="BUD1" s="9"/>
      <c r="BUE1" s="9"/>
      <c r="BUF1" s="9"/>
      <c r="BUG1" s="9"/>
      <c r="BUH1" s="9"/>
      <c r="BUI1" s="9"/>
      <c r="BUJ1" s="9"/>
      <c r="BUK1" s="9"/>
      <c r="BUL1" s="9"/>
      <c r="BUM1" s="9"/>
      <c r="BUN1" s="9"/>
      <c r="BUO1" s="9"/>
      <c r="BUP1" s="9"/>
      <c r="BUQ1" s="9"/>
      <c r="BUR1" s="9"/>
      <c r="BUS1" s="9"/>
      <c r="BUT1" s="9"/>
      <c r="BUU1" s="9"/>
      <c r="BUV1" s="9"/>
      <c r="BUW1" s="9"/>
      <c r="BUX1" s="9"/>
      <c r="BUY1" s="9"/>
      <c r="BUZ1" s="9"/>
      <c r="BVA1" s="9"/>
      <c r="BVB1" s="9"/>
      <c r="BVC1" s="9"/>
      <c r="BVD1" s="9"/>
      <c r="BVE1" s="9"/>
      <c r="BVF1" s="9"/>
      <c r="BVG1" s="9"/>
      <c r="BVH1" s="9"/>
      <c r="BVI1" s="9"/>
      <c r="BVJ1" s="9"/>
      <c r="BVK1" s="9"/>
      <c r="BVL1" s="9"/>
      <c r="BVM1" s="9"/>
      <c r="BVN1" s="9"/>
      <c r="BVO1" s="9"/>
      <c r="BVP1" s="9"/>
      <c r="BVQ1" s="9"/>
      <c r="BVR1" s="9"/>
      <c r="BVS1" s="9"/>
      <c r="BVT1" s="9"/>
      <c r="BVU1" s="9"/>
      <c r="BVV1" s="9"/>
      <c r="BVW1" s="9"/>
      <c r="BVX1" s="9"/>
      <c r="BVY1" s="9"/>
      <c r="BVZ1" s="9"/>
      <c r="BWA1" s="9"/>
      <c r="BWB1" s="9"/>
      <c r="BWC1" s="9"/>
      <c r="BWD1" s="9"/>
      <c r="BWE1" s="9"/>
      <c r="BWF1" s="9"/>
      <c r="BWG1" s="9"/>
      <c r="BWH1" s="9"/>
      <c r="BWI1" s="9"/>
      <c r="BWJ1" s="9"/>
      <c r="BWK1" s="9"/>
      <c r="BWL1" s="9"/>
      <c r="BWM1" s="9"/>
      <c r="BWN1" s="9"/>
      <c r="BWO1" s="9"/>
      <c r="BWP1" s="9"/>
      <c r="BWQ1" s="9"/>
      <c r="BWR1" s="9"/>
      <c r="BWS1" s="9"/>
      <c r="BWT1" s="9"/>
      <c r="BWU1" s="9"/>
      <c r="BWV1" s="9"/>
      <c r="BWW1" s="9"/>
      <c r="BWX1" s="9"/>
      <c r="BWY1" s="9"/>
      <c r="BWZ1" s="9"/>
      <c r="BXA1" s="9"/>
      <c r="BXB1" s="9"/>
      <c r="BXC1" s="9"/>
      <c r="BXD1" s="9"/>
      <c r="BXE1" s="9"/>
      <c r="BXF1" s="9"/>
      <c r="BXG1" s="9"/>
      <c r="BXH1" s="9"/>
      <c r="BXI1" s="9"/>
      <c r="BXJ1" s="9"/>
      <c r="BXK1" s="9"/>
      <c r="BXL1" s="9"/>
      <c r="BXM1" s="9"/>
      <c r="BXN1" s="9"/>
      <c r="BXO1" s="9"/>
      <c r="BXP1" s="9"/>
      <c r="BXQ1" s="9"/>
      <c r="BXR1" s="9"/>
      <c r="BXS1" s="9"/>
      <c r="BXT1" s="9"/>
      <c r="BXU1" s="9"/>
      <c r="BXV1" s="9"/>
      <c r="BXW1" s="9"/>
      <c r="BXX1" s="9"/>
      <c r="BXY1" s="9"/>
      <c r="BXZ1" s="9"/>
      <c r="BYA1" s="9"/>
      <c r="BYB1" s="9"/>
      <c r="BYC1" s="9"/>
      <c r="BYD1" s="9"/>
      <c r="BYE1" s="9"/>
      <c r="BYF1" s="9"/>
      <c r="BYG1" s="9"/>
      <c r="BYH1" s="9"/>
      <c r="BYI1" s="9"/>
      <c r="BYJ1" s="9"/>
      <c r="BYK1" s="9"/>
      <c r="BYL1" s="9"/>
      <c r="BYM1" s="9"/>
      <c r="BYN1" s="9"/>
      <c r="BYO1" s="9"/>
      <c r="BYP1" s="9"/>
      <c r="BYQ1" s="9"/>
      <c r="BYR1" s="9"/>
      <c r="BYS1" s="9"/>
      <c r="BYT1" s="9"/>
      <c r="BYU1" s="9"/>
      <c r="BYV1" s="9"/>
      <c r="BYW1" s="9"/>
      <c r="BYX1" s="9"/>
      <c r="BYY1" s="9"/>
      <c r="BYZ1" s="9"/>
      <c r="BZA1" s="9"/>
      <c r="BZB1" s="9"/>
      <c r="BZC1" s="9"/>
      <c r="BZD1" s="9"/>
      <c r="BZE1" s="9"/>
      <c r="BZF1" s="9"/>
      <c r="BZG1" s="9"/>
      <c r="BZH1" s="9"/>
      <c r="BZI1" s="9"/>
      <c r="BZJ1" s="9"/>
      <c r="BZK1" s="9"/>
      <c r="BZL1" s="9"/>
      <c r="BZM1" s="9"/>
      <c r="BZN1" s="9"/>
      <c r="BZO1" s="9"/>
      <c r="BZP1" s="9"/>
      <c r="BZQ1" s="9"/>
      <c r="BZR1" s="9"/>
      <c r="BZS1" s="9"/>
      <c r="BZT1" s="9"/>
      <c r="BZU1" s="9"/>
      <c r="BZV1" s="9"/>
      <c r="BZW1" s="9"/>
      <c r="BZX1" s="9"/>
      <c r="BZY1" s="9"/>
      <c r="BZZ1" s="9"/>
      <c r="CAA1" s="9"/>
      <c r="CAB1" s="9"/>
      <c r="CAC1" s="9"/>
      <c r="CAD1" s="9"/>
      <c r="CAE1" s="9"/>
      <c r="CAF1" s="9"/>
      <c r="CAG1" s="9"/>
      <c r="CAH1" s="9"/>
      <c r="CAI1" s="9"/>
      <c r="CAJ1" s="9"/>
      <c r="CAK1" s="9"/>
      <c r="CAL1" s="9"/>
      <c r="CAM1" s="9"/>
      <c r="CAN1" s="9"/>
      <c r="CAO1" s="9"/>
      <c r="CAP1" s="9"/>
      <c r="CAQ1" s="9"/>
      <c r="CAR1" s="9"/>
      <c r="CAS1" s="9"/>
      <c r="CAT1" s="9"/>
      <c r="CAU1" s="9"/>
      <c r="CAV1" s="9"/>
      <c r="CAW1" s="9"/>
      <c r="CAX1" s="9"/>
      <c r="CAY1" s="9"/>
      <c r="CAZ1" s="9"/>
      <c r="CBA1" s="9"/>
      <c r="CBB1" s="9"/>
      <c r="CBC1" s="9"/>
      <c r="CBD1" s="9"/>
      <c r="CBE1" s="9"/>
      <c r="CBF1" s="9"/>
      <c r="CBG1" s="9"/>
      <c r="CBH1" s="9"/>
      <c r="CBI1" s="9"/>
      <c r="CBJ1" s="9"/>
      <c r="CBK1" s="9"/>
      <c r="CBL1" s="9"/>
      <c r="CBM1" s="9"/>
      <c r="CBN1" s="9"/>
      <c r="CBO1" s="9"/>
      <c r="CBP1" s="9"/>
      <c r="CBQ1" s="9"/>
      <c r="CBR1" s="9"/>
      <c r="CBS1" s="9"/>
      <c r="CBT1" s="9"/>
      <c r="CBU1" s="9"/>
      <c r="CBV1" s="9"/>
      <c r="CBW1" s="9"/>
      <c r="CBX1" s="9"/>
      <c r="CBY1" s="9"/>
      <c r="CBZ1" s="9"/>
      <c r="CCA1" s="9"/>
      <c r="CCB1" s="9"/>
      <c r="CCC1" s="9"/>
      <c r="CCD1" s="9"/>
      <c r="CCE1" s="9"/>
      <c r="CCF1" s="9"/>
      <c r="CCG1" s="9"/>
      <c r="CCH1" s="9"/>
      <c r="CCI1" s="9"/>
      <c r="CCJ1" s="9"/>
      <c r="CCK1" s="9"/>
      <c r="CCL1" s="9"/>
      <c r="CCM1" s="9"/>
      <c r="CCN1" s="9"/>
      <c r="CCO1" s="9"/>
      <c r="CCP1" s="9"/>
      <c r="CCQ1" s="9"/>
      <c r="CCR1" s="9"/>
      <c r="CCS1" s="9"/>
      <c r="CCT1" s="9"/>
      <c r="CCU1" s="9"/>
      <c r="CCV1" s="9"/>
      <c r="CCW1" s="9"/>
      <c r="CCX1" s="9"/>
      <c r="CCY1" s="9"/>
      <c r="CCZ1" s="9"/>
      <c r="CDA1" s="9"/>
      <c r="CDB1" s="9"/>
      <c r="CDC1" s="9"/>
      <c r="CDD1" s="9"/>
      <c r="CDE1" s="9"/>
      <c r="CDF1" s="9"/>
      <c r="CDG1" s="9"/>
      <c r="CDH1" s="9"/>
      <c r="CDI1" s="9"/>
      <c r="CDJ1" s="9"/>
      <c r="CDK1" s="9"/>
      <c r="CDL1" s="9"/>
      <c r="CDM1" s="9"/>
      <c r="CDN1" s="9"/>
      <c r="CDO1" s="9"/>
      <c r="CDP1" s="9"/>
      <c r="CDQ1" s="9"/>
      <c r="CDR1" s="9"/>
      <c r="CDS1" s="9"/>
      <c r="CDT1" s="9"/>
      <c r="CDU1" s="9"/>
      <c r="CDV1" s="9"/>
      <c r="CDW1" s="9"/>
      <c r="CDX1" s="9"/>
      <c r="CDY1" s="9"/>
      <c r="CDZ1" s="9"/>
      <c r="CEA1" s="9"/>
      <c r="CEB1" s="9"/>
      <c r="CEC1" s="9"/>
      <c r="CED1" s="9"/>
      <c r="CEE1" s="9"/>
      <c r="CEF1" s="9"/>
      <c r="CEG1" s="9"/>
      <c r="CEH1" s="9"/>
      <c r="CEI1" s="9"/>
      <c r="CEJ1" s="9"/>
      <c r="CEK1" s="9"/>
      <c r="CEL1" s="9"/>
      <c r="CEM1" s="9"/>
      <c r="CEN1" s="9"/>
      <c r="CEO1" s="9"/>
      <c r="CEP1" s="9"/>
      <c r="CEQ1" s="9"/>
      <c r="CER1" s="9"/>
      <c r="CES1" s="9"/>
      <c r="CET1" s="9"/>
      <c r="CEU1" s="9"/>
      <c r="CEV1" s="9"/>
      <c r="CEW1" s="9"/>
      <c r="CEX1" s="9"/>
      <c r="CEY1" s="9"/>
      <c r="CEZ1" s="9"/>
      <c r="CFA1" s="9"/>
      <c r="CFB1" s="9"/>
      <c r="CFC1" s="9"/>
      <c r="CFD1" s="9"/>
      <c r="CFE1" s="9"/>
      <c r="CFF1" s="9"/>
      <c r="CFG1" s="9"/>
      <c r="CFH1" s="9"/>
      <c r="CFI1" s="9"/>
      <c r="CFJ1" s="9"/>
      <c r="CFK1" s="9"/>
      <c r="CFL1" s="9"/>
      <c r="CFM1" s="9"/>
      <c r="CFN1" s="9"/>
      <c r="CFO1" s="9"/>
      <c r="CFP1" s="9"/>
      <c r="CFQ1" s="9"/>
      <c r="CFR1" s="9"/>
      <c r="CFS1" s="9"/>
      <c r="CFT1" s="9"/>
      <c r="CFU1" s="9"/>
      <c r="CFV1" s="9"/>
      <c r="CFW1" s="9"/>
      <c r="CFX1" s="9"/>
      <c r="CFY1" s="9"/>
      <c r="CFZ1" s="9"/>
      <c r="CGA1" s="9"/>
      <c r="CGB1" s="9"/>
      <c r="CGC1" s="9"/>
      <c r="CGD1" s="9"/>
      <c r="CGE1" s="9"/>
      <c r="CGF1" s="9"/>
      <c r="CGG1" s="9"/>
      <c r="CGH1" s="9"/>
      <c r="CGI1" s="9"/>
      <c r="CGJ1" s="9"/>
      <c r="CGK1" s="9"/>
      <c r="CGL1" s="9"/>
      <c r="CGM1" s="9"/>
      <c r="CGN1" s="9"/>
      <c r="CGO1" s="9"/>
      <c r="CGP1" s="9"/>
      <c r="CGQ1" s="9"/>
      <c r="CGR1" s="9"/>
      <c r="CGS1" s="9"/>
      <c r="CGT1" s="9"/>
      <c r="CGU1" s="9"/>
      <c r="CGV1" s="9"/>
      <c r="CGW1" s="9"/>
      <c r="CGX1" s="9"/>
      <c r="CGY1" s="9"/>
      <c r="CGZ1" s="9"/>
      <c r="CHA1" s="9"/>
      <c r="CHB1" s="9"/>
      <c r="CHC1" s="9"/>
      <c r="CHD1" s="9"/>
      <c r="CHE1" s="9"/>
      <c r="CHF1" s="9"/>
      <c r="CHG1" s="9"/>
      <c r="CHH1" s="9"/>
      <c r="CHI1" s="9"/>
      <c r="CHJ1" s="9"/>
      <c r="CHK1" s="9"/>
      <c r="CHL1" s="9"/>
      <c r="CHM1" s="9"/>
      <c r="CHN1" s="9"/>
      <c r="CHO1" s="9"/>
      <c r="CHP1" s="9"/>
      <c r="CHQ1" s="9"/>
      <c r="CHR1" s="9"/>
      <c r="CHS1" s="9"/>
      <c r="CHT1" s="9"/>
      <c r="CHU1" s="9"/>
      <c r="CHV1" s="9"/>
      <c r="CHW1" s="9"/>
      <c r="CHX1" s="9"/>
      <c r="CHY1" s="9"/>
      <c r="CHZ1" s="9"/>
      <c r="CIA1" s="9"/>
      <c r="CIB1" s="9"/>
      <c r="CIC1" s="9"/>
      <c r="CID1" s="9"/>
      <c r="CIE1" s="9"/>
      <c r="CIF1" s="9"/>
      <c r="CIG1" s="9"/>
      <c r="CIH1" s="9"/>
      <c r="CII1" s="9"/>
      <c r="CIJ1" s="9"/>
      <c r="CIK1" s="9"/>
      <c r="CIL1" s="9"/>
      <c r="CIM1" s="9"/>
      <c r="CIN1" s="9"/>
      <c r="CIO1" s="9"/>
      <c r="CIP1" s="9"/>
      <c r="CIQ1" s="9"/>
      <c r="CIR1" s="9"/>
      <c r="CIS1" s="9"/>
      <c r="CIT1" s="9"/>
      <c r="CIU1" s="9"/>
      <c r="CIV1" s="9"/>
      <c r="CIW1" s="9"/>
      <c r="CIX1" s="9"/>
      <c r="CIY1" s="9"/>
      <c r="CIZ1" s="9"/>
      <c r="CJA1" s="9"/>
      <c r="CJB1" s="9"/>
      <c r="CJC1" s="9"/>
      <c r="CJD1" s="9"/>
      <c r="CJE1" s="9"/>
      <c r="CJF1" s="9"/>
      <c r="CJG1" s="9"/>
      <c r="CJH1" s="9"/>
      <c r="CJI1" s="9"/>
      <c r="CJJ1" s="9"/>
      <c r="CJK1" s="9"/>
      <c r="CJL1" s="9"/>
      <c r="CJM1" s="9"/>
      <c r="CJN1" s="9"/>
      <c r="CJO1" s="9"/>
      <c r="CJP1" s="9"/>
      <c r="CJQ1" s="9"/>
      <c r="CJR1" s="9"/>
      <c r="CJS1" s="9"/>
      <c r="CJT1" s="9"/>
      <c r="CJU1" s="9"/>
      <c r="CJV1" s="9"/>
      <c r="CJW1" s="9"/>
      <c r="CJX1" s="9"/>
      <c r="CJY1" s="9"/>
      <c r="CJZ1" s="9"/>
      <c r="CKA1" s="9"/>
      <c r="CKB1" s="9"/>
      <c r="CKC1" s="9"/>
      <c r="CKD1" s="9"/>
      <c r="CKE1" s="9"/>
      <c r="CKF1" s="9"/>
      <c r="CKG1" s="9"/>
      <c r="CKH1" s="9"/>
      <c r="CKI1" s="9"/>
      <c r="CKJ1" s="9"/>
      <c r="CKK1" s="9"/>
      <c r="CKL1" s="9"/>
      <c r="CKM1" s="9"/>
      <c r="CKN1" s="9"/>
      <c r="CKO1" s="9"/>
      <c r="CKP1" s="9"/>
      <c r="CKQ1" s="9"/>
      <c r="CKR1" s="9"/>
      <c r="CKS1" s="9"/>
      <c r="CKT1" s="9"/>
      <c r="CKU1" s="9"/>
      <c r="CKV1" s="9"/>
      <c r="CKW1" s="9"/>
      <c r="CKX1" s="9"/>
      <c r="CKY1" s="9"/>
      <c r="CKZ1" s="9"/>
      <c r="CLA1" s="9"/>
      <c r="CLB1" s="9"/>
      <c r="CLC1" s="9"/>
      <c r="CLD1" s="9"/>
      <c r="CLE1" s="9"/>
      <c r="CLF1" s="9"/>
      <c r="CLG1" s="9"/>
      <c r="CLH1" s="9"/>
      <c r="CLI1" s="9"/>
      <c r="CLJ1" s="9"/>
      <c r="CLK1" s="9"/>
      <c r="CLL1" s="9"/>
      <c r="CLM1" s="9"/>
      <c r="CLN1" s="9"/>
      <c r="CLO1" s="9"/>
      <c r="CLP1" s="9"/>
      <c r="CLQ1" s="9"/>
      <c r="CLR1" s="9"/>
      <c r="CLS1" s="9"/>
      <c r="CLT1" s="9"/>
      <c r="CLU1" s="9"/>
      <c r="CLV1" s="9"/>
      <c r="CLW1" s="9"/>
      <c r="CLX1" s="9"/>
      <c r="CLY1" s="9"/>
      <c r="CLZ1" s="9"/>
      <c r="CMA1" s="9"/>
      <c r="CMB1" s="9"/>
      <c r="CMC1" s="9"/>
      <c r="CMD1" s="9"/>
      <c r="CME1" s="9"/>
      <c r="CMF1" s="9"/>
      <c r="CMG1" s="9"/>
      <c r="CMH1" s="9"/>
      <c r="CMI1" s="9"/>
      <c r="CMJ1" s="9"/>
      <c r="CMK1" s="9"/>
      <c r="CML1" s="9"/>
      <c r="CMM1" s="9"/>
      <c r="CMN1" s="9"/>
      <c r="CMO1" s="9"/>
      <c r="CMP1" s="9"/>
      <c r="CMQ1" s="9"/>
      <c r="CMR1" s="9"/>
      <c r="CMS1" s="9"/>
      <c r="CMT1" s="9"/>
      <c r="CMU1" s="9"/>
      <c r="CMV1" s="9"/>
      <c r="CMW1" s="9"/>
      <c r="CMX1" s="9"/>
      <c r="CMY1" s="9"/>
      <c r="CMZ1" s="9"/>
      <c r="CNA1" s="9"/>
      <c r="CNB1" s="9"/>
      <c r="CNC1" s="9"/>
      <c r="CND1" s="9"/>
      <c r="CNE1" s="9"/>
      <c r="CNF1" s="9"/>
      <c r="CNG1" s="9"/>
      <c r="CNH1" s="9"/>
      <c r="CNI1" s="9"/>
      <c r="CNJ1" s="9"/>
      <c r="CNK1" s="9"/>
      <c r="CNL1" s="9"/>
      <c r="CNM1" s="9"/>
      <c r="CNN1" s="9"/>
      <c r="CNO1" s="9"/>
      <c r="CNP1" s="9"/>
      <c r="CNQ1" s="9"/>
      <c r="CNR1" s="9"/>
      <c r="CNS1" s="9"/>
      <c r="CNT1" s="9"/>
      <c r="CNU1" s="9"/>
      <c r="CNV1" s="9"/>
      <c r="CNW1" s="9"/>
      <c r="CNX1" s="9"/>
      <c r="CNY1" s="9"/>
      <c r="CNZ1" s="9"/>
      <c r="COA1" s="9"/>
      <c r="COB1" s="9"/>
      <c r="COC1" s="9"/>
      <c r="COD1" s="9"/>
      <c r="COE1" s="9"/>
      <c r="COF1" s="9"/>
      <c r="COG1" s="9"/>
      <c r="COH1" s="9"/>
      <c r="COI1" s="9"/>
      <c r="COJ1" s="9"/>
      <c r="COK1" s="9"/>
      <c r="COL1" s="9"/>
      <c r="COM1" s="9"/>
      <c r="CON1" s="9"/>
      <c r="COO1" s="9"/>
      <c r="COP1" s="9"/>
      <c r="COQ1" s="9"/>
      <c r="COR1" s="9"/>
      <c r="COS1" s="9"/>
      <c r="COT1" s="9"/>
      <c r="COU1" s="9"/>
      <c r="COV1" s="9"/>
      <c r="COW1" s="9"/>
      <c r="COX1" s="9"/>
      <c r="COY1" s="9"/>
      <c r="COZ1" s="9"/>
      <c r="CPA1" s="9"/>
      <c r="CPB1" s="9"/>
      <c r="CPC1" s="9"/>
      <c r="CPD1" s="9"/>
      <c r="CPE1" s="9"/>
      <c r="CPF1" s="9"/>
      <c r="CPG1" s="9"/>
      <c r="CPH1" s="9"/>
      <c r="CPI1" s="9"/>
      <c r="CPJ1" s="9"/>
      <c r="CPK1" s="9"/>
      <c r="CPL1" s="9"/>
      <c r="CPM1" s="9"/>
      <c r="CPN1" s="9"/>
      <c r="CPO1" s="9"/>
      <c r="CPP1" s="9"/>
      <c r="CPQ1" s="9"/>
      <c r="CPR1" s="9"/>
      <c r="CPS1" s="9"/>
      <c r="CPT1" s="9"/>
      <c r="CPU1" s="9"/>
      <c r="CPV1" s="9"/>
      <c r="CPW1" s="9"/>
      <c r="CPX1" s="9"/>
      <c r="CPY1" s="9"/>
      <c r="CPZ1" s="9"/>
      <c r="CQA1" s="9"/>
      <c r="CQB1" s="9"/>
      <c r="CQC1" s="9"/>
      <c r="CQD1" s="9"/>
      <c r="CQE1" s="9"/>
      <c r="CQF1" s="9"/>
      <c r="CQG1" s="9"/>
      <c r="CQH1" s="9"/>
      <c r="CQI1" s="9"/>
      <c r="CQJ1" s="9"/>
      <c r="CQK1" s="9"/>
      <c r="CQL1" s="9"/>
      <c r="CQM1" s="9"/>
      <c r="CQN1" s="9"/>
      <c r="CQO1" s="9"/>
      <c r="CQP1" s="9"/>
      <c r="CQQ1" s="9"/>
      <c r="CQR1" s="9"/>
      <c r="CQS1" s="9"/>
      <c r="CQT1" s="9"/>
      <c r="CQU1" s="9"/>
      <c r="CQV1" s="9"/>
      <c r="CQW1" s="9"/>
      <c r="CQX1" s="9"/>
      <c r="CQY1" s="9"/>
      <c r="CQZ1" s="9"/>
      <c r="CRA1" s="9"/>
      <c r="CRB1" s="9"/>
      <c r="CRC1" s="9"/>
      <c r="CRD1" s="9"/>
      <c r="CRE1" s="9"/>
      <c r="CRF1" s="9"/>
      <c r="CRG1" s="9"/>
      <c r="CRH1" s="9"/>
      <c r="CRI1" s="9"/>
      <c r="CRJ1" s="9"/>
      <c r="CRK1" s="9"/>
      <c r="CRL1" s="9"/>
      <c r="CRM1" s="9"/>
      <c r="CRN1" s="9"/>
      <c r="CRO1" s="9"/>
      <c r="CRP1" s="9"/>
      <c r="CRQ1" s="9"/>
      <c r="CRR1" s="9"/>
      <c r="CRS1" s="9"/>
      <c r="CRT1" s="9"/>
      <c r="CRU1" s="9"/>
      <c r="CRV1" s="9"/>
      <c r="CRW1" s="9"/>
      <c r="CRX1" s="9"/>
      <c r="CRY1" s="9"/>
      <c r="CRZ1" s="9"/>
      <c r="CSA1" s="9"/>
      <c r="CSB1" s="9"/>
      <c r="CSC1" s="9"/>
      <c r="CSD1" s="9"/>
      <c r="CSE1" s="9"/>
      <c r="CSF1" s="9"/>
      <c r="CSG1" s="9"/>
      <c r="CSH1" s="9"/>
      <c r="CSI1" s="9"/>
      <c r="CSJ1" s="9"/>
      <c r="CSK1" s="9"/>
      <c r="CSL1" s="9"/>
      <c r="CSM1" s="9"/>
      <c r="CSN1" s="9"/>
      <c r="CSO1" s="9"/>
      <c r="CSP1" s="9"/>
      <c r="CSQ1" s="9"/>
      <c r="CSR1" s="9"/>
      <c r="CSS1" s="9"/>
      <c r="CST1" s="9"/>
      <c r="CSU1" s="9"/>
      <c r="CSV1" s="9"/>
      <c r="CSW1" s="9"/>
      <c r="CSX1" s="9"/>
      <c r="CSY1" s="9"/>
      <c r="CSZ1" s="9"/>
      <c r="CTA1" s="9"/>
      <c r="CTB1" s="9"/>
      <c r="CTC1" s="9"/>
      <c r="CTD1" s="9"/>
      <c r="CTE1" s="9"/>
      <c r="CTF1" s="9"/>
      <c r="CTG1" s="9"/>
      <c r="CTH1" s="9"/>
      <c r="CTI1" s="9"/>
      <c r="CTJ1" s="9"/>
      <c r="CTK1" s="9"/>
      <c r="CTL1" s="9"/>
      <c r="CTM1" s="9"/>
      <c r="CTN1" s="9"/>
      <c r="CTO1" s="9"/>
      <c r="CTP1" s="9"/>
      <c r="CTQ1" s="9"/>
      <c r="CTR1" s="9"/>
      <c r="CTS1" s="9"/>
      <c r="CTT1" s="9"/>
      <c r="CTU1" s="9"/>
      <c r="CTV1" s="9"/>
      <c r="CTW1" s="9"/>
      <c r="CTX1" s="9"/>
      <c r="CTY1" s="9"/>
      <c r="CTZ1" s="9"/>
      <c r="CUA1" s="9"/>
      <c r="CUB1" s="9"/>
      <c r="CUC1" s="9"/>
      <c r="CUD1" s="9"/>
      <c r="CUE1" s="9"/>
      <c r="CUF1" s="9"/>
      <c r="CUG1" s="9"/>
      <c r="CUH1" s="9"/>
      <c r="CUI1" s="9"/>
      <c r="CUJ1" s="9"/>
      <c r="CUK1" s="9"/>
      <c r="CUL1" s="9"/>
      <c r="CUM1" s="9"/>
      <c r="CUN1" s="9"/>
      <c r="CUO1" s="9"/>
      <c r="CUP1" s="9"/>
      <c r="CUQ1" s="9"/>
      <c r="CUR1" s="9"/>
      <c r="CUS1" s="9"/>
      <c r="CUT1" s="9"/>
      <c r="CUU1" s="9"/>
      <c r="CUV1" s="9"/>
      <c r="CUW1" s="9"/>
      <c r="CUX1" s="9"/>
      <c r="CUY1" s="9"/>
      <c r="CUZ1" s="9"/>
      <c r="CVA1" s="9"/>
      <c r="CVB1" s="9"/>
      <c r="CVC1" s="9"/>
      <c r="CVD1" s="9"/>
      <c r="CVE1" s="9"/>
      <c r="CVF1" s="9"/>
      <c r="CVG1" s="9"/>
      <c r="CVH1" s="9"/>
      <c r="CVI1" s="9"/>
      <c r="CVJ1" s="9"/>
      <c r="CVK1" s="9"/>
      <c r="CVL1" s="9"/>
      <c r="CVM1" s="9"/>
      <c r="CVN1" s="9"/>
      <c r="CVO1" s="9"/>
      <c r="CVP1" s="9"/>
      <c r="CVQ1" s="9"/>
      <c r="CVR1" s="9"/>
      <c r="CVS1" s="9"/>
      <c r="CVT1" s="9"/>
      <c r="CVU1" s="9"/>
      <c r="CVV1" s="9"/>
      <c r="CVW1" s="9"/>
      <c r="CVX1" s="9"/>
      <c r="CVY1" s="9"/>
      <c r="CVZ1" s="9"/>
      <c r="CWA1" s="9"/>
      <c r="CWB1" s="9"/>
      <c r="CWC1" s="9"/>
      <c r="CWD1" s="9"/>
      <c r="CWE1" s="9"/>
      <c r="CWF1" s="9"/>
      <c r="CWG1" s="9"/>
      <c r="CWH1" s="9"/>
      <c r="CWI1" s="9"/>
      <c r="CWJ1" s="9"/>
      <c r="CWK1" s="9"/>
      <c r="CWL1" s="9"/>
      <c r="CWM1" s="9"/>
      <c r="CWN1" s="9"/>
      <c r="CWO1" s="9"/>
      <c r="CWP1" s="9"/>
      <c r="CWQ1" s="9"/>
      <c r="CWR1" s="9"/>
      <c r="CWS1" s="9"/>
      <c r="CWT1" s="9"/>
      <c r="CWU1" s="9"/>
      <c r="CWV1" s="9"/>
      <c r="CWW1" s="9"/>
      <c r="CWX1" s="9"/>
      <c r="CWY1" s="9"/>
      <c r="CWZ1" s="9"/>
      <c r="CXA1" s="9"/>
      <c r="CXB1" s="9"/>
      <c r="CXC1" s="9"/>
      <c r="CXD1" s="9"/>
      <c r="CXE1" s="9"/>
      <c r="CXF1" s="9"/>
      <c r="CXG1" s="9"/>
      <c r="CXH1" s="9"/>
      <c r="CXI1" s="9"/>
      <c r="CXJ1" s="9"/>
      <c r="CXK1" s="9"/>
      <c r="CXL1" s="9"/>
      <c r="CXM1" s="9"/>
      <c r="CXN1" s="9"/>
      <c r="CXO1" s="9"/>
      <c r="CXP1" s="9"/>
      <c r="CXQ1" s="9"/>
      <c r="CXR1" s="9"/>
      <c r="CXS1" s="9"/>
      <c r="CXT1" s="9"/>
      <c r="CXU1" s="9"/>
      <c r="CXV1" s="9"/>
      <c r="CXW1" s="9"/>
      <c r="CXX1" s="9"/>
      <c r="CXY1" s="9"/>
      <c r="CXZ1" s="9"/>
      <c r="CYA1" s="9"/>
      <c r="CYB1" s="9"/>
      <c r="CYC1" s="9"/>
      <c r="CYD1" s="9"/>
      <c r="CYE1" s="9"/>
      <c r="CYF1" s="9"/>
      <c r="CYG1" s="9"/>
      <c r="CYH1" s="9"/>
      <c r="CYI1" s="9"/>
      <c r="CYJ1" s="9"/>
      <c r="CYK1" s="9"/>
      <c r="CYL1" s="9"/>
      <c r="CYM1" s="9"/>
      <c r="CYN1" s="9"/>
      <c r="CYO1" s="9"/>
      <c r="CYP1" s="9"/>
      <c r="CYQ1" s="9"/>
      <c r="CYR1" s="9"/>
      <c r="CYS1" s="9"/>
      <c r="CYT1" s="9"/>
      <c r="CYU1" s="9"/>
      <c r="CYV1" s="9"/>
      <c r="CYW1" s="9"/>
      <c r="CYX1" s="9"/>
      <c r="CYY1" s="9"/>
      <c r="CYZ1" s="9"/>
      <c r="CZA1" s="9"/>
      <c r="CZB1" s="9"/>
      <c r="CZC1" s="9"/>
      <c r="CZD1" s="9"/>
      <c r="CZE1" s="9"/>
      <c r="CZF1" s="9"/>
      <c r="CZG1" s="9"/>
      <c r="CZH1" s="9"/>
      <c r="CZI1" s="9"/>
      <c r="CZJ1" s="9"/>
      <c r="CZK1" s="9"/>
      <c r="CZL1" s="9"/>
      <c r="CZM1" s="9"/>
      <c r="CZN1" s="9"/>
      <c r="CZO1" s="9"/>
      <c r="CZP1" s="9"/>
      <c r="CZQ1" s="9"/>
      <c r="CZR1" s="9"/>
      <c r="CZS1" s="9"/>
      <c r="CZT1" s="9"/>
      <c r="CZU1" s="9"/>
      <c r="CZV1" s="9"/>
      <c r="CZW1" s="9"/>
      <c r="CZX1" s="9"/>
      <c r="CZY1" s="9"/>
      <c r="CZZ1" s="9"/>
      <c r="DAA1" s="9"/>
      <c r="DAB1" s="9"/>
      <c r="DAC1" s="9"/>
      <c r="DAD1" s="9"/>
      <c r="DAE1" s="9"/>
      <c r="DAF1" s="9"/>
      <c r="DAG1" s="9"/>
      <c r="DAH1" s="9"/>
      <c r="DAI1" s="9"/>
      <c r="DAJ1" s="9"/>
      <c r="DAK1" s="9"/>
      <c r="DAL1" s="9"/>
      <c r="DAM1" s="9"/>
      <c r="DAN1" s="9"/>
      <c r="DAO1" s="9"/>
      <c r="DAP1" s="9"/>
      <c r="DAQ1" s="9"/>
      <c r="DAR1" s="9"/>
      <c r="DAS1" s="9"/>
      <c r="DAT1" s="9"/>
      <c r="DAU1" s="9"/>
      <c r="DAV1" s="9"/>
      <c r="DAW1" s="9"/>
      <c r="DAX1" s="9"/>
      <c r="DAY1" s="9"/>
      <c r="DAZ1" s="9"/>
      <c r="DBA1" s="9"/>
      <c r="DBB1" s="9"/>
      <c r="DBC1" s="9"/>
      <c r="DBD1" s="9"/>
      <c r="DBE1" s="9"/>
      <c r="DBF1" s="9"/>
      <c r="DBG1" s="9"/>
      <c r="DBH1" s="9"/>
      <c r="DBI1" s="9"/>
      <c r="DBJ1" s="9"/>
      <c r="DBK1" s="9"/>
      <c r="DBL1" s="9"/>
      <c r="DBM1" s="9"/>
      <c r="DBN1" s="9"/>
      <c r="DBO1" s="9"/>
      <c r="DBP1" s="9"/>
      <c r="DBQ1" s="9"/>
      <c r="DBR1" s="9"/>
      <c r="DBS1" s="9"/>
      <c r="DBT1" s="9"/>
      <c r="DBU1" s="9"/>
      <c r="DBV1" s="9"/>
      <c r="DBW1" s="9"/>
      <c r="DBX1" s="9"/>
      <c r="DBY1" s="9"/>
      <c r="DBZ1" s="9"/>
      <c r="DCA1" s="9"/>
      <c r="DCB1" s="9"/>
      <c r="DCC1" s="9"/>
      <c r="DCD1" s="9"/>
      <c r="DCE1" s="9"/>
      <c r="DCF1" s="9"/>
      <c r="DCG1" s="9"/>
      <c r="DCH1" s="9"/>
      <c r="DCI1" s="9"/>
      <c r="DCJ1" s="9"/>
      <c r="DCK1" s="9"/>
      <c r="DCL1" s="9"/>
      <c r="DCM1" s="9"/>
      <c r="DCN1" s="9"/>
      <c r="DCO1" s="9"/>
      <c r="DCP1" s="9"/>
      <c r="DCQ1" s="9"/>
      <c r="DCR1" s="9"/>
      <c r="DCS1" s="9"/>
      <c r="DCT1" s="9"/>
      <c r="DCU1" s="9"/>
      <c r="DCV1" s="9"/>
      <c r="DCW1" s="9"/>
      <c r="DCX1" s="9"/>
      <c r="DCY1" s="9"/>
      <c r="DCZ1" s="9"/>
      <c r="DDA1" s="9"/>
      <c r="DDB1" s="9"/>
      <c r="DDC1" s="9"/>
      <c r="DDD1" s="9"/>
      <c r="DDE1" s="9"/>
      <c r="DDF1" s="9"/>
      <c r="DDG1" s="9"/>
      <c r="DDH1" s="9"/>
      <c r="DDI1" s="9"/>
      <c r="DDJ1" s="9"/>
      <c r="DDK1" s="9"/>
      <c r="DDL1" s="9"/>
      <c r="DDM1" s="9"/>
      <c r="DDN1" s="9"/>
      <c r="DDO1" s="9"/>
      <c r="DDP1" s="9"/>
      <c r="DDQ1" s="9"/>
      <c r="DDR1" s="9"/>
      <c r="DDS1" s="9"/>
      <c r="DDT1" s="9"/>
      <c r="DDU1" s="9"/>
      <c r="DDV1" s="9"/>
      <c r="DDW1" s="9"/>
      <c r="DDX1" s="9"/>
      <c r="DDY1" s="9"/>
      <c r="DDZ1" s="9"/>
      <c r="DEA1" s="9"/>
      <c r="DEB1" s="9"/>
      <c r="DEC1" s="9"/>
      <c r="DED1" s="9"/>
      <c r="DEE1" s="9"/>
      <c r="DEF1" s="9"/>
      <c r="DEG1" s="9"/>
      <c r="DEH1" s="9"/>
      <c r="DEI1" s="9"/>
      <c r="DEJ1" s="9"/>
      <c r="DEK1" s="9"/>
      <c r="DEL1" s="9"/>
      <c r="DEM1" s="9"/>
      <c r="DEN1" s="9"/>
      <c r="DEO1" s="9"/>
      <c r="DEP1" s="9"/>
      <c r="DEQ1" s="9"/>
      <c r="DER1" s="9"/>
      <c r="DES1" s="9"/>
      <c r="DET1" s="9"/>
      <c r="DEU1" s="9"/>
      <c r="DEV1" s="9"/>
      <c r="DEW1" s="9"/>
      <c r="DEX1" s="9"/>
      <c r="DEY1" s="9"/>
      <c r="DEZ1" s="9"/>
      <c r="DFA1" s="9"/>
      <c r="DFB1" s="9"/>
      <c r="DFC1" s="9"/>
      <c r="DFD1" s="9"/>
      <c r="DFE1" s="9"/>
      <c r="DFF1" s="9"/>
      <c r="DFG1" s="9"/>
      <c r="DFH1" s="9"/>
      <c r="DFI1" s="9"/>
      <c r="DFJ1" s="9"/>
      <c r="DFK1" s="9"/>
      <c r="DFL1" s="9"/>
      <c r="DFM1" s="9"/>
      <c r="DFN1" s="9"/>
      <c r="DFO1" s="9"/>
      <c r="DFP1" s="9"/>
      <c r="DFQ1" s="9"/>
      <c r="DFR1" s="9"/>
      <c r="DFS1" s="9"/>
      <c r="DFT1" s="9"/>
      <c r="DFU1" s="9"/>
      <c r="DFV1" s="9"/>
      <c r="DFW1" s="9"/>
      <c r="DFX1" s="9"/>
      <c r="DFY1" s="9"/>
      <c r="DFZ1" s="9"/>
      <c r="DGA1" s="9"/>
      <c r="DGB1" s="9"/>
      <c r="DGC1" s="9"/>
      <c r="DGD1" s="9"/>
      <c r="DGE1" s="9"/>
      <c r="DGF1" s="9"/>
      <c r="DGG1" s="9"/>
      <c r="DGH1" s="9"/>
      <c r="DGI1" s="9"/>
      <c r="DGJ1" s="9"/>
      <c r="DGK1" s="9"/>
      <c r="DGL1" s="9"/>
      <c r="DGM1" s="9"/>
      <c r="DGN1" s="9"/>
      <c r="DGO1" s="9"/>
      <c r="DGP1" s="9"/>
      <c r="DGQ1" s="9"/>
      <c r="DGR1" s="9"/>
      <c r="DGS1" s="9"/>
      <c r="DGT1" s="9"/>
      <c r="DGU1" s="9"/>
      <c r="DGV1" s="9"/>
      <c r="DGW1" s="9"/>
      <c r="DGX1" s="9"/>
      <c r="DGY1" s="9"/>
      <c r="DGZ1" s="9"/>
      <c r="DHA1" s="9"/>
      <c r="DHB1" s="9"/>
      <c r="DHC1" s="9"/>
      <c r="DHD1" s="9"/>
      <c r="DHE1" s="9"/>
      <c r="DHF1" s="9"/>
      <c r="DHG1" s="9"/>
      <c r="DHH1" s="9"/>
      <c r="DHI1" s="9"/>
      <c r="DHJ1" s="9"/>
      <c r="DHK1" s="9"/>
      <c r="DHL1" s="9"/>
      <c r="DHM1" s="9"/>
      <c r="DHN1" s="9"/>
      <c r="DHO1" s="9"/>
      <c r="DHP1" s="9"/>
      <c r="DHQ1" s="9"/>
      <c r="DHR1" s="9"/>
      <c r="DHS1" s="9"/>
      <c r="DHT1" s="9"/>
      <c r="DHU1" s="9"/>
      <c r="DHV1" s="9"/>
      <c r="DHW1" s="9"/>
      <c r="DHX1" s="9"/>
      <c r="DHY1" s="9"/>
      <c r="DHZ1" s="9"/>
      <c r="DIA1" s="9"/>
      <c r="DIB1" s="9"/>
      <c r="DIC1" s="9"/>
      <c r="DID1" s="9"/>
      <c r="DIE1" s="9"/>
      <c r="DIF1" s="9"/>
      <c r="DIG1" s="9"/>
      <c r="DIH1" s="9"/>
      <c r="DII1" s="9"/>
      <c r="DIJ1" s="9"/>
      <c r="DIK1" s="9"/>
      <c r="DIL1" s="9"/>
      <c r="DIM1" s="9"/>
      <c r="DIN1" s="9"/>
      <c r="DIO1" s="9"/>
      <c r="DIP1" s="9"/>
      <c r="DIQ1" s="9"/>
      <c r="DIR1" s="9"/>
      <c r="DIS1" s="9"/>
      <c r="DIT1" s="9"/>
      <c r="DIU1" s="9"/>
      <c r="DIV1" s="9"/>
      <c r="DIW1" s="9"/>
      <c r="DIX1" s="9"/>
      <c r="DIY1" s="9"/>
      <c r="DIZ1" s="9"/>
      <c r="DJA1" s="9"/>
      <c r="DJB1" s="9"/>
      <c r="DJC1" s="9"/>
      <c r="DJD1" s="9"/>
      <c r="DJE1" s="9"/>
      <c r="DJF1" s="9"/>
      <c r="DJG1" s="9"/>
      <c r="DJH1" s="9"/>
      <c r="DJI1" s="9"/>
      <c r="DJJ1" s="9"/>
      <c r="DJK1" s="9"/>
      <c r="DJL1" s="9"/>
      <c r="DJM1" s="9"/>
      <c r="DJN1" s="9"/>
      <c r="DJO1" s="9"/>
      <c r="DJP1" s="9"/>
      <c r="DJQ1" s="9"/>
      <c r="DJR1" s="9"/>
      <c r="DJS1" s="9"/>
      <c r="DJT1" s="9"/>
      <c r="DJU1" s="9"/>
      <c r="DJV1" s="9"/>
      <c r="DJW1" s="9"/>
      <c r="DJX1" s="9"/>
      <c r="DJY1" s="9"/>
      <c r="DJZ1" s="9"/>
      <c r="DKA1" s="9"/>
      <c r="DKB1" s="9"/>
      <c r="DKC1" s="9"/>
      <c r="DKD1" s="9"/>
      <c r="DKE1" s="9"/>
      <c r="DKF1" s="9"/>
      <c r="DKG1" s="9"/>
      <c r="DKH1" s="9"/>
      <c r="DKI1" s="9"/>
      <c r="DKJ1" s="9"/>
      <c r="DKK1" s="9"/>
      <c r="DKL1" s="9"/>
      <c r="DKM1" s="9"/>
      <c r="DKN1" s="9"/>
      <c r="DKO1" s="9"/>
      <c r="DKP1" s="9"/>
      <c r="DKQ1" s="9"/>
      <c r="DKR1" s="9"/>
      <c r="DKS1" s="9"/>
      <c r="DKT1" s="9"/>
      <c r="DKU1" s="9"/>
      <c r="DKV1" s="9"/>
      <c r="DKW1" s="9"/>
      <c r="DKX1" s="9"/>
      <c r="DKY1" s="9"/>
      <c r="DKZ1" s="9"/>
      <c r="DLA1" s="9"/>
      <c r="DLB1" s="9"/>
      <c r="DLC1" s="9"/>
      <c r="DLD1" s="9"/>
      <c r="DLE1" s="9"/>
      <c r="DLF1" s="9"/>
      <c r="DLG1" s="9"/>
      <c r="DLH1" s="9"/>
      <c r="DLI1" s="9"/>
      <c r="DLJ1" s="9"/>
      <c r="DLK1" s="9"/>
      <c r="DLL1" s="9"/>
      <c r="DLM1" s="9"/>
      <c r="DLN1" s="9"/>
      <c r="DLO1" s="9"/>
      <c r="DLP1" s="9"/>
      <c r="DLQ1" s="9"/>
      <c r="DLR1" s="9"/>
      <c r="DLS1" s="9"/>
      <c r="DLT1" s="9"/>
      <c r="DLU1" s="9"/>
      <c r="DLV1" s="9"/>
      <c r="DLW1" s="9"/>
      <c r="DLX1" s="9"/>
      <c r="DLY1" s="9"/>
      <c r="DLZ1" s="9"/>
      <c r="DMA1" s="9"/>
      <c r="DMB1" s="9"/>
      <c r="DMC1" s="9"/>
      <c r="DMD1" s="9"/>
      <c r="DME1" s="9"/>
      <c r="DMF1" s="9"/>
      <c r="DMG1" s="9"/>
      <c r="DMH1" s="9"/>
      <c r="DMI1" s="9"/>
      <c r="DMJ1" s="9"/>
      <c r="DMK1" s="9"/>
      <c r="DML1" s="9"/>
      <c r="DMM1" s="9"/>
      <c r="DMN1" s="9"/>
      <c r="DMO1" s="9"/>
      <c r="DMP1" s="9"/>
      <c r="DMQ1" s="9"/>
      <c r="DMR1" s="9"/>
      <c r="DMS1" s="9"/>
      <c r="DMT1" s="9"/>
      <c r="DMU1" s="9"/>
      <c r="DMV1" s="9"/>
      <c r="DMW1" s="9"/>
      <c r="DMX1" s="9"/>
      <c r="DMY1" s="9"/>
      <c r="DMZ1" s="9"/>
      <c r="DNA1" s="9"/>
      <c r="DNB1" s="9"/>
      <c r="DNC1" s="9"/>
      <c r="DND1" s="9"/>
      <c r="DNE1" s="9"/>
      <c r="DNF1" s="9"/>
      <c r="DNG1" s="9"/>
      <c r="DNH1" s="9"/>
      <c r="DNI1" s="9"/>
      <c r="DNJ1" s="9"/>
      <c r="DNK1" s="9"/>
      <c r="DNL1" s="9"/>
      <c r="DNM1" s="9"/>
      <c r="DNN1" s="9"/>
      <c r="DNO1" s="9"/>
      <c r="DNP1" s="9"/>
      <c r="DNQ1" s="9"/>
      <c r="DNR1" s="9"/>
      <c r="DNS1" s="9"/>
      <c r="DNT1" s="9"/>
      <c r="DNU1" s="9"/>
      <c r="DNV1" s="9"/>
      <c r="DNW1" s="9"/>
      <c r="DNX1" s="9"/>
      <c r="DNY1" s="9"/>
      <c r="DNZ1" s="9"/>
      <c r="DOA1" s="9"/>
      <c r="DOB1" s="9"/>
      <c r="DOC1" s="9"/>
      <c r="DOD1" s="9"/>
      <c r="DOE1" s="9"/>
      <c r="DOF1" s="9"/>
      <c r="DOG1" s="9"/>
      <c r="DOH1" s="9"/>
      <c r="DOI1" s="9"/>
      <c r="DOJ1" s="9"/>
      <c r="DOK1" s="9"/>
      <c r="DOL1" s="9"/>
      <c r="DOM1" s="9"/>
      <c r="DON1" s="9"/>
      <c r="DOO1" s="9"/>
      <c r="DOP1" s="9"/>
      <c r="DOQ1" s="9"/>
      <c r="DOR1" s="9"/>
      <c r="DOS1" s="9"/>
      <c r="DOT1" s="9"/>
      <c r="DOU1" s="9"/>
      <c r="DOV1" s="9"/>
      <c r="DOW1" s="9"/>
      <c r="DOX1" s="9"/>
      <c r="DOY1" s="9"/>
      <c r="DOZ1" s="9"/>
      <c r="DPA1" s="9"/>
      <c r="DPB1" s="9"/>
      <c r="DPC1" s="9"/>
      <c r="DPD1" s="9"/>
      <c r="DPE1" s="9"/>
      <c r="DPF1" s="9"/>
      <c r="DPG1" s="9"/>
      <c r="DPH1" s="9"/>
      <c r="DPI1" s="9"/>
      <c r="DPJ1" s="9"/>
      <c r="DPK1" s="9"/>
      <c r="DPL1" s="9"/>
      <c r="DPM1" s="9"/>
      <c r="DPN1" s="9"/>
      <c r="DPO1" s="9"/>
      <c r="DPP1" s="9"/>
      <c r="DPQ1" s="9"/>
      <c r="DPR1" s="9"/>
      <c r="DPS1" s="9"/>
      <c r="DPT1" s="9"/>
      <c r="DPU1" s="9"/>
      <c r="DPV1" s="9"/>
      <c r="DPW1" s="9"/>
      <c r="DPX1" s="9"/>
      <c r="DPY1" s="9"/>
      <c r="DPZ1" s="9"/>
      <c r="DQA1" s="9"/>
      <c r="DQB1" s="9"/>
      <c r="DQC1" s="9"/>
      <c r="DQD1" s="9"/>
      <c r="DQE1" s="9"/>
      <c r="DQF1" s="9"/>
      <c r="DQG1" s="9"/>
      <c r="DQH1" s="9"/>
      <c r="DQI1" s="9"/>
      <c r="DQJ1" s="9"/>
      <c r="DQK1" s="9"/>
      <c r="DQL1" s="9"/>
      <c r="DQM1" s="9"/>
      <c r="DQN1" s="9"/>
      <c r="DQO1" s="9"/>
      <c r="DQP1" s="9"/>
      <c r="DQQ1" s="9"/>
      <c r="DQR1" s="9"/>
      <c r="DQS1" s="9"/>
      <c r="DQT1" s="9"/>
      <c r="DQU1" s="9"/>
      <c r="DQV1" s="9"/>
      <c r="DQW1" s="9"/>
      <c r="DQX1" s="9"/>
      <c r="DQY1" s="9"/>
      <c r="DQZ1" s="9"/>
      <c r="DRA1" s="9"/>
      <c r="DRB1" s="9"/>
      <c r="DRC1" s="9"/>
      <c r="DRD1" s="9"/>
      <c r="DRE1" s="9"/>
      <c r="DRF1" s="9"/>
      <c r="DRG1" s="9"/>
      <c r="DRH1" s="9"/>
      <c r="DRI1" s="9"/>
      <c r="DRJ1" s="9"/>
      <c r="DRK1" s="9"/>
      <c r="DRL1" s="9"/>
      <c r="DRM1" s="9"/>
      <c r="DRN1" s="9"/>
      <c r="DRO1" s="9"/>
      <c r="DRP1" s="9"/>
      <c r="DRQ1" s="9"/>
      <c r="DRR1" s="9"/>
      <c r="DRS1" s="9"/>
      <c r="DRT1" s="9"/>
      <c r="DRU1" s="9"/>
      <c r="DRV1" s="9"/>
      <c r="DRW1" s="9"/>
      <c r="DRX1" s="9"/>
      <c r="DRY1" s="9"/>
      <c r="DRZ1" s="9"/>
      <c r="DSA1" s="9"/>
      <c r="DSB1" s="9"/>
      <c r="DSC1" s="9"/>
      <c r="DSD1" s="9"/>
      <c r="DSE1" s="9"/>
      <c r="DSF1" s="9"/>
      <c r="DSG1" s="9"/>
      <c r="DSH1" s="9"/>
      <c r="DSI1" s="9"/>
      <c r="DSJ1" s="9"/>
      <c r="DSK1" s="9"/>
      <c r="DSL1" s="9"/>
      <c r="DSM1" s="9"/>
      <c r="DSN1" s="9"/>
      <c r="DSO1" s="9"/>
      <c r="DSP1" s="9"/>
      <c r="DSQ1" s="9"/>
      <c r="DSR1" s="9"/>
      <c r="DSS1" s="9"/>
      <c r="DST1" s="9"/>
      <c r="DSU1" s="9"/>
      <c r="DSV1" s="9"/>
      <c r="DSW1" s="9"/>
      <c r="DSX1" s="9"/>
      <c r="DSY1" s="9"/>
      <c r="DSZ1" s="9"/>
      <c r="DTA1" s="9"/>
      <c r="DTB1" s="9"/>
      <c r="DTC1" s="9"/>
      <c r="DTD1" s="9"/>
      <c r="DTE1" s="9"/>
      <c r="DTF1" s="9"/>
      <c r="DTG1" s="9"/>
      <c r="DTH1" s="9"/>
      <c r="DTI1" s="9"/>
      <c r="DTJ1" s="9"/>
      <c r="DTK1" s="9"/>
      <c r="DTL1" s="9"/>
      <c r="DTM1" s="9"/>
      <c r="DTN1" s="9"/>
      <c r="DTO1" s="9"/>
      <c r="DTP1" s="9"/>
      <c r="DTQ1" s="9"/>
      <c r="DTR1" s="9"/>
      <c r="DTS1" s="9"/>
      <c r="DTT1" s="9"/>
      <c r="DTU1" s="9"/>
      <c r="DTV1" s="9"/>
      <c r="DTW1" s="9"/>
      <c r="DTX1" s="9"/>
      <c r="DTY1" s="9"/>
      <c r="DTZ1" s="9"/>
      <c r="DUA1" s="9"/>
      <c r="DUB1" s="9"/>
      <c r="DUC1" s="9"/>
      <c r="DUD1" s="9"/>
      <c r="DUE1" s="9"/>
      <c r="DUF1" s="9"/>
      <c r="DUG1" s="9"/>
      <c r="DUH1" s="9"/>
      <c r="DUI1" s="9"/>
      <c r="DUJ1" s="9"/>
      <c r="DUK1" s="9"/>
      <c r="DUL1" s="9"/>
      <c r="DUM1" s="9"/>
      <c r="DUN1" s="9"/>
      <c r="DUO1" s="9"/>
      <c r="DUP1" s="9"/>
      <c r="DUQ1" s="9"/>
      <c r="DUR1" s="9"/>
      <c r="DUS1" s="9"/>
      <c r="DUT1" s="9"/>
      <c r="DUU1" s="9"/>
      <c r="DUV1" s="9"/>
      <c r="DUW1" s="9"/>
      <c r="DUX1" s="9"/>
      <c r="DUY1" s="9"/>
      <c r="DUZ1" s="9"/>
      <c r="DVA1" s="9"/>
      <c r="DVB1" s="9"/>
      <c r="DVC1" s="9"/>
      <c r="DVD1" s="9"/>
      <c r="DVE1" s="9"/>
      <c r="DVF1" s="9"/>
      <c r="DVG1" s="9"/>
      <c r="DVH1" s="9"/>
      <c r="DVI1" s="9"/>
      <c r="DVJ1" s="9"/>
      <c r="DVK1" s="9"/>
      <c r="DVL1" s="9"/>
      <c r="DVM1" s="9"/>
      <c r="DVN1" s="9"/>
      <c r="DVO1" s="9"/>
      <c r="DVP1" s="9"/>
      <c r="DVQ1" s="9"/>
      <c r="DVR1" s="9"/>
      <c r="DVS1" s="9"/>
      <c r="DVT1" s="9"/>
      <c r="DVU1" s="9"/>
      <c r="DVV1" s="9"/>
      <c r="DVW1" s="9"/>
      <c r="DVX1" s="9"/>
      <c r="DVY1" s="9"/>
      <c r="DVZ1" s="9"/>
      <c r="DWA1" s="9"/>
      <c r="DWB1" s="9"/>
      <c r="DWC1" s="9"/>
      <c r="DWD1" s="9"/>
      <c r="DWE1" s="9"/>
      <c r="DWF1" s="9"/>
      <c r="DWG1" s="9"/>
      <c r="DWH1" s="9"/>
      <c r="DWI1" s="9"/>
      <c r="DWJ1" s="9"/>
      <c r="DWK1" s="9"/>
      <c r="DWL1" s="9"/>
      <c r="DWM1" s="9"/>
      <c r="DWN1" s="9"/>
      <c r="DWO1" s="9"/>
      <c r="DWP1" s="9"/>
      <c r="DWQ1" s="9"/>
      <c r="DWR1" s="9"/>
      <c r="DWS1" s="9"/>
      <c r="DWT1" s="9"/>
      <c r="DWU1" s="9"/>
      <c r="DWV1" s="9"/>
      <c r="DWW1" s="9"/>
      <c r="DWX1" s="9"/>
      <c r="DWY1" s="9"/>
      <c r="DWZ1" s="9"/>
      <c r="DXA1" s="9"/>
      <c r="DXB1" s="9"/>
      <c r="DXC1" s="9"/>
      <c r="DXD1" s="9"/>
      <c r="DXE1" s="9"/>
      <c r="DXF1" s="9"/>
      <c r="DXG1" s="9"/>
      <c r="DXH1" s="9"/>
      <c r="DXI1" s="9"/>
      <c r="DXJ1" s="9"/>
      <c r="DXK1" s="9"/>
      <c r="DXL1" s="9"/>
      <c r="DXM1" s="9"/>
      <c r="DXN1" s="9"/>
      <c r="DXO1" s="9"/>
      <c r="DXP1" s="9"/>
      <c r="DXQ1" s="9"/>
      <c r="DXR1" s="9"/>
      <c r="DXS1" s="9"/>
      <c r="DXT1" s="9"/>
      <c r="DXU1" s="9"/>
      <c r="DXV1" s="9"/>
      <c r="DXW1" s="9"/>
      <c r="DXX1" s="9"/>
      <c r="DXY1" s="9"/>
      <c r="DXZ1" s="9"/>
      <c r="DYA1" s="9"/>
      <c r="DYB1" s="9"/>
      <c r="DYC1" s="9"/>
      <c r="DYD1" s="9"/>
      <c r="DYE1" s="9"/>
      <c r="DYF1" s="9"/>
      <c r="DYG1" s="9"/>
      <c r="DYH1" s="9"/>
      <c r="DYI1" s="9"/>
      <c r="DYJ1" s="9"/>
      <c r="DYK1" s="9"/>
      <c r="DYL1" s="9"/>
      <c r="DYM1" s="9"/>
      <c r="DYN1" s="9"/>
      <c r="DYO1" s="9"/>
      <c r="DYP1" s="9"/>
      <c r="DYQ1" s="9"/>
      <c r="DYR1" s="9"/>
      <c r="DYS1" s="9"/>
      <c r="DYT1" s="9"/>
      <c r="DYU1" s="9"/>
      <c r="DYV1" s="9"/>
      <c r="DYW1" s="9"/>
      <c r="DYX1" s="9"/>
      <c r="DYY1" s="9"/>
      <c r="DYZ1" s="9"/>
      <c r="DZA1" s="9"/>
      <c r="DZB1" s="9"/>
      <c r="DZC1" s="9"/>
      <c r="DZD1" s="9"/>
      <c r="DZE1" s="9"/>
      <c r="DZF1" s="9"/>
      <c r="DZG1" s="9"/>
      <c r="DZH1" s="9"/>
      <c r="DZI1" s="9"/>
      <c r="DZJ1" s="9"/>
      <c r="DZK1" s="9"/>
      <c r="DZL1" s="9"/>
      <c r="DZM1" s="9"/>
      <c r="DZN1" s="9"/>
      <c r="DZO1" s="9"/>
      <c r="DZP1" s="9"/>
      <c r="DZQ1" s="9"/>
      <c r="DZR1" s="9"/>
      <c r="DZS1" s="9"/>
      <c r="DZT1" s="9"/>
      <c r="DZU1" s="9"/>
      <c r="DZV1" s="9"/>
      <c r="DZW1" s="9"/>
      <c r="DZX1" s="9"/>
      <c r="DZY1" s="9"/>
      <c r="DZZ1" s="9"/>
      <c r="EAA1" s="9"/>
      <c r="EAB1" s="9"/>
      <c r="EAC1" s="9"/>
      <c r="EAD1" s="9"/>
      <c r="EAE1" s="9"/>
      <c r="EAF1" s="9"/>
      <c r="EAG1" s="9"/>
      <c r="EAH1" s="9"/>
      <c r="EAI1" s="9"/>
      <c r="EAJ1" s="9"/>
      <c r="EAK1" s="9"/>
      <c r="EAL1" s="9"/>
      <c r="EAM1" s="9"/>
      <c r="EAN1" s="9"/>
      <c r="EAO1" s="9"/>
      <c r="EAP1" s="9"/>
      <c r="EAQ1" s="9"/>
      <c r="EAR1" s="9"/>
      <c r="EAS1" s="9"/>
      <c r="EAT1" s="9"/>
      <c r="EAU1" s="9"/>
      <c r="EAV1" s="9"/>
      <c r="EAW1" s="9"/>
      <c r="EAX1" s="9"/>
      <c r="EAY1" s="9"/>
      <c r="EAZ1" s="9"/>
      <c r="EBA1" s="9"/>
      <c r="EBB1" s="9"/>
      <c r="EBC1" s="9"/>
      <c r="EBD1" s="9"/>
      <c r="EBE1" s="9"/>
      <c r="EBF1" s="9"/>
      <c r="EBG1" s="9"/>
      <c r="EBH1" s="9"/>
      <c r="EBI1" s="9"/>
      <c r="EBJ1" s="9"/>
      <c r="EBK1" s="9"/>
      <c r="EBL1" s="9"/>
      <c r="EBM1" s="9"/>
      <c r="EBN1" s="9"/>
      <c r="EBO1" s="9"/>
      <c r="EBP1" s="9"/>
      <c r="EBQ1" s="9"/>
      <c r="EBR1" s="9"/>
      <c r="EBS1" s="9"/>
      <c r="EBT1" s="9"/>
      <c r="EBU1" s="9"/>
      <c r="EBV1" s="9"/>
      <c r="EBW1" s="9"/>
      <c r="EBX1" s="9"/>
      <c r="EBY1" s="9"/>
      <c r="EBZ1" s="9"/>
      <c r="ECA1" s="9"/>
      <c r="ECB1" s="9"/>
      <c r="ECC1" s="9"/>
      <c r="ECD1" s="9"/>
      <c r="ECE1" s="9"/>
      <c r="ECF1" s="9"/>
      <c r="ECG1" s="9"/>
      <c r="ECH1" s="9"/>
      <c r="ECI1" s="9"/>
      <c r="ECJ1" s="9"/>
      <c r="ECK1" s="9"/>
      <c r="ECL1" s="9"/>
      <c r="ECM1" s="9"/>
      <c r="ECN1" s="9"/>
      <c r="ECO1" s="9"/>
      <c r="ECP1" s="9"/>
      <c r="ECQ1" s="9"/>
      <c r="ECR1" s="9"/>
      <c r="ECS1" s="9"/>
      <c r="ECT1" s="9"/>
      <c r="ECU1" s="9"/>
      <c r="ECV1" s="9"/>
      <c r="ECW1" s="9"/>
      <c r="ECX1" s="9"/>
      <c r="ECY1" s="9"/>
      <c r="ECZ1" s="9"/>
      <c r="EDA1" s="9"/>
      <c r="EDB1" s="9"/>
      <c r="EDC1" s="9"/>
      <c r="EDD1" s="9"/>
      <c r="EDE1" s="9"/>
      <c r="EDF1" s="9"/>
      <c r="EDG1" s="9"/>
      <c r="EDH1" s="9"/>
      <c r="EDI1" s="9"/>
      <c r="EDJ1" s="9"/>
      <c r="EDK1" s="9"/>
      <c r="EDL1" s="9"/>
      <c r="EDM1" s="9"/>
      <c r="EDN1" s="9"/>
      <c r="EDO1" s="9"/>
      <c r="EDP1" s="9"/>
      <c r="EDQ1" s="9"/>
      <c r="EDR1" s="9"/>
      <c r="EDS1" s="9"/>
      <c r="EDT1" s="9"/>
      <c r="EDU1" s="9"/>
      <c r="EDV1" s="9"/>
      <c r="EDW1" s="9"/>
      <c r="EDX1" s="9"/>
      <c r="EDY1" s="9"/>
      <c r="EDZ1" s="9"/>
      <c r="EEA1" s="9"/>
      <c r="EEB1" s="9"/>
      <c r="EEC1" s="9"/>
      <c r="EED1" s="9"/>
      <c r="EEE1" s="9"/>
      <c r="EEF1" s="9"/>
      <c r="EEG1" s="9"/>
      <c r="EEH1" s="9"/>
      <c r="EEI1" s="9"/>
      <c r="EEJ1" s="9"/>
      <c r="EEK1" s="9"/>
      <c r="EEL1" s="9"/>
      <c r="EEM1" s="9"/>
      <c r="EEN1" s="9"/>
      <c r="EEO1" s="9"/>
      <c r="EEP1" s="9"/>
      <c r="EEQ1" s="9"/>
      <c r="EER1" s="9"/>
      <c r="EES1" s="9"/>
      <c r="EET1" s="9"/>
      <c r="EEU1" s="9"/>
      <c r="EEV1" s="9"/>
      <c r="EEW1" s="9"/>
      <c r="EEX1" s="9"/>
      <c r="EEY1" s="9"/>
      <c r="EEZ1" s="9"/>
      <c r="EFA1" s="9"/>
      <c r="EFB1" s="9"/>
      <c r="EFC1" s="9"/>
      <c r="EFD1" s="9"/>
      <c r="EFE1" s="9"/>
      <c r="EFF1" s="9"/>
      <c r="EFG1" s="9"/>
      <c r="EFH1" s="9"/>
      <c r="EFI1" s="9"/>
      <c r="EFJ1" s="9"/>
      <c r="EFK1" s="9"/>
      <c r="EFL1" s="9"/>
      <c r="EFM1" s="9"/>
      <c r="EFN1" s="9"/>
      <c r="EFO1" s="9"/>
      <c r="EFP1" s="9"/>
      <c r="EFQ1" s="9"/>
      <c r="EFR1" s="9"/>
      <c r="EFS1" s="9"/>
      <c r="EFT1" s="9"/>
      <c r="EFU1" s="9"/>
      <c r="EFV1" s="9"/>
      <c r="EFW1" s="9"/>
      <c r="EFX1" s="9"/>
      <c r="EFY1" s="9"/>
      <c r="EFZ1" s="9"/>
      <c r="EGA1" s="9"/>
      <c r="EGB1" s="9"/>
      <c r="EGC1" s="9"/>
      <c r="EGD1" s="9"/>
      <c r="EGE1" s="9"/>
      <c r="EGF1" s="9"/>
      <c r="EGG1" s="9"/>
      <c r="EGH1" s="9"/>
      <c r="EGI1" s="9"/>
      <c r="EGJ1" s="9"/>
      <c r="EGK1" s="9"/>
      <c r="EGL1" s="9"/>
      <c r="EGM1" s="9"/>
      <c r="EGN1" s="9"/>
      <c r="EGO1" s="9"/>
      <c r="EGP1" s="9"/>
      <c r="EGQ1" s="9"/>
      <c r="EGR1" s="9"/>
      <c r="EGS1" s="9"/>
      <c r="EGT1" s="9"/>
      <c r="EGU1" s="9"/>
      <c r="EGV1" s="9"/>
      <c r="EGW1" s="9"/>
      <c r="EGX1" s="9"/>
      <c r="EGY1" s="9"/>
      <c r="EGZ1" s="9"/>
      <c r="EHA1" s="9"/>
      <c r="EHB1" s="9"/>
      <c r="EHC1" s="9"/>
      <c r="EHD1" s="9"/>
      <c r="EHE1" s="9"/>
      <c r="EHF1" s="9"/>
      <c r="EHG1" s="9"/>
      <c r="EHH1" s="9"/>
      <c r="EHI1" s="9"/>
      <c r="EHJ1" s="9"/>
      <c r="EHK1" s="9"/>
      <c r="EHL1" s="9"/>
      <c r="EHM1" s="9"/>
      <c r="EHN1" s="9"/>
      <c r="EHO1" s="9"/>
      <c r="EHP1" s="9"/>
      <c r="EHQ1" s="9"/>
      <c r="EHR1" s="9"/>
      <c r="EHS1" s="9"/>
      <c r="EHT1" s="9"/>
      <c r="EHU1" s="9"/>
      <c r="EHV1" s="9"/>
      <c r="EHW1" s="9"/>
      <c r="EHX1" s="9"/>
      <c r="EHY1" s="9"/>
      <c r="EHZ1" s="9"/>
      <c r="EIA1" s="9"/>
      <c r="EIB1" s="9"/>
      <c r="EIC1" s="9"/>
      <c r="EID1" s="9"/>
      <c r="EIE1" s="9"/>
      <c r="EIF1" s="9"/>
      <c r="EIG1" s="9"/>
      <c r="EIH1" s="9"/>
      <c r="EII1" s="9"/>
      <c r="EIJ1" s="9"/>
      <c r="EIK1" s="9"/>
      <c r="EIL1" s="9"/>
      <c r="EIM1" s="9"/>
      <c r="EIN1" s="9"/>
      <c r="EIO1" s="9"/>
      <c r="EIP1" s="9"/>
      <c r="EIQ1" s="9"/>
      <c r="EIR1" s="9"/>
      <c r="EIS1" s="9"/>
      <c r="EIT1" s="9"/>
      <c r="EIU1" s="9"/>
      <c r="EIV1" s="9"/>
      <c r="EIW1" s="9"/>
      <c r="EIX1" s="9"/>
      <c r="EIY1" s="9"/>
      <c r="EIZ1" s="9"/>
      <c r="EJA1" s="9"/>
      <c r="EJB1" s="9"/>
      <c r="EJC1" s="9"/>
      <c r="EJD1" s="9"/>
      <c r="EJE1" s="9"/>
      <c r="EJF1" s="9"/>
      <c r="EJG1" s="9"/>
      <c r="EJH1" s="9"/>
      <c r="EJI1" s="9"/>
      <c r="EJJ1" s="9"/>
      <c r="EJK1" s="9"/>
      <c r="EJL1" s="9"/>
      <c r="EJM1" s="9"/>
      <c r="EJN1" s="9"/>
      <c r="EJO1" s="9"/>
      <c r="EJP1" s="9"/>
      <c r="EJQ1" s="9"/>
      <c r="EJR1" s="9"/>
      <c r="EJS1" s="9"/>
      <c r="EJT1" s="9"/>
      <c r="EJU1" s="9"/>
      <c r="EJV1" s="9"/>
      <c r="EJW1" s="9"/>
      <c r="EJX1" s="9"/>
      <c r="EJY1" s="9"/>
      <c r="EJZ1" s="9"/>
      <c r="EKA1" s="9"/>
      <c r="EKB1" s="9"/>
      <c r="EKC1" s="9"/>
      <c r="EKD1" s="9"/>
      <c r="EKE1" s="9"/>
      <c r="EKF1" s="9"/>
      <c r="EKG1" s="9"/>
      <c r="EKH1" s="9"/>
      <c r="EKI1" s="9"/>
      <c r="EKJ1" s="9"/>
      <c r="EKK1" s="9"/>
      <c r="EKL1" s="9"/>
      <c r="EKM1" s="9"/>
      <c r="EKN1" s="9"/>
      <c r="EKO1" s="9"/>
      <c r="EKP1" s="9"/>
      <c r="EKQ1" s="9"/>
      <c r="EKR1" s="9"/>
      <c r="EKS1" s="9"/>
      <c r="EKT1" s="9"/>
      <c r="EKU1" s="9"/>
      <c r="EKV1" s="9"/>
      <c r="EKW1" s="9"/>
      <c r="EKX1" s="9"/>
      <c r="EKY1" s="9"/>
      <c r="EKZ1" s="9"/>
      <c r="ELA1" s="9"/>
      <c r="ELB1" s="9"/>
      <c r="ELC1" s="9"/>
      <c r="ELD1" s="9"/>
      <c r="ELE1" s="9"/>
      <c r="ELF1" s="9"/>
      <c r="ELG1" s="9"/>
      <c r="ELH1" s="9"/>
      <c r="ELI1" s="9"/>
      <c r="ELJ1" s="9"/>
      <c r="ELK1" s="9"/>
      <c r="ELL1" s="9"/>
      <c r="ELM1" s="9"/>
      <c r="ELN1" s="9"/>
      <c r="ELO1" s="9"/>
      <c r="ELP1" s="9"/>
      <c r="ELQ1" s="9"/>
      <c r="ELR1" s="9"/>
      <c r="ELS1" s="9"/>
      <c r="ELT1" s="9"/>
      <c r="ELU1" s="9"/>
      <c r="ELV1" s="9"/>
      <c r="ELW1" s="9"/>
      <c r="ELX1" s="9"/>
      <c r="ELY1" s="9"/>
      <c r="ELZ1" s="9"/>
      <c r="EMA1" s="9"/>
      <c r="EMB1" s="9"/>
      <c r="EMC1" s="9"/>
      <c r="EMD1" s="9"/>
      <c r="EME1" s="9"/>
      <c r="EMF1" s="9"/>
      <c r="EMG1" s="9"/>
      <c r="EMH1" s="9"/>
      <c r="EMI1" s="9"/>
      <c r="EMJ1" s="9"/>
      <c r="EMK1" s="9"/>
      <c r="EML1" s="9"/>
      <c r="EMM1" s="9"/>
      <c r="EMN1" s="9"/>
      <c r="EMO1" s="9"/>
      <c r="EMP1" s="9"/>
      <c r="EMQ1" s="9"/>
      <c r="EMR1" s="9"/>
      <c r="EMS1" s="9"/>
      <c r="EMT1" s="9"/>
      <c r="EMU1" s="9"/>
      <c r="EMV1" s="9"/>
      <c r="EMW1" s="9"/>
      <c r="EMX1" s="9"/>
      <c r="EMY1" s="9"/>
      <c r="EMZ1" s="9"/>
      <c r="ENA1" s="9"/>
      <c r="ENB1" s="9"/>
      <c r="ENC1" s="9"/>
      <c r="END1" s="9"/>
      <c r="ENE1" s="9"/>
      <c r="ENF1" s="9"/>
      <c r="ENG1" s="9"/>
      <c r="ENH1" s="9"/>
      <c r="ENI1" s="9"/>
      <c r="ENJ1" s="9"/>
      <c r="ENK1" s="9"/>
      <c r="ENL1" s="9"/>
      <c r="ENM1" s="9"/>
      <c r="ENN1" s="9"/>
      <c r="ENO1" s="9"/>
      <c r="ENP1" s="9"/>
      <c r="ENQ1" s="9"/>
      <c r="ENR1" s="9"/>
      <c r="ENS1" s="9"/>
      <c r="ENT1" s="9"/>
      <c r="ENU1" s="9"/>
      <c r="ENV1" s="9"/>
      <c r="ENW1" s="9"/>
      <c r="ENX1" s="9"/>
      <c r="ENY1" s="9"/>
      <c r="ENZ1" s="9"/>
      <c r="EOA1" s="9"/>
      <c r="EOB1" s="9"/>
      <c r="EOC1" s="9"/>
      <c r="EOD1" s="9"/>
      <c r="EOE1" s="9"/>
      <c r="EOF1" s="9"/>
      <c r="EOG1" s="9"/>
      <c r="EOH1" s="9"/>
      <c r="EOI1" s="9"/>
      <c r="EOJ1" s="9"/>
      <c r="EOK1" s="9"/>
      <c r="EOL1" s="9"/>
      <c r="EOM1" s="9"/>
      <c r="EON1" s="9"/>
      <c r="EOO1" s="9"/>
      <c r="EOP1" s="9"/>
      <c r="EOQ1" s="9"/>
      <c r="EOR1" s="9"/>
      <c r="EOS1" s="9"/>
      <c r="EOT1" s="9"/>
      <c r="EOU1" s="9"/>
      <c r="EOV1" s="9"/>
      <c r="EOW1" s="9"/>
      <c r="EOX1" s="9"/>
      <c r="EOY1" s="9"/>
      <c r="EOZ1" s="9"/>
      <c r="EPA1" s="9"/>
      <c r="EPB1" s="9"/>
      <c r="EPC1" s="9"/>
      <c r="EPD1" s="9"/>
      <c r="EPE1" s="9"/>
      <c r="EPF1" s="9"/>
      <c r="EPG1" s="9"/>
      <c r="EPH1" s="9"/>
      <c r="EPI1" s="9"/>
      <c r="EPJ1" s="9"/>
      <c r="EPK1" s="9"/>
      <c r="EPL1" s="9"/>
      <c r="EPM1" s="9"/>
      <c r="EPN1" s="9"/>
      <c r="EPO1" s="9"/>
      <c r="EPP1" s="9"/>
      <c r="EPQ1" s="9"/>
      <c r="EPR1" s="9"/>
      <c r="EPS1" s="9"/>
      <c r="EPT1" s="9"/>
      <c r="EPU1" s="9"/>
      <c r="EPV1" s="9"/>
      <c r="EPW1" s="9"/>
      <c r="EPX1" s="9"/>
      <c r="EPY1" s="9"/>
      <c r="EPZ1" s="9"/>
      <c r="EQA1" s="9"/>
      <c r="EQB1" s="9"/>
      <c r="EQC1" s="9"/>
      <c r="EQD1" s="9"/>
      <c r="EQE1" s="9"/>
      <c r="EQF1" s="9"/>
      <c r="EQG1" s="9"/>
      <c r="EQH1" s="9"/>
      <c r="EQI1" s="9"/>
      <c r="EQJ1" s="9"/>
      <c r="EQK1" s="9"/>
      <c r="EQL1" s="9"/>
      <c r="EQM1" s="9"/>
      <c r="EQN1" s="9"/>
      <c r="EQO1" s="9"/>
      <c r="EQP1" s="9"/>
      <c r="EQQ1" s="9"/>
      <c r="EQR1" s="9"/>
      <c r="EQS1" s="9"/>
      <c r="EQT1" s="9"/>
      <c r="EQU1" s="9"/>
      <c r="EQV1" s="9"/>
      <c r="EQW1" s="9"/>
      <c r="EQX1" s="9"/>
      <c r="EQY1" s="9"/>
      <c r="EQZ1" s="9"/>
      <c r="ERA1" s="9"/>
      <c r="ERB1" s="9"/>
      <c r="ERC1" s="9"/>
      <c r="ERD1" s="9"/>
      <c r="ERE1" s="9"/>
      <c r="ERF1" s="9"/>
      <c r="ERG1" s="9"/>
      <c r="ERH1" s="9"/>
      <c r="ERI1" s="9"/>
      <c r="ERJ1" s="9"/>
      <c r="ERK1" s="9"/>
      <c r="ERL1" s="9"/>
      <c r="ERM1" s="9"/>
      <c r="ERN1" s="9"/>
      <c r="ERO1" s="9"/>
      <c r="ERP1" s="9"/>
      <c r="ERQ1" s="9"/>
      <c r="ERR1" s="9"/>
      <c r="ERS1" s="9"/>
      <c r="ERT1" s="9"/>
      <c r="ERU1" s="9"/>
      <c r="ERV1" s="9"/>
      <c r="ERW1" s="9"/>
      <c r="ERX1" s="9"/>
      <c r="ERY1" s="9"/>
      <c r="ERZ1" s="9"/>
      <c r="ESA1" s="9"/>
      <c r="ESB1" s="9"/>
      <c r="ESC1" s="9"/>
      <c r="ESD1" s="9"/>
      <c r="ESE1" s="9"/>
      <c r="ESF1" s="9"/>
      <c r="ESG1" s="9"/>
      <c r="ESH1" s="9"/>
      <c r="ESI1" s="9"/>
      <c r="ESJ1" s="9"/>
      <c r="ESK1" s="9"/>
      <c r="ESL1" s="9"/>
      <c r="ESM1" s="9"/>
      <c r="ESN1" s="9"/>
      <c r="ESO1" s="9"/>
      <c r="ESP1" s="9"/>
      <c r="ESQ1" s="9"/>
      <c r="ESR1" s="9"/>
      <c r="ESS1" s="9"/>
      <c r="EST1" s="9"/>
      <c r="ESU1" s="9"/>
      <c r="ESV1" s="9"/>
      <c r="ESW1" s="9"/>
      <c r="ESX1" s="9"/>
      <c r="ESY1" s="9"/>
      <c r="ESZ1" s="9"/>
      <c r="ETA1" s="9"/>
      <c r="ETB1" s="9"/>
      <c r="ETC1" s="9"/>
      <c r="ETD1" s="9"/>
      <c r="ETE1" s="9"/>
      <c r="ETF1" s="9"/>
      <c r="ETG1" s="9"/>
      <c r="ETH1" s="9"/>
      <c r="ETI1" s="9"/>
      <c r="ETJ1" s="9"/>
      <c r="ETK1" s="9"/>
      <c r="ETL1" s="9"/>
      <c r="ETM1" s="9"/>
      <c r="ETN1" s="9"/>
      <c r="ETO1" s="9"/>
      <c r="ETP1" s="9"/>
      <c r="ETQ1" s="9"/>
      <c r="ETR1" s="9"/>
      <c r="ETS1" s="9"/>
      <c r="ETT1" s="9"/>
      <c r="ETU1" s="9"/>
      <c r="ETV1" s="9"/>
      <c r="ETW1" s="9"/>
      <c r="ETX1" s="9"/>
      <c r="ETY1" s="9"/>
      <c r="ETZ1" s="9"/>
      <c r="EUA1" s="9"/>
      <c r="EUB1" s="9"/>
      <c r="EUC1" s="9"/>
      <c r="EUD1" s="9"/>
      <c r="EUE1" s="9"/>
      <c r="EUF1" s="9"/>
      <c r="EUG1" s="9"/>
      <c r="EUH1" s="9"/>
      <c r="EUI1" s="9"/>
      <c r="EUJ1" s="9"/>
      <c r="EUK1" s="9"/>
      <c r="EUL1" s="9"/>
      <c r="EUM1" s="9"/>
      <c r="EUN1" s="9"/>
      <c r="EUO1" s="9"/>
      <c r="EUP1" s="9"/>
      <c r="EUQ1" s="9"/>
      <c r="EUR1" s="9"/>
      <c r="EUS1" s="9"/>
      <c r="EUT1" s="9"/>
      <c r="EUU1" s="9"/>
      <c r="EUV1" s="9"/>
      <c r="EUW1" s="9"/>
      <c r="EUX1" s="9"/>
      <c r="EUY1" s="9"/>
      <c r="EUZ1" s="9"/>
      <c r="EVA1" s="9"/>
      <c r="EVB1" s="9"/>
      <c r="EVC1" s="9"/>
      <c r="EVD1" s="9"/>
      <c r="EVE1" s="9"/>
      <c r="EVF1" s="9"/>
      <c r="EVG1" s="9"/>
      <c r="EVH1" s="9"/>
      <c r="EVI1" s="9"/>
      <c r="EVJ1" s="9"/>
      <c r="EVK1" s="9"/>
      <c r="EVL1" s="9"/>
      <c r="EVM1" s="9"/>
      <c r="EVN1" s="9"/>
      <c r="EVO1" s="9"/>
      <c r="EVP1" s="9"/>
      <c r="EVQ1" s="9"/>
      <c r="EVR1" s="9"/>
      <c r="EVS1" s="9"/>
      <c r="EVT1" s="9"/>
      <c r="EVU1" s="9"/>
      <c r="EVV1" s="9"/>
      <c r="EVW1" s="9"/>
      <c r="EVX1" s="9"/>
      <c r="EVY1" s="9"/>
      <c r="EVZ1" s="9"/>
      <c r="EWA1" s="9"/>
      <c r="EWB1" s="9"/>
      <c r="EWC1" s="9"/>
      <c r="EWD1" s="9"/>
      <c r="EWE1" s="9"/>
      <c r="EWF1" s="9"/>
      <c r="EWG1" s="9"/>
      <c r="EWH1" s="9"/>
      <c r="EWI1" s="9"/>
      <c r="EWJ1" s="9"/>
      <c r="EWK1" s="9"/>
      <c r="EWL1" s="9"/>
      <c r="EWM1" s="9"/>
      <c r="EWN1" s="9"/>
      <c r="EWO1" s="9"/>
      <c r="EWP1" s="9"/>
      <c r="EWQ1" s="9"/>
      <c r="EWR1" s="9"/>
      <c r="EWS1" s="9"/>
      <c r="EWT1" s="9"/>
      <c r="EWU1" s="9"/>
      <c r="EWV1" s="9"/>
      <c r="EWW1" s="9"/>
      <c r="EWX1" s="9"/>
      <c r="EWY1" s="9"/>
      <c r="EWZ1" s="9"/>
      <c r="EXA1" s="9"/>
      <c r="EXB1" s="9"/>
      <c r="EXC1" s="9"/>
      <c r="EXD1" s="9"/>
      <c r="EXE1" s="9"/>
      <c r="EXF1" s="9"/>
      <c r="EXG1" s="9"/>
      <c r="EXH1" s="9"/>
      <c r="EXI1" s="9"/>
      <c r="EXJ1" s="9"/>
      <c r="EXK1" s="9"/>
      <c r="EXL1" s="9"/>
      <c r="EXM1" s="9"/>
      <c r="EXN1" s="9"/>
      <c r="EXO1" s="9"/>
      <c r="EXP1" s="9"/>
      <c r="EXQ1" s="9"/>
      <c r="EXR1" s="9"/>
      <c r="EXS1" s="9"/>
      <c r="EXT1" s="9"/>
      <c r="EXU1" s="9"/>
      <c r="EXV1" s="9"/>
      <c r="EXW1" s="9"/>
      <c r="EXX1" s="9"/>
      <c r="EXY1" s="9"/>
      <c r="EXZ1" s="9"/>
      <c r="EYA1" s="9"/>
      <c r="EYB1" s="9"/>
      <c r="EYC1" s="9"/>
      <c r="EYD1" s="9"/>
      <c r="EYE1" s="9"/>
      <c r="EYF1" s="9"/>
      <c r="EYG1" s="9"/>
      <c r="EYH1" s="9"/>
      <c r="EYI1" s="9"/>
      <c r="EYJ1" s="9"/>
      <c r="EYK1" s="9"/>
      <c r="EYL1" s="9"/>
      <c r="EYM1" s="9"/>
      <c r="EYN1" s="9"/>
      <c r="EYO1" s="9"/>
      <c r="EYP1" s="9"/>
      <c r="EYQ1" s="9"/>
      <c r="EYR1" s="9"/>
      <c r="EYS1" s="9"/>
      <c r="EYT1" s="9"/>
      <c r="EYU1" s="9"/>
      <c r="EYV1" s="9"/>
      <c r="EYW1" s="9"/>
      <c r="EYX1" s="9"/>
      <c r="EYY1" s="9"/>
      <c r="EYZ1" s="9"/>
      <c r="EZA1" s="9"/>
      <c r="EZB1" s="9"/>
      <c r="EZC1" s="9"/>
      <c r="EZD1" s="9"/>
      <c r="EZE1" s="9"/>
      <c r="EZF1" s="9"/>
      <c r="EZG1" s="9"/>
      <c r="EZH1" s="9"/>
      <c r="EZI1" s="9"/>
      <c r="EZJ1" s="9"/>
      <c r="EZK1" s="9"/>
      <c r="EZL1" s="9"/>
      <c r="EZM1" s="9"/>
      <c r="EZN1" s="9"/>
      <c r="EZO1" s="9"/>
      <c r="EZP1" s="9"/>
      <c r="EZQ1" s="9"/>
      <c r="EZR1" s="9"/>
      <c r="EZS1" s="9"/>
      <c r="EZT1" s="9"/>
      <c r="EZU1" s="9"/>
      <c r="EZV1" s="9"/>
      <c r="EZW1" s="9"/>
      <c r="EZX1" s="9"/>
      <c r="EZY1" s="9"/>
      <c r="EZZ1" s="9"/>
      <c r="FAA1" s="9"/>
      <c r="FAB1" s="9"/>
      <c r="FAC1" s="9"/>
      <c r="FAD1" s="9"/>
      <c r="FAE1" s="9"/>
      <c r="FAF1" s="9"/>
      <c r="FAG1" s="9"/>
      <c r="FAH1" s="9"/>
      <c r="FAI1" s="9"/>
      <c r="FAJ1" s="9"/>
      <c r="FAK1" s="9"/>
      <c r="FAL1" s="9"/>
      <c r="FAM1" s="9"/>
      <c r="FAN1" s="9"/>
      <c r="FAO1" s="9"/>
      <c r="FAP1" s="9"/>
      <c r="FAQ1" s="9"/>
      <c r="FAR1" s="9"/>
      <c r="FAS1" s="9"/>
      <c r="FAT1" s="9"/>
      <c r="FAU1" s="9"/>
      <c r="FAV1" s="9"/>
      <c r="FAW1" s="9"/>
      <c r="FAX1" s="9"/>
      <c r="FAY1" s="9"/>
      <c r="FAZ1" s="9"/>
      <c r="FBA1" s="9"/>
      <c r="FBB1" s="9"/>
      <c r="FBC1" s="9"/>
      <c r="FBD1" s="9"/>
      <c r="FBE1" s="9"/>
      <c r="FBF1" s="9"/>
      <c r="FBG1" s="9"/>
      <c r="FBH1" s="9"/>
      <c r="FBI1" s="9"/>
      <c r="FBJ1" s="9"/>
      <c r="FBK1" s="9"/>
      <c r="FBL1" s="9"/>
      <c r="FBM1" s="9"/>
      <c r="FBN1" s="9"/>
      <c r="FBO1" s="9"/>
      <c r="FBP1" s="9"/>
      <c r="FBQ1" s="9"/>
      <c r="FBR1" s="9"/>
      <c r="FBS1" s="9"/>
      <c r="FBT1" s="9"/>
      <c r="FBU1" s="9"/>
      <c r="FBV1" s="9"/>
      <c r="FBW1" s="9"/>
      <c r="FBX1" s="9"/>
      <c r="FBY1" s="9"/>
      <c r="FBZ1" s="9"/>
      <c r="FCA1" s="9"/>
      <c r="FCB1" s="9"/>
      <c r="FCC1" s="9"/>
      <c r="FCD1" s="9"/>
      <c r="FCE1" s="9"/>
      <c r="FCF1" s="9"/>
      <c r="FCG1" s="9"/>
      <c r="FCH1" s="9"/>
      <c r="FCI1" s="9"/>
      <c r="FCJ1" s="9"/>
      <c r="FCK1" s="9"/>
      <c r="FCL1" s="9"/>
      <c r="FCM1" s="9"/>
      <c r="FCN1" s="9"/>
      <c r="FCO1" s="9"/>
      <c r="FCP1" s="9"/>
      <c r="FCQ1" s="9"/>
      <c r="FCR1" s="9"/>
      <c r="FCS1" s="9"/>
      <c r="FCT1" s="9"/>
      <c r="FCU1" s="9"/>
      <c r="FCV1" s="9"/>
      <c r="FCW1" s="9"/>
      <c r="FCX1" s="9"/>
      <c r="FCY1" s="9"/>
      <c r="FCZ1" s="9"/>
      <c r="FDA1" s="9"/>
      <c r="FDB1" s="9"/>
      <c r="FDC1" s="9"/>
      <c r="FDD1" s="9"/>
      <c r="FDE1" s="9"/>
      <c r="FDF1" s="9"/>
      <c r="FDG1" s="9"/>
      <c r="FDH1" s="9"/>
      <c r="FDI1" s="9"/>
      <c r="FDJ1" s="9"/>
      <c r="FDK1" s="9"/>
      <c r="FDL1" s="9"/>
      <c r="FDM1" s="9"/>
      <c r="FDN1" s="9"/>
      <c r="FDO1" s="9"/>
      <c r="FDP1" s="9"/>
      <c r="FDQ1" s="9"/>
      <c r="FDR1" s="9"/>
      <c r="FDS1" s="9"/>
      <c r="FDT1" s="9"/>
      <c r="FDU1" s="9"/>
      <c r="FDV1" s="9"/>
      <c r="FDW1" s="9"/>
      <c r="FDX1" s="9"/>
      <c r="FDY1" s="9"/>
      <c r="FDZ1" s="9"/>
      <c r="FEA1" s="9"/>
      <c r="FEB1" s="9"/>
      <c r="FEC1" s="9"/>
      <c r="FED1" s="9"/>
      <c r="FEE1" s="9"/>
      <c r="FEF1" s="9"/>
      <c r="FEG1" s="9"/>
      <c r="FEH1" s="9"/>
      <c r="FEI1" s="9"/>
      <c r="FEJ1" s="9"/>
      <c r="FEK1" s="9"/>
      <c r="FEL1" s="9"/>
      <c r="FEM1" s="9"/>
      <c r="FEN1" s="9"/>
      <c r="FEO1" s="9"/>
      <c r="FEP1" s="9"/>
      <c r="FEQ1" s="9"/>
      <c r="FER1" s="9"/>
      <c r="FES1" s="9"/>
      <c r="FET1" s="9"/>
      <c r="FEU1" s="9"/>
      <c r="FEV1" s="9"/>
      <c r="FEW1" s="9"/>
      <c r="FEX1" s="9"/>
      <c r="FEY1" s="9"/>
      <c r="FEZ1" s="9"/>
      <c r="FFA1" s="9"/>
      <c r="FFB1" s="9"/>
      <c r="FFC1" s="9"/>
      <c r="FFD1" s="9"/>
      <c r="FFE1" s="9"/>
      <c r="FFF1" s="9"/>
      <c r="FFG1" s="9"/>
      <c r="FFH1" s="9"/>
      <c r="FFI1" s="9"/>
      <c r="FFJ1" s="9"/>
      <c r="FFK1" s="9"/>
      <c r="FFL1" s="9"/>
      <c r="FFM1" s="9"/>
      <c r="FFN1" s="9"/>
      <c r="FFO1" s="9"/>
      <c r="FFP1" s="9"/>
      <c r="FFQ1" s="9"/>
      <c r="FFR1" s="9"/>
      <c r="FFS1" s="9"/>
      <c r="FFT1" s="9"/>
      <c r="FFU1" s="9"/>
      <c r="FFV1" s="9"/>
      <c r="FFW1" s="9"/>
      <c r="FFX1" s="9"/>
      <c r="FFY1" s="9"/>
      <c r="FFZ1" s="9"/>
      <c r="FGA1" s="9"/>
      <c r="FGB1" s="9"/>
      <c r="FGC1" s="9"/>
      <c r="FGD1" s="9"/>
      <c r="FGE1" s="9"/>
      <c r="FGF1" s="9"/>
      <c r="FGG1" s="9"/>
      <c r="FGH1" s="9"/>
      <c r="FGI1" s="9"/>
      <c r="FGJ1" s="9"/>
      <c r="FGK1" s="9"/>
      <c r="FGL1" s="9"/>
      <c r="FGM1" s="9"/>
      <c r="FGN1" s="9"/>
      <c r="FGO1" s="9"/>
      <c r="FGP1" s="9"/>
      <c r="FGQ1" s="9"/>
      <c r="FGR1" s="9"/>
      <c r="FGS1" s="9"/>
      <c r="FGT1" s="9"/>
      <c r="FGU1" s="9"/>
      <c r="FGV1" s="9"/>
      <c r="FGW1" s="9"/>
      <c r="FGX1" s="9"/>
      <c r="FGY1" s="9"/>
      <c r="FGZ1" s="9"/>
      <c r="FHA1" s="9"/>
      <c r="FHB1" s="9"/>
      <c r="FHC1" s="9"/>
      <c r="FHD1" s="9"/>
      <c r="FHE1" s="9"/>
      <c r="FHF1" s="9"/>
      <c r="FHG1" s="9"/>
      <c r="FHH1" s="9"/>
      <c r="FHI1" s="9"/>
      <c r="FHJ1" s="9"/>
      <c r="FHK1" s="9"/>
      <c r="FHL1" s="9"/>
      <c r="FHM1" s="9"/>
      <c r="FHN1" s="9"/>
      <c r="FHO1" s="9"/>
      <c r="FHP1" s="9"/>
      <c r="FHQ1" s="9"/>
      <c r="FHR1" s="9"/>
      <c r="FHS1" s="9"/>
      <c r="FHT1" s="9"/>
      <c r="FHU1" s="9"/>
      <c r="FHV1" s="9"/>
      <c r="FHW1" s="9"/>
      <c r="FHX1" s="9"/>
      <c r="FHY1" s="9"/>
      <c r="FHZ1" s="9"/>
      <c r="FIA1" s="9"/>
      <c r="FIB1" s="9"/>
      <c r="FIC1" s="9"/>
      <c r="FID1" s="9"/>
      <c r="FIE1" s="9"/>
      <c r="FIF1" s="9"/>
      <c r="FIG1" s="9"/>
      <c r="FIH1" s="9"/>
      <c r="FII1" s="9"/>
      <c r="FIJ1" s="9"/>
      <c r="FIK1" s="9"/>
      <c r="FIL1" s="9"/>
      <c r="FIM1" s="9"/>
      <c r="FIN1" s="9"/>
      <c r="FIO1" s="9"/>
      <c r="FIP1" s="9"/>
      <c r="FIQ1" s="9"/>
      <c r="FIR1" s="9"/>
      <c r="FIS1" s="9"/>
      <c r="FIT1" s="9"/>
      <c r="FIU1" s="9"/>
      <c r="FIV1" s="9"/>
      <c r="FIW1" s="9"/>
      <c r="FIX1" s="9"/>
      <c r="FIY1" s="9"/>
      <c r="FIZ1" s="9"/>
      <c r="FJA1" s="9"/>
      <c r="FJB1" s="9"/>
      <c r="FJC1" s="9"/>
      <c r="FJD1" s="9"/>
      <c r="FJE1" s="9"/>
      <c r="FJF1" s="9"/>
      <c r="FJG1" s="9"/>
      <c r="FJH1" s="9"/>
      <c r="FJI1" s="9"/>
      <c r="FJJ1" s="9"/>
      <c r="FJK1" s="9"/>
      <c r="FJL1" s="9"/>
      <c r="FJM1" s="9"/>
      <c r="FJN1" s="9"/>
      <c r="FJO1" s="9"/>
      <c r="FJP1" s="9"/>
      <c r="FJQ1" s="9"/>
      <c r="FJR1" s="9"/>
      <c r="FJS1" s="9"/>
      <c r="FJT1" s="9"/>
      <c r="FJU1" s="9"/>
      <c r="FJV1" s="9"/>
      <c r="FJW1" s="9"/>
      <c r="FJX1" s="9"/>
      <c r="FJY1" s="9"/>
      <c r="FJZ1" s="9"/>
      <c r="FKA1" s="9"/>
      <c r="FKB1" s="9"/>
      <c r="FKC1" s="9"/>
      <c r="FKD1" s="9"/>
      <c r="FKE1" s="9"/>
      <c r="FKF1" s="9"/>
      <c r="FKG1" s="9"/>
      <c r="FKH1" s="9"/>
      <c r="FKI1" s="9"/>
      <c r="FKJ1" s="9"/>
      <c r="FKK1" s="9"/>
      <c r="FKL1" s="9"/>
      <c r="FKM1" s="9"/>
      <c r="FKN1" s="9"/>
      <c r="FKO1" s="9"/>
      <c r="FKP1" s="9"/>
      <c r="FKQ1" s="9"/>
      <c r="FKR1" s="9"/>
      <c r="FKS1" s="9"/>
      <c r="FKT1" s="9"/>
      <c r="FKU1" s="9"/>
      <c r="FKV1" s="9"/>
      <c r="FKW1" s="9"/>
      <c r="FKX1" s="9"/>
      <c r="FKY1" s="9"/>
      <c r="FKZ1" s="9"/>
      <c r="FLA1" s="9"/>
      <c r="FLB1" s="9"/>
      <c r="FLC1" s="9"/>
      <c r="FLD1" s="9"/>
      <c r="FLE1" s="9"/>
      <c r="FLF1" s="9"/>
      <c r="FLG1" s="9"/>
      <c r="FLH1" s="9"/>
      <c r="FLI1" s="9"/>
      <c r="FLJ1" s="9"/>
      <c r="FLK1" s="9"/>
      <c r="FLL1" s="9"/>
      <c r="FLM1" s="9"/>
      <c r="FLN1" s="9"/>
      <c r="FLO1" s="9"/>
      <c r="FLP1" s="9"/>
      <c r="FLQ1" s="9"/>
      <c r="FLR1" s="9"/>
      <c r="FLS1" s="9"/>
      <c r="FLT1" s="9"/>
      <c r="FLU1" s="9"/>
      <c r="FLV1" s="9"/>
      <c r="FLW1" s="9"/>
      <c r="FLX1" s="9"/>
      <c r="FLY1" s="9"/>
      <c r="FLZ1" s="9"/>
      <c r="FMA1" s="9"/>
      <c r="FMB1" s="9"/>
      <c r="FMC1" s="9"/>
      <c r="FMD1" s="9"/>
      <c r="FME1" s="9"/>
      <c r="FMF1" s="9"/>
      <c r="FMG1" s="9"/>
      <c r="FMH1" s="9"/>
      <c r="FMI1" s="9"/>
      <c r="FMJ1" s="9"/>
      <c r="FMK1" s="9"/>
      <c r="FML1" s="9"/>
      <c r="FMM1" s="9"/>
      <c r="FMN1" s="9"/>
      <c r="FMO1" s="9"/>
      <c r="FMP1" s="9"/>
      <c r="FMQ1" s="9"/>
      <c r="FMR1" s="9"/>
      <c r="FMS1" s="9"/>
      <c r="FMT1" s="9"/>
      <c r="FMU1" s="9"/>
      <c r="FMV1" s="9"/>
      <c r="FMW1" s="9"/>
      <c r="FMX1" s="9"/>
      <c r="FMY1" s="9"/>
      <c r="FMZ1" s="9"/>
      <c r="FNA1" s="9"/>
      <c r="FNB1" s="9"/>
      <c r="FNC1" s="9"/>
      <c r="FND1" s="9"/>
      <c r="FNE1" s="9"/>
      <c r="FNF1" s="9"/>
      <c r="FNG1" s="9"/>
      <c r="FNH1" s="9"/>
      <c r="FNI1" s="9"/>
      <c r="FNJ1" s="9"/>
      <c r="FNK1" s="9"/>
      <c r="FNL1" s="9"/>
      <c r="FNM1" s="9"/>
      <c r="FNN1" s="9"/>
      <c r="FNO1" s="9"/>
      <c r="FNP1" s="9"/>
      <c r="FNQ1" s="9"/>
      <c r="FNR1" s="9"/>
      <c r="FNS1" s="9"/>
      <c r="FNT1" s="9"/>
      <c r="FNU1" s="9"/>
      <c r="FNV1" s="9"/>
      <c r="FNW1" s="9"/>
      <c r="FNX1" s="9"/>
      <c r="FNY1" s="9"/>
      <c r="FNZ1" s="9"/>
      <c r="FOA1" s="9"/>
      <c r="FOB1" s="9"/>
      <c r="FOC1" s="9"/>
      <c r="FOD1" s="9"/>
      <c r="FOE1" s="9"/>
      <c r="FOF1" s="9"/>
      <c r="FOG1" s="9"/>
      <c r="FOH1" s="9"/>
      <c r="FOI1" s="9"/>
      <c r="FOJ1" s="9"/>
      <c r="FOK1" s="9"/>
      <c r="FOL1" s="9"/>
      <c r="FOM1" s="9"/>
      <c r="FON1" s="9"/>
      <c r="FOO1" s="9"/>
      <c r="FOP1" s="9"/>
      <c r="FOQ1" s="9"/>
      <c r="FOR1" s="9"/>
      <c r="FOS1" s="9"/>
      <c r="FOT1" s="9"/>
      <c r="FOU1" s="9"/>
      <c r="FOV1" s="9"/>
      <c r="FOW1" s="9"/>
      <c r="FOX1" s="9"/>
      <c r="FOY1" s="9"/>
      <c r="FOZ1" s="9"/>
      <c r="FPA1" s="9"/>
      <c r="FPB1" s="9"/>
      <c r="FPC1" s="9"/>
      <c r="FPD1" s="9"/>
      <c r="FPE1" s="9"/>
      <c r="FPF1" s="9"/>
      <c r="FPG1" s="9"/>
      <c r="FPH1" s="9"/>
      <c r="FPI1" s="9"/>
      <c r="FPJ1" s="9"/>
      <c r="FPK1" s="9"/>
      <c r="FPL1" s="9"/>
      <c r="FPM1" s="9"/>
      <c r="FPN1" s="9"/>
      <c r="FPO1" s="9"/>
      <c r="FPP1" s="9"/>
      <c r="FPQ1" s="9"/>
      <c r="FPR1" s="9"/>
      <c r="FPS1" s="9"/>
      <c r="FPT1" s="9"/>
      <c r="FPU1" s="9"/>
      <c r="FPV1" s="9"/>
      <c r="FPW1" s="9"/>
      <c r="FPX1" s="9"/>
      <c r="FPY1" s="9"/>
      <c r="FPZ1" s="9"/>
      <c r="FQA1" s="9"/>
      <c r="FQB1" s="9"/>
      <c r="FQC1" s="9"/>
      <c r="FQD1" s="9"/>
      <c r="FQE1" s="9"/>
      <c r="FQF1" s="9"/>
      <c r="FQG1" s="9"/>
      <c r="FQH1" s="9"/>
      <c r="FQI1" s="9"/>
      <c r="FQJ1" s="9"/>
      <c r="FQK1" s="9"/>
      <c r="FQL1" s="9"/>
      <c r="FQM1" s="9"/>
      <c r="FQN1" s="9"/>
      <c r="FQO1" s="9"/>
      <c r="FQP1" s="9"/>
      <c r="FQQ1" s="9"/>
      <c r="FQR1" s="9"/>
      <c r="FQS1" s="9"/>
      <c r="FQT1" s="9"/>
      <c r="FQU1" s="9"/>
      <c r="FQV1" s="9"/>
      <c r="FQW1" s="9"/>
      <c r="FQX1" s="9"/>
      <c r="FQY1" s="9"/>
      <c r="FQZ1" s="9"/>
      <c r="FRA1" s="9"/>
      <c r="FRB1" s="9"/>
      <c r="FRC1" s="9"/>
      <c r="FRD1" s="9"/>
      <c r="FRE1" s="9"/>
      <c r="FRF1" s="9"/>
      <c r="FRG1" s="9"/>
      <c r="FRH1" s="9"/>
      <c r="FRI1" s="9"/>
      <c r="FRJ1" s="9"/>
      <c r="FRK1" s="9"/>
      <c r="FRL1" s="9"/>
      <c r="FRM1" s="9"/>
      <c r="FRN1" s="9"/>
      <c r="FRO1" s="9"/>
      <c r="FRP1" s="9"/>
      <c r="FRQ1" s="9"/>
      <c r="FRR1" s="9"/>
      <c r="FRS1" s="9"/>
      <c r="FRT1" s="9"/>
      <c r="FRU1" s="9"/>
      <c r="FRV1" s="9"/>
      <c r="FRW1" s="9"/>
      <c r="FRX1" s="9"/>
      <c r="FRY1" s="9"/>
      <c r="FRZ1" s="9"/>
      <c r="FSA1" s="9"/>
      <c r="FSB1" s="9"/>
      <c r="FSC1" s="9"/>
      <c r="FSD1" s="9"/>
      <c r="FSE1" s="9"/>
      <c r="FSF1" s="9"/>
      <c r="FSG1" s="9"/>
      <c r="FSH1" s="9"/>
      <c r="FSI1" s="9"/>
      <c r="FSJ1" s="9"/>
      <c r="FSK1" s="9"/>
      <c r="FSL1" s="9"/>
      <c r="FSM1" s="9"/>
      <c r="FSN1" s="9"/>
      <c r="FSO1" s="9"/>
      <c r="FSP1" s="9"/>
      <c r="FSQ1" s="9"/>
      <c r="FSR1" s="9"/>
      <c r="FSS1" s="9"/>
      <c r="FST1" s="9"/>
      <c r="FSU1" s="9"/>
      <c r="FSV1" s="9"/>
      <c r="FSW1" s="9"/>
      <c r="FSX1" s="9"/>
      <c r="FSY1" s="9"/>
      <c r="FSZ1" s="9"/>
      <c r="FTA1" s="9"/>
      <c r="FTB1" s="9"/>
      <c r="FTC1" s="9"/>
      <c r="FTD1" s="9"/>
      <c r="FTE1" s="9"/>
      <c r="FTF1" s="9"/>
      <c r="FTG1" s="9"/>
      <c r="FTH1" s="9"/>
      <c r="FTI1" s="9"/>
      <c r="FTJ1" s="9"/>
      <c r="FTK1" s="9"/>
      <c r="FTL1" s="9"/>
      <c r="FTM1" s="9"/>
      <c r="FTN1" s="9"/>
      <c r="FTO1" s="9"/>
      <c r="FTP1" s="9"/>
      <c r="FTQ1" s="9"/>
      <c r="FTR1" s="9"/>
      <c r="FTS1" s="9"/>
      <c r="FTT1" s="9"/>
      <c r="FTU1" s="9"/>
      <c r="FTV1" s="9"/>
      <c r="FTW1" s="9"/>
      <c r="FTX1" s="9"/>
      <c r="FTY1" s="9"/>
      <c r="FTZ1" s="9"/>
      <c r="FUA1" s="9"/>
      <c r="FUB1" s="9"/>
      <c r="FUC1" s="9"/>
      <c r="FUD1" s="9"/>
      <c r="FUE1" s="9"/>
      <c r="FUF1" s="9"/>
      <c r="FUG1" s="9"/>
      <c r="FUH1" s="9"/>
      <c r="FUI1" s="9"/>
      <c r="FUJ1" s="9"/>
      <c r="FUK1" s="9"/>
      <c r="FUL1" s="9"/>
      <c r="FUM1" s="9"/>
      <c r="FUN1" s="9"/>
      <c r="FUO1" s="9"/>
      <c r="FUP1" s="9"/>
      <c r="FUQ1" s="9"/>
      <c r="FUR1" s="9"/>
      <c r="FUS1" s="9"/>
      <c r="FUT1" s="9"/>
      <c r="FUU1" s="9"/>
      <c r="FUV1" s="9"/>
      <c r="FUW1" s="9"/>
      <c r="FUX1" s="9"/>
      <c r="FUY1" s="9"/>
      <c r="FUZ1" s="9"/>
      <c r="FVA1" s="9"/>
      <c r="FVB1" s="9"/>
      <c r="FVC1" s="9"/>
      <c r="FVD1" s="9"/>
      <c r="FVE1" s="9"/>
      <c r="FVF1" s="9"/>
      <c r="FVG1" s="9"/>
      <c r="FVH1" s="9"/>
      <c r="FVI1" s="9"/>
      <c r="FVJ1" s="9"/>
      <c r="FVK1" s="9"/>
      <c r="FVL1" s="9"/>
      <c r="FVM1" s="9"/>
      <c r="FVN1" s="9"/>
      <c r="FVO1" s="9"/>
      <c r="FVP1" s="9"/>
      <c r="FVQ1" s="9"/>
      <c r="FVR1" s="9"/>
      <c r="FVS1" s="9"/>
      <c r="FVT1" s="9"/>
      <c r="FVU1" s="9"/>
      <c r="FVV1" s="9"/>
      <c r="FVW1" s="9"/>
      <c r="FVX1" s="9"/>
      <c r="FVY1" s="9"/>
      <c r="FVZ1" s="9"/>
      <c r="FWA1" s="9"/>
      <c r="FWB1" s="9"/>
      <c r="FWC1" s="9"/>
      <c r="FWD1" s="9"/>
      <c r="FWE1" s="9"/>
      <c r="FWF1" s="9"/>
      <c r="FWG1" s="9"/>
      <c r="FWH1" s="9"/>
      <c r="FWI1" s="9"/>
      <c r="FWJ1" s="9"/>
      <c r="FWK1" s="9"/>
      <c r="FWL1" s="9"/>
      <c r="FWM1" s="9"/>
      <c r="FWN1" s="9"/>
      <c r="FWO1" s="9"/>
      <c r="FWP1" s="9"/>
      <c r="FWQ1" s="9"/>
      <c r="FWR1" s="9"/>
      <c r="FWS1" s="9"/>
      <c r="FWT1" s="9"/>
      <c r="FWU1" s="9"/>
      <c r="FWV1" s="9"/>
      <c r="FWW1" s="9"/>
      <c r="FWX1" s="9"/>
      <c r="FWY1" s="9"/>
      <c r="FWZ1" s="9"/>
      <c r="FXA1" s="9"/>
      <c r="FXB1" s="9"/>
      <c r="FXC1" s="9"/>
      <c r="FXD1" s="9"/>
      <c r="FXE1" s="9"/>
      <c r="FXF1" s="9"/>
      <c r="FXG1" s="9"/>
      <c r="FXH1" s="9"/>
      <c r="FXI1" s="9"/>
      <c r="FXJ1" s="9"/>
      <c r="FXK1" s="9"/>
      <c r="FXL1" s="9"/>
      <c r="FXM1" s="9"/>
      <c r="FXN1" s="9"/>
      <c r="FXO1" s="9"/>
      <c r="FXP1" s="9"/>
      <c r="FXQ1" s="9"/>
      <c r="FXR1" s="9"/>
      <c r="FXS1" s="9"/>
      <c r="FXT1" s="9"/>
      <c r="FXU1" s="9"/>
      <c r="FXV1" s="9"/>
      <c r="FXW1" s="9"/>
      <c r="FXX1" s="9"/>
      <c r="FXY1" s="9"/>
      <c r="FXZ1" s="9"/>
      <c r="FYA1" s="9"/>
      <c r="FYB1" s="9"/>
      <c r="FYC1" s="9"/>
      <c r="FYD1" s="9"/>
      <c r="FYE1" s="9"/>
      <c r="FYF1" s="9"/>
      <c r="FYG1" s="9"/>
      <c r="FYH1" s="9"/>
      <c r="FYI1" s="9"/>
      <c r="FYJ1" s="9"/>
      <c r="FYK1" s="9"/>
      <c r="FYL1" s="9"/>
      <c r="FYM1" s="9"/>
      <c r="FYN1" s="9"/>
      <c r="FYO1" s="9"/>
      <c r="FYP1" s="9"/>
      <c r="FYQ1" s="9"/>
      <c r="FYR1" s="9"/>
      <c r="FYS1" s="9"/>
      <c r="FYT1" s="9"/>
      <c r="FYU1" s="9"/>
      <c r="FYV1" s="9"/>
      <c r="FYW1" s="9"/>
      <c r="FYX1" s="9"/>
      <c r="FYY1" s="9"/>
      <c r="FYZ1" s="9"/>
      <c r="FZA1" s="9"/>
      <c r="FZB1" s="9"/>
      <c r="FZC1" s="9"/>
      <c r="FZD1" s="9"/>
      <c r="FZE1" s="9"/>
      <c r="FZF1" s="9"/>
      <c r="FZG1" s="9"/>
      <c r="FZH1" s="9"/>
      <c r="FZI1" s="9"/>
      <c r="FZJ1" s="9"/>
      <c r="FZK1" s="9"/>
      <c r="FZL1" s="9"/>
      <c r="FZM1" s="9"/>
      <c r="FZN1" s="9"/>
      <c r="FZO1" s="9"/>
      <c r="FZP1" s="9"/>
      <c r="FZQ1" s="9"/>
      <c r="FZR1" s="9"/>
      <c r="FZS1" s="9"/>
      <c r="FZT1" s="9"/>
      <c r="FZU1" s="9"/>
      <c r="FZV1" s="9"/>
      <c r="FZW1" s="9"/>
      <c r="FZX1" s="9"/>
      <c r="FZY1" s="9"/>
      <c r="FZZ1" s="9"/>
      <c r="GAA1" s="9"/>
      <c r="GAB1" s="9"/>
      <c r="GAC1" s="9"/>
      <c r="GAD1" s="9"/>
      <c r="GAE1" s="9"/>
      <c r="GAF1" s="9"/>
      <c r="GAG1" s="9"/>
      <c r="GAH1" s="9"/>
      <c r="GAI1" s="9"/>
      <c r="GAJ1" s="9"/>
      <c r="GAK1" s="9"/>
      <c r="GAL1" s="9"/>
      <c r="GAM1" s="9"/>
      <c r="GAN1" s="9"/>
      <c r="GAO1" s="9"/>
      <c r="GAP1" s="9"/>
      <c r="GAQ1" s="9"/>
      <c r="GAR1" s="9"/>
      <c r="GAS1" s="9"/>
      <c r="GAT1" s="9"/>
      <c r="GAU1" s="9"/>
      <c r="GAV1" s="9"/>
      <c r="GAW1" s="9"/>
      <c r="GAX1" s="9"/>
      <c r="GAY1" s="9"/>
      <c r="GAZ1" s="9"/>
      <c r="GBA1" s="9"/>
      <c r="GBB1" s="9"/>
      <c r="GBC1" s="9"/>
      <c r="GBD1" s="9"/>
      <c r="GBE1" s="9"/>
      <c r="GBF1" s="9"/>
      <c r="GBG1" s="9"/>
      <c r="GBH1" s="9"/>
      <c r="GBI1" s="9"/>
      <c r="GBJ1" s="9"/>
      <c r="GBK1" s="9"/>
      <c r="GBL1" s="9"/>
      <c r="GBM1" s="9"/>
      <c r="GBN1" s="9"/>
      <c r="GBO1" s="9"/>
      <c r="GBP1" s="9"/>
      <c r="GBQ1" s="9"/>
      <c r="GBR1" s="9"/>
      <c r="GBS1" s="9"/>
      <c r="GBT1" s="9"/>
      <c r="GBU1" s="9"/>
      <c r="GBV1" s="9"/>
      <c r="GBW1" s="9"/>
      <c r="GBX1" s="9"/>
      <c r="GBY1" s="9"/>
      <c r="GBZ1" s="9"/>
      <c r="GCA1" s="9"/>
      <c r="GCB1" s="9"/>
      <c r="GCC1" s="9"/>
      <c r="GCD1" s="9"/>
      <c r="GCE1" s="9"/>
      <c r="GCF1" s="9"/>
      <c r="GCG1" s="9"/>
      <c r="GCH1" s="9"/>
      <c r="GCI1" s="9"/>
      <c r="GCJ1" s="9"/>
      <c r="GCK1" s="9"/>
      <c r="GCL1" s="9"/>
      <c r="GCM1" s="9"/>
      <c r="GCN1" s="9"/>
      <c r="GCO1" s="9"/>
      <c r="GCP1" s="9"/>
      <c r="GCQ1" s="9"/>
      <c r="GCR1" s="9"/>
      <c r="GCS1" s="9"/>
      <c r="GCT1" s="9"/>
      <c r="GCU1" s="9"/>
      <c r="GCV1" s="9"/>
      <c r="GCW1" s="9"/>
      <c r="GCX1" s="9"/>
      <c r="GCY1" s="9"/>
      <c r="GCZ1" s="9"/>
      <c r="GDA1" s="9"/>
      <c r="GDB1" s="9"/>
      <c r="GDC1" s="9"/>
      <c r="GDD1" s="9"/>
      <c r="GDE1" s="9"/>
      <c r="GDF1" s="9"/>
      <c r="GDG1" s="9"/>
      <c r="GDH1" s="9"/>
      <c r="GDI1" s="9"/>
      <c r="GDJ1" s="9"/>
      <c r="GDK1" s="9"/>
      <c r="GDL1" s="9"/>
      <c r="GDM1" s="9"/>
      <c r="GDN1" s="9"/>
      <c r="GDO1" s="9"/>
      <c r="GDP1" s="9"/>
      <c r="GDQ1" s="9"/>
      <c r="GDR1" s="9"/>
      <c r="GDS1" s="9"/>
      <c r="GDT1" s="9"/>
      <c r="GDU1" s="9"/>
      <c r="GDV1" s="9"/>
      <c r="GDW1" s="9"/>
      <c r="GDX1" s="9"/>
      <c r="GDY1" s="9"/>
      <c r="GDZ1" s="9"/>
      <c r="GEA1" s="9"/>
      <c r="GEB1" s="9"/>
      <c r="GEC1" s="9"/>
      <c r="GED1" s="9"/>
      <c r="GEE1" s="9"/>
      <c r="GEF1" s="9"/>
      <c r="GEG1" s="9"/>
      <c r="GEH1" s="9"/>
      <c r="GEI1" s="9"/>
      <c r="GEJ1" s="9"/>
      <c r="GEK1" s="9"/>
      <c r="GEL1" s="9"/>
      <c r="GEM1" s="9"/>
      <c r="GEN1" s="9"/>
      <c r="GEO1" s="9"/>
      <c r="GEP1" s="9"/>
      <c r="GEQ1" s="9"/>
      <c r="GER1" s="9"/>
      <c r="GES1" s="9"/>
      <c r="GET1" s="9"/>
      <c r="GEU1" s="9"/>
      <c r="GEV1" s="9"/>
      <c r="GEW1" s="9"/>
      <c r="GEX1" s="9"/>
      <c r="GEY1" s="9"/>
      <c r="GEZ1" s="9"/>
      <c r="GFA1" s="9"/>
      <c r="GFB1" s="9"/>
      <c r="GFC1" s="9"/>
      <c r="GFD1" s="9"/>
      <c r="GFE1" s="9"/>
      <c r="GFF1" s="9"/>
      <c r="GFG1" s="9"/>
      <c r="GFH1" s="9"/>
      <c r="GFI1" s="9"/>
      <c r="GFJ1" s="9"/>
      <c r="GFK1" s="9"/>
      <c r="GFL1" s="9"/>
      <c r="GFM1" s="9"/>
      <c r="GFN1" s="9"/>
      <c r="GFO1" s="9"/>
      <c r="GFP1" s="9"/>
      <c r="GFQ1" s="9"/>
      <c r="GFR1" s="9"/>
      <c r="GFS1" s="9"/>
      <c r="GFT1" s="9"/>
      <c r="GFU1" s="9"/>
      <c r="GFV1" s="9"/>
      <c r="GFW1" s="9"/>
      <c r="GFX1" s="9"/>
      <c r="GFY1" s="9"/>
      <c r="GFZ1" s="9"/>
      <c r="GGA1" s="9"/>
      <c r="GGB1" s="9"/>
      <c r="GGC1" s="9"/>
      <c r="GGD1" s="9"/>
      <c r="GGE1" s="9"/>
      <c r="GGF1" s="9"/>
      <c r="GGG1" s="9"/>
      <c r="GGH1" s="9"/>
      <c r="GGI1" s="9"/>
      <c r="GGJ1" s="9"/>
      <c r="GGK1" s="9"/>
      <c r="GGL1" s="9"/>
      <c r="GGM1" s="9"/>
      <c r="GGN1" s="9"/>
      <c r="GGO1" s="9"/>
      <c r="GGP1" s="9"/>
      <c r="GGQ1" s="9"/>
      <c r="GGR1" s="9"/>
      <c r="GGS1" s="9"/>
      <c r="GGT1" s="9"/>
      <c r="GGU1" s="9"/>
      <c r="GGV1" s="9"/>
      <c r="GGW1" s="9"/>
      <c r="GGX1" s="9"/>
      <c r="GGY1" s="9"/>
      <c r="GGZ1" s="9"/>
      <c r="GHA1" s="9"/>
      <c r="GHB1" s="9"/>
      <c r="GHC1" s="9"/>
      <c r="GHD1" s="9"/>
      <c r="GHE1" s="9"/>
      <c r="GHF1" s="9"/>
      <c r="GHG1" s="9"/>
      <c r="GHH1" s="9"/>
      <c r="GHI1" s="9"/>
      <c r="GHJ1" s="9"/>
      <c r="GHK1" s="9"/>
      <c r="GHL1" s="9"/>
      <c r="GHM1" s="9"/>
      <c r="GHN1" s="9"/>
      <c r="GHO1" s="9"/>
      <c r="GHP1" s="9"/>
      <c r="GHQ1" s="9"/>
      <c r="GHR1" s="9"/>
      <c r="GHS1" s="9"/>
      <c r="GHT1" s="9"/>
      <c r="GHU1" s="9"/>
      <c r="GHV1" s="9"/>
      <c r="GHW1" s="9"/>
      <c r="GHX1" s="9"/>
      <c r="GHY1" s="9"/>
      <c r="GHZ1" s="9"/>
      <c r="GIA1" s="9"/>
      <c r="GIB1" s="9"/>
      <c r="GIC1" s="9"/>
      <c r="GID1" s="9"/>
      <c r="GIE1" s="9"/>
      <c r="GIF1" s="9"/>
      <c r="GIG1" s="9"/>
      <c r="GIH1" s="9"/>
      <c r="GII1" s="9"/>
      <c r="GIJ1" s="9"/>
      <c r="GIK1" s="9"/>
      <c r="GIL1" s="9"/>
      <c r="GIM1" s="9"/>
      <c r="GIN1" s="9"/>
      <c r="GIO1" s="9"/>
      <c r="GIP1" s="9"/>
      <c r="GIQ1" s="9"/>
      <c r="GIR1" s="9"/>
      <c r="GIS1" s="9"/>
      <c r="GIT1" s="9"/>
      <c r="GIU1" s="9"/>
      <c r="GIV1" s="9"/>
      <c r="GIW1" s="9"/>
      <c r="GIX1" s="9"/>
      <c r="GIY1" s="9"/>
      <c r="GIZ1" s="9"/>
      <c r="GJA1" s="9"/>
      <c r="GJB1" s="9"/>
      <c r="GJC1" s="9"/>
      <c r="GJD1" s="9"/>
      <c r="GJE1" s="9"/>
      <c r="GJF1" s="9"/>
      <c r="GJG1" s="9"/>
      <c r="GJH1" s="9"/>
      <c r="GJI1" s="9"/>
      <c r="GJJ1" s="9"/>
      <c r="GJK1" s="9"/>
      <c r="GJL1" s="9"/>
      <c r="GJM1" s="9"/>
      <c r="GJN1" s="9"/>
      <c r="GJO1" s="9"/>
      <c r="GJP1" s="9"/>
      <c r="GJQ1" s="9"/>
      <c r="GJR1" s="9"/>
      <c r="GJS1" s="9"/>
      <c r="GJT1" s="9"/>
      <c r="GJU1" s="9"/>
      <c r="GJV1" s="9"/>
      <c r="GJW1" s="9"/>
      <c r="GJX1" s="9"/>
      <c r="GJY1" s="9"/>
      <c r="GJZ1" s="9"/>
      <c r="GKA1" s="9"/>
      <c r="GKB1" s="9"/>
      <c r="GKC1" s="9"/>
      <c r="GKD1" s="9"/>
      <c r="GKE1" s="9"/>
      <c r="GKF1" s="9"/>
      <c r="GKG1" s="9"/>
      <c r="GKH1" s="9"/>
      <c r="GKI1" s="9"/>
      <c r="GKJ1" s="9"/>
      <c r="GKK1" s="9"/>
      <c r="GKL1" s="9"/>
      <c r="GKM1" s="9"/>
      <c r="GKN1" s="9"/>
      <c r="GKO1" s="9"/>
      <c r="GKP1" s="9"/>
      <c r="GKQ1" s="9"/>
      <c r="GKR1" s="9"/>
      <c r="GKS1" s="9"/>
      <c r="GKT1" s="9"/>
      <c r="GKU1" s="9"/>
      <c r="GKV1" s="9"/>
      <c r="GKW1" s="9"/>
      <c r="GKX1" s="9"/>
      <c r="GKY1" s="9"/>
      <c r="GKZ1" s="9"/>
      <c r="GLA1" s="9"/>
      <c r="GLB1" s="9"/>
      <c r="GLC1" s="9"/>
      <c r="GLD1" s="9"/>
      <c r="GLE1" s="9"/>
      <c r="GLF1" s="9"/>
      <c r="GLG1" s="9"/>
      <c r="GLH1" s="9"/>
      <c r="GLI1" s="9"/>
      <c r="GLJ1" s="9"/>
      <c r="GLK1" s="9"/>
      <c r="GLL1" s="9"/>
      <c r="GLM1" s="9"/>
      <c r="GLN1" s="9"/>
      <c r="GLO1" s="9"/>
      <c r="GLP1" s="9"/>
      <c r="GLQ1" s="9"/>
      <c r="GLR1" s="9"/>
      <c r="GLS1" s="9"/>
      <c r="GLT1" s="9"/>
      <c r="GLU1" s="9"/>
      <c r="GLV1" s="9"/>
      <c r="GLW1" s="9"/>
      <c r="GLX1" s="9"/>
      <c r="GLY1" s="9"/>
      <c r="GLZ1" s="9"/>
      <c r="GMA1" s="9"/>
      <c r="GMB1" s="9"/>
      <c r="GMC1" s="9"/>
      <c r="GMD1" s="9"/>
      <c r="GME1" s="9"/>
      <c r="GMF1" s="9"/>
      <c r="GMG1" s="9"/>
      <c r="GMH1" s="9"/>
      <c r="GMI1" s="9"/>
      <c r="GMJ1" s="9"/>
      <c r="GMK1" s="9"/>
      <c r="GML1" s="9"/>
      <c r="GMM1" s="9"/>
      <c r="GMN1" s="9"/>
      <c r="GMO1" s="9"/>
      <c r="GMP1" s="9"/>
      <c r="GMQ1" s="9"/>
      <c r="GMR1" s="9"/>
      <c r="GMS1" s="9"/>
      <c r="GMT1" s="9"/>
      <c r="GMU1" s="9"/>
      <c r="GMV1" s="9"/>
      <c r="GMW1" s="9"/>
      <c r="GMX1" s="9"/>
      <c r="GMY1" s="9"/>
      <c r="GMZ1" s="9"/>
      <c r="GNA1" s="9"/>
      <c r="GNB1" s="9"/>
      <c r="GNC1" s="9"/>
      <c r="GND1" s="9"/>
      <c r="GNE1" s="9"/>
      <c r="GNF1" s="9"/>
      <c r="GNG1" s="9"/>
      <c r="GNH1" s="9"/>
      <c r="GNI1" s="9"/>
      <c r="GNJ1" s="9"/>
      <c r="GNK1" s="9"/>
      <c r="GNL1" s="9"/>
      <c r="GNM1" s="9"/>
      <c r="GNN1" s="9"/>
      <c r="GNO1" s="9"/>
      <c r="GNP1" s="9"/>
      <c r="GNQ1" s="9"/>
      <c r="GNR1" s="9"/>
      <c r="GNS1" s="9"/>
      <c r="GNT1" s="9"/>
      <c r="GNU1" s="9"/>
      <c r="GNV1" s="9"/>
      <c r="GNW1" s="9"/>
      <c r="GNX1" s="9"/>
      <c r="GNY1" s="9"/>
      <c r="GNZ1" s="9"/>
      <c r="GOA1" s="9"/>
      <c r="GOB1" s="9"/>
      <c r="GOC1" s="9"/>
      <c r="GOD1" s="9"/>
      <c r="GOE1" s="9"/>
      <c r="GOF1" s="9"/>
      <c r="GOG1" s="9"/>
      <c r="GOH1" s="9"/>
      <c r="GOI1" s="9"/>
      <c r="GOJ1" s="9"/>
      <c r="GOK1" s="9"/>
      <c r="GOL1" s="9"/>
      <c r="GOM1" s="9"/>
      <c r="GON1" s="9"/>
      <c r="GOO1" s="9"/>
      <c r="GOP1" s="9"/>
      <c r="GOQ1" s="9"/>
      <c r="GOR1" s="9"/>
      <c r="GOS1" s="9"/>
      <c r="GOT1" s="9"/>
      <c r="GOU1" s="9"/>
      <c r="GOV1" s="9"/>
      <c r="GOW1" s="9"/>
      <c r="GOX1" s="9"/>
      <c r="GOY1" s="9"/>
      <c r="GOZ1" s="9"/>
      <c r="GPA1" s="9"/>
      <c r="GPB1" s="9"/>
      <c r="GPC1" s="9"/>
      <c r="GPD1" s="9"/>
      <c r="GPE1" s="9"/>
      <c r="GPF1" s="9"/>
      <c r="GPG1" s="9"/>
      <c r="GPH1" s="9"/>
      <c r="GPI1" s="9"/>
      <c r="GPJ1" s="9"/>
      <c r="GPK1" s="9"/>
      <c r="GPL1" s="9"/>
      <c r="GPM1" s="9"/>
      <c r="GPN1" s="9"/>
      <c r="GPO1" s="9"/>
      <c r="GPP1" s="9"/>
      <c r="GPQ1" s="9"/>
      <c r="GPR1" s="9"/>
      <c r="GPS1" s="9"/>
      <c r="GPT1" s="9"/>
      <c r="GPU1" s="9"/>
      <c r="GPV1" s="9"/>
      <c r="GPW1" s="9"/>
      <c r="GPX1" s="9"/>
      <c r="GPY1" s="9"/>
      <c r="GPZ1" s="9"/>
      <c r="GQA1" s="9"/>
      <c r="GQB1" s="9"/>
      <c r="GQC1" s="9"/>
      <c r="GQD1" s="9"/>
      <c r="GQE1" s="9"/>
      <c r="GQF1" s="9"/>
      <c r="GQG1" s="9"/>
      <c r="GQH1" s="9"/>
      <c r="GQI1" s="9"/>
      <c r="GQJ1" s="9"/>
      <c r="GQK1" s="9"/>
      <c r="GQL1" s="9"/>
      <c r="GQM1" s="9"/>
      <c r="GQN1" s="9"/>
      <c r="GQO1" s="9"/>
      <c r="GQP1" s="9"/>
      <c r="GQQ1" s="9"/>
      <c r="GQR1" s="9"/>
      <c r="GQS1" s="9"/>
      <c r="GQT1" s="9"/>
      <c r="GQU1" s="9"/>
      <c r="GQV1" s="9"/>
      <c r="GQW1" s="9"/>
      <c r="GQX1" s="9"/>
      <c r="GQY1" s="9"/>
      <c r="GQZ1" s="9"/>
      <c r="GRA1" s="9"/>
      <c r="GRB1" s="9"/>
      <c r="GRC1" s="9"/>
      <c r="GRD1" s="9"/>
      <c r="GRE1" s="9"/>
      <c r="GRF1" s="9"/>
      <c r="GRG1" s="9"/>
      <c r="GRH1" s="9"/>
      <c r="GRI1" s="9"/>
      <c r="GRJ1" s="9"/>
      <c r="GRK1" s="9"/>
      <c r="GRL1" s="9"/>
      <c r="GRM1" s="9"/>
      <c r="GRN1" s="9"/>
      <c r="GRO1" s="9"/>
      <c r="GRP1" s="9"/>
      <c r="GRQ1" s="9"/>
      <c r="GRR1" s="9"/>
      <c r="GRS1" s="9"/>
      <c r="GRT1" s="9"/>
      <c r="GRU1" s="9"/>
      <c r="GRV1" s="9"/>
      <c r="GRW1" s="9"/>
      <c r="GRX1" s="9"/>
      <c r="GRY1" s="9"/>
      <c r="GRZ1" s="9"/>
      <c r="GSA1" s="9"/>
      <c r="GSB1" s="9"/>
      <c r="GSC1" s="9"/>
      <c r="GSD1" s="9"/>
      <c r="GSE1" s="9"/>
      <c r="GSF1" s="9"/>
      <c r="GSG1" s="9"/>
      <c r="GSH1" s="9"/>
      <c r="GSI1" s="9"/>
      <c r="GSJ1" s="9"/>
      <c r="GSK1" s="9"/>
      <c r="GSL1" s="9"/>
      <c r="GSM1" s="9"/>
      <c r="GSN1" s="9"/>
      <c r="GSO1" s="9"/>
      <c r="GSP1" s="9"/>
      <c r="GSQ1" s="9"/>
      <c r="GSR1" s="9"/>
      <c r="GSS1" s="9"/>
      <c r="GST1" s="9"/>
      <c r="GSU1" s="9"/>
      <c r="GSV1" s="9"/>
      <c r="GSW1" s="9"/>
      <c r="GSX1" s="9"/>
      <c r="GSY1" s="9"/>
      <c r="GSZ1" s="9"/>
      <c r="GTA1" s="9"/>
      <c r="GTB1" s="9"/>
      <c r="GTC1" s="9"/>
      <c r="GTD1" s="9"/>
      <c r="GTE1" s="9"/>
      <c r="GTF1" s="9"/>
      <c r="GTG1" s="9"/>
      <c r="GTH1" s="9"/>
      <c r="GTI1" s="9"/>
      <c r="GTJ1" s="9"/>
      <c r="GTK1" s="9"/>
      <c r="GTL1" s="9"/>
      <c r="GTM1" s="9"/>
      <c r="GTN1" s="9"/>
      <c r="GTO1" s="9"/>
      <c r="GTP1" s="9"/>
      <c r="GTQ1" s="9"/>
      <c r="GTR1" s="9"/>
      <c r="GTS1" s="9"/>
      <c r="GTT1" s="9"/>
      <c r="GTU1" s="9"/>
      <c r="GTV1" s="9"/>
      <c r="GTW1" s="9"/>
      <c r="GTX1" s="9"/>
      <c r="GTY1" s="9"/>
      <c r="GTZ1" s="9"/>
      <c r="GUA1" s="9"/>
      <c r="GUB1" s="9"/>
      <c r="GUC1" s="9"/>
      <c r="GUD1" s="9"/>
      <c r="GUE1" s="9"/>
      <c r="GUF1" s="9"/>
      <c r="GUG1" s="9"/>
      <c r="GUH1" s="9"/>
      <c r="GUI1" s="9"/>
      <c r="GUJ1" s="9"/>
      <c r="GUK1" s="9"/>
      <c r="GUL1" s="9"/>
      <c r="GUM1" s="9"/>
      <c r="GUN1" s="9"/>
      <c r="GUO1" s="9"/>
      <c r="GUP1" s="9"/>
      <c r="GUQ1" s="9"/>
      <c r="GUR1" s="9"/>
      <c r="GUS1" s="9"/>
      <c r="GUT1" s="9"/>
      <c r="GUU1" s="9"/>
      <c r="GUV1" s="9"/>
      <c r="GUW1" s="9"/>
      <c r="GUX1" s="9"/>
      <c r="GUY1" s="9"/>
      <c r="GUZ1" s="9"/>
      <c r="GVA1" s="9"/>
      <c r="GVB1" s="9"/>
      <c r="GVC1" s="9"/>
      <c r="GVD1" s="9"/>
      <c r="GVE1" s="9"/>
      <c r="GVF1" s="9"/>
      <c r="GVG1" s="9"/>
      <c r="GVH1" s="9"/>
      <c r="GVI1" s="9"/>
      <c r="GVJ1" s="9"/>
      <c r="GVK1" s="9"/>
      <c r="GVL1" s="9"/>
      <c r="GVM1" s="9"/>
      <c r="GVN1" s="9"/>
      <c r="GVO1" s="9"/>
      <c r="GVP1" s="9"/>
      <c r="GVQ1" s="9"/>
      <c r="GVR1" s="9"/>
      <c r="GVS1" s="9"/>
      <c r="GVT1" s="9"/>
      <c r="GVU1" s="9"/>
      <c r="GVV1" s="9"/>
      <c r="GVW1" s="9"/>
      <c r="GVX1" s="9"/>
      <c r="GVY1" s="9"/>
      <c r="GVZ1" s="9"/>
      <c r="GWA1" s="9"/>
      <c r="GWB1" s="9"/>
      <c r="GWC1" s="9"/>
      <c r="GWD1" s="9"/>
      <c r="GWE1" s="9"/>
      <c r="GWF1" s="9"/>
      <c r="GWG1" s="9"/>
      <c r="GWH1" s="9"/>
      <c r="GWI1" s="9"/>
      <c r="GWJ1" s="9"/>
      <c r="GWK1" s="9"/>
      <c r="GWL1" s="9"/>
      <c r="GWM1" s="9"/>
      <c r="GWN1" s="9"/>
      <c r="GWO1" s="9"/>
      <c r="GWP1" s="9"/>
      <c r="GWQ1" s="9"/>
      <c r="GWR1" s="9"/>
      <c r="GWS1" s="9"/>
      <c r="GWT1" s="9"/>
      <c r="GWU1" s="9"/>
      <c r="GWV1" s="9"/>
      <c r="GWW1" s="9"/>
      <c r="GWX1" s="9"/>
      <c r="GWY1" s="9"/>
      <c r="GWZ1" s="9"/>
      <c r="GXA1" s="9"/>
      <c r="GXB1" s="9"/>
      <c r="GXC1" s="9"/>
      <c r="GXD1" s="9"/>
      <c r="GXE1" s="9"/>
      <c r="GXF1" s="9"/>
      <c r="GXG1" s="9"/>
      <c r="GXH1" s="9"/>
      <c r="GXI1" s="9"/>
      <c r="GXJ1" s="9"/>
      <c r="GXK1" s="9"/>
      <c r="GXL1" s="9"/>
      <c r="GXM1" s="9"/>
      <c r="GXN1" s="9"/>
      <c r="GXO1" s="9"/>
      <c r="GXP1" s="9"/>
      <c r="GXQ1" s="9"/>
      <c r="GXR1" s="9"/>
      <c r="GXS1" s="9"/>
      <c r="GXT1" s="9"/>
      <c r="GXU1" s="9"/>
      <c r="GXV1" s="9"/>
      <c r="GXW1" s="9"/>
      <c r="GXX1" s="9"/>
      <c r="GXY1" s="9"/>
      <c r="GXZ1" s="9"/>
      <c r="GYA1" s="9"/>
      <c r="GYB1" s="9"/>
      <c r="GYC1" s="9"/>
      <c r="GYD1" s="9"/>
      <c r="GYE1" s="9"/>
      <c r="GYF1" s="9"/>
      <c r="GYG1" s="9"/>
      <c r="GYH1" s="9"/>
      <c r="GYI1" s="9"/>
      <c r="GYJ1" s="9"/>
      <c r="GYK1" s="9"/>
      <c r="GYL1" s="9"/>
      <c r="GYM1" s="9"/>
      <c r="GYN1" s="9"/>
      <c r="GYO1" s="9"/>
      <c r="GYP1" s="9"/>
      <c r="GYQ1" s="9"/>
      <c r="GYR1" s="9"/>
      <c r="GYS1" s="9"/>
      <c r="GYT1" s="9"/>
      <c r="GYU1" s="9"/>
      <c r="GYV1" s="9"/>
      <c r="GYW1" s="9"/>
      <c r="GYX1" s="9"/>
      <c r="GYY1" s="9"/>
      <c r="GYZ1" s="9"/>
      <c r="GZA1" s="9"/>
      <c r="GZB1" s="9"/>
      <c r="GZC1" s="9"/>
      <c r="GZD1" s="9"/>
      <c r="GZE1" s="9"/>
      <c r="GZF1" s="9"/>
      <c r="GZG1" s="9"/>
      <c r="GZH1" s="9"/>
      <c r="GZI1" s="9"/>
      <c r="GZJ1" s="9"/>
      <c r="GZK1" s="9"/>
      <c r="GZL1" s="9"/>
      <c r="GZM1" s="9"/>
      <c r="GZN1" s="9"/>
      <c r="GZO1" s="9"/>
      <c r="GZP1" s="9"/>
      <c r="GZQ1" s="9"/>
      <c r="GZR1" s="9"/>
      <c r="GZS1" s="9"/>
      <c r="GZT1" s="9"/>
      <c r="GZU1" s="9"/>
      <c r="GZV1" s="9"/>
      <c r="GZW1" s="9"/>
      <c r="GZX1" s="9"/>
      <c r="GZY1" s="9"/>
      <c r="GZZ1" s="9"/>
      <c r="HAA1" s="9"/>
      <c r="HAB1" s="9"/>
      <c r="HAC1" s="9"/>
      <c r="HAD1" s="9"/>
      <c r="HAE1" s="9"/>
      <c r="HAF1" s="9"/>
      <c r="HAG1" s="9"/>
      <c r="HAH1" s="9"/>
      <c r="HAI1" s="9"/>
      <c r="HAJ1" s="9"/>
      <c r="HAK1" s="9"/>
      <c r="HAL1" s="9"/>
      <c r="HAM1" s="9"/>
      <c r="HAN1" s="9"/>
      <c r="HAO1" s="9"/>
      <c r="HAP1" s="9"/>
      <c r="HAQ1" s="9"/>
      <c r="HAR1" s="9"/>
      <c r="HAS1" s="9"/>
      <c r="HAT1" s="9"/>
      <c r="HAU1" s="9"/>
      <c r="HAV1" s="9"/>
      <c r="HAW1" s="9"/>
      <c r="HAX1" s="9"/>
      <c r="HAY1" s="9"/>
      <c r="HAZ1" s="9"/>
      <c r="HBA1" s="9"/>
      <c r="HBB1" s="9"/>
      <c r="HBC1" s="9"/>
      <c r="HBD1" s="9"/>
      <c r="HBE1" s="9"/>
      <c r="HBF1" s="9"/>
      <c r="HBG1" s="9"/>
      <c r="HBH1" s="9"/>
      <c r="HBI1" s="9"/>
      <c r="HBJ1" s="9"/>
      <c r="HBK1" s="9"/>
      <c r="HBL1" s="9"/>
      <c r="HBM1" s="9"/>
      <c r="HBN1" s="9"/>
      <c r="HBO1" s="9"/>
      <c r="HBP1" s="9"/>
      <c r="HBQ1" s="9"/>
      <c r="HBR1" s="9"/>
      <c r="HBS1" s="9"/>
      <c r="HBT1" s="9"/>
      <c r="HBU1" s="9"/>
      <c r="HBV1" s="9"/>
      <c r="HBW1" s="9"/>
      <c r="HBX1" s="9"/>
      <c r="HBY1" s="9"/>
      <c r="HBZ1" s="9"/>
      <c r="HCA1" s="9"/>
      <c r="HCB1" s="9"/>
      <c r="HCC1" s="9"/>
      <c r="HCD1" s="9"/>
      <c r="HCE1" s="9"/>
      <c r="HCF1" s="9"/>
      <c r="HCG1" s="9"/>
      <c r="HCH1" s="9"/>
      <c r="HCI1" s="9"/>
      <c r="HCJ1" s="9"/>
      <c r="HCK1" s="9"/>
      <c r="HCL1" s="9"/>
      <c r="HCM1" s="9"/>
      <c r="HCN1" s="9"/>
      <c r="HCO1" s="9"/>
      <c r="HCP1" s="9"/>
      <c r="HCQ1" s="9"/>
      <c r="HCR1" s="9"/>
      <c r="HCS1" s="9"/>
      <c r="HCT1" s="9"/>
      <c r="HCU1" s="9"/>
      <c r="HCV1" s="9"/>
      <c r="HCW1" s="9"/>
      <c r="HCX1" s="9"/>
      <c r="HCY1" s="9"/>
      <c r="HCZ1" s="9"/>
      <c r="HDA1" s="9"/>
      <c r="HDB1" s="9"/>
      <c r="HDC1" s="9"/>
      <c r="HDD1" s="9"/>
      <c r="HDE1" s="9"/>
      <c r="HDF1" s="9"/>
      <c r="HDG1" s="9"/>
      <c r="HDH1" s="9"/>
      <c r="HDI1" s="9"/>
      <c r="HDJ1" s="9"/>
      <c r="HDK1" s="9"/>
      <c r="HDL1" s="9"/>
      <c r="HDM1" s="9"/>
      <c r="HDN1" s="9"/>
      <c r="HDO1" s="9"/>
      <c r="HDP1" s="9"/>
      <c r="HDQ1" s="9"/>
      <c r="HDR1" s="9"/>
      <c r="HDS1" s="9"/>
      <c r="HDT1" s="9"/>
      <c r="HDU1" s="9"/>
      <c r="HDV1" s="9"/>
      <c r="HDW1" s="9"/>
      <c r="HDX1" s="9"/>
      <c r="HDY1" s="9"/>
      <c r="HDZ1" s="9"/>
      <c r="HEA1" s="9"/>
      <c r="HEB1" s="9"/>
      <c r="HEC1" s="9"/>
      <c r="HED1" s="9"/>
      <c r="HEE1" s="9"/>
      <c r="HEF1" s="9"/>
      <c r="HEG1" s="9"/>
      <c r="HEH1" s="9"/>
      <c r="HEI1" s="9"/>
      <c r="HEJ1" s="9"/>
      <c r="HEK1" s="9"/>
      <c r="HEL1" s="9"/>
      <c r="HEM1" s="9"/>
      <c r="HEN1" s="9"/>
      <c r="HEO1" s="9"/>
      <c r="HEP1" s="9"/>
      <c r="HEQ1" s="9"/>
      <c r="HER1" s="9"/>
      <c r="HES1" s="9"/>
      <c r="HET1" s="9"/>
      <c r="HEU1" s="9"/>
      <c r="HEV1" s="9"/>
      <c r="HEW1" s="9"/>
      <c r="HEX1" s="9"/>
      <c r="HEY1" s="9"/>
      <c r="HEZ1" s="9"/>
      <c r="HFA1" s="9"/>
      <c r="HFB1" s="9"/>
      <c r="HFC1" s="9"/>
      <c r="HFD1" s="9"/>
      <c r="HFE1" s="9"/>
      <c r="HFF1" s="9"/>
      <c r="HFG1" s="9"/>
      <c r="HFH1" s="9"/>
      <c r="HFI1" s="9"/>
      <c r="HFJ1" s="9"/>
      <c r="HFK1" s="9"/>
      <c r="HFL1" s="9"/>
      <c r="HFM1" s="9"/>
      <c r="HFN1" s="9"/>
      <c r="HFO1" s="9"/>
      <c r="HFP1" s="9"/>
      <c r="HFQ1" s="9"/>
      <c r="HFR1" s="9"/>
      <c r="HFS1" s="9"/>
      <c r="HFT1" s="9"/>
      <c r="HFU1" s="9"/>
      <c r="HFV1" s="9"/>
      <c r="HFW1" s="9"/>
      <c r="HFX1" s="9"/>
      <c r="HFY1" s="9"/>
      <c r="HFZ1" s="9"/>
      <c r="HGA1" s="9"/>
      <c r="HGB1" s="9"/>
      <c r="HGC1" s="9"/>
      <c r="HGD1" s="9"/>
      <c r="HGE1" s="9"/>
      <c r="HGF1" s="9"/>
      <c r="HGG1" s="9"/>
      <c r="HGH1" s="9"/>
      <c r="HGI1" s="9"/>
      <c r="HGJ1" s="9"/>
      <c r="HGK1" s="9"/>
      <c r="HGL1" s="9"/>
      <c r="HGM1" s="9"/>
      <c r="HGN1" s="9"/>
      <c r="HGO1" s="9"/>
      <c r="HGP1" s="9"/>
      <c r="HGQ1" s="9"/>
      <c r="HGR1" s="9"/>
      <c r="HGS1" s="9"/>
      <c r="HGT1" s="9"/>
      <c r="HGU1" s="9"/>
      <c r="HGV1" s="9"/>
      <c r="HGW1" s="9"/>
      <c r="HGX1" s="9"/>
      <c r="HGY1" s="9"/>
      <c r="HGZ1" s="9"/>
      <c r="HHA1" s="9"/>
      <c r="HHB1" s="9"/>
      <c r="HHC1" s="9"/>
      <c r="HHD1" s="9"/>
      <c r="HHE1" s="9"/>
      <c r="HHF1" s="9"/>
      <c r="HHG1" s="9"/>
      <c r="HHH1" s="9"/>
      <c r="HHI1" s="9"/>
      <c r="HHJ1" s="9"/>
      <c r="HHK1" s="9"/>
      <c r="HHL1" s="9"/>
      <c r="HHM1" s="9"/>
      <c r="HHN1" s="9"/>
      <c r="HHO1" s="9"/>
      <c r="HHP1" s="9"/>
      <c r="HHQ1" s="9"/>
      <c r="HHR1" s="9"/>
      <c r="HHS1" s="9"/>
      <c r="HHT1" s="9"/>
      <c r="HHU1" s="9"/>
      <c r="HHV1" s="9"/>
      <c r="HHW1" s="9"/>
      <c r="HHX1" s="9"/>
      <c r="HHY1" s="9"/>
      <c r="HHZ1" s="9"/>
      <c r="HIA1" s="9"/>
      <c r="HIB1" s="9"/>
      <c r="HIC1" s="9"/>
      <c r="HID1" s="9"/>
      <c r="HIE1" s="9"/>
      <c r="HIF1" s="9"/>
      <c r="HIG1" s="9"/>
      <c r="HIH1" s="9"/>
      <c r="HII1" s="9"/>
      <c r="HIJ1" s="9"/>
      <c r="HIK1" s="9"/>
      <c r="HIL1" s="9"/>
      <c r="HIM1" s="9"/>
      <c r="HIN1" s="9"/>
      <c r="HIO1" s="9"/>
      <c r="HIP1" s="9"/>
      <c r="HIQ1" s="9"/>
      <c r="HIR1" s="9"/>
      <c r="HIS1" s="9"/>
      <c r="HIT1" s="9"/>
      <c r="HIU1" s="9"/>
      <c r="HIV1" s="9"/>
      <c r="HIW1" s="9"/>
      <c r="HIX1" s="9"/>
      <c r="HIY1" s="9"/>
      <c r="HIZ1" s="9"/>
      <c r="HJA1" s="9"/>
      <c r="HJB1" s="9"/>
      <c r="HJC1" s="9"/>
      <c r="HJD1" s="9"/>
      <c r="HJE1" s="9"/>
      <c r="HJF1" s="9"/>
      <c r="HJG1" s="9"/>
      <c r="HJH1" s="9"/>
      <c r="HJI1" s="9"/>
      <c r="HJJ1" s="9"/>
      <c r="HJK1" s="9"/>
      <c r="HJL1" s="9"/>
      <c r="HJM1" s="9"/>
      <c r="HJN1" s="9"/>
      <c r="HJO1" s="9"/>
      <c r="HJP1" s="9"/>
      <c r="HJQ1" s="9"/>
      <c r="HJR1" s="9"/>
      <c r="HJS1" s="9"/>
      <c r="HJT1" s="9"/>
      <c r="HJU1" s="9"/>
      <c r="HJV1" s="9"/>
      <c r="HJW1" s="9"/>
      <c r="HJX1" s="9"/>
      <c r="HJY1" s="9"/>
      <c r="HJZ1" s="9"/>
      <c r="HKA1" s="9"/>
      <c r="HKB1" s="9"/>
      <c r="HKC1" s="9"/>
      <c r="HKD1" s="9"/>
      <c r="HKE1" s="9"/>
      <c r="HKF1" s="9"/>
      <c r="HKG1" s="9"/>
      <c r="HKH1" s="9"/>
      <c r="HKI1" s="9"/>
      <c r="HKJ1" s="9"/>
      <c r="HKK1" s="9"/>
      <c r="HKL1" s="9"/>
      <c r="HKM1" s="9"/>
      <c r="HKN1" s="9"/>
      <c r="HKO1" s="9"/>
      <c r="HKP1" s="9"/>
      <c r="HKQ1" s="9"/>
      <c r="HKR1" s="9"/>
      <c r="HKS1" s="9"/>
      <c r="HKT1" s="9"/>
      <c r="HKU1" s="9"/>
      <c r="HKV1" s="9"/>
      <c r="HKW1" s="9"/>
      <c r="HKX1" s="9"/>
      <c r="HKY1" s="9"/>
      <c r="HKZ1" s="9"/>
      <c r="HLA1" s="9"/>
      <c r="HLB1" s="9"/>
      <c r="HLC1" s="9"/>
      <c r="HLD1" s="9"/>
      <c r="HLE1" s="9"/>
      <c r="HLF1" s="9"/>
      <c r="HLG1" s="9"/>
      <c r="HLH1" s="9"/>
      <c r="HLI1" s="9"/>
      <c r="HLJ1" s="9"/>
      <c r="HLK1" s="9"/>
      <c r="HLL1" s="9"/>
      <c r="HLM1" s="9"/>
      <c r="HLN1" s="9"/>
      <c r="HLO1" s="9"/>
      <c r="HLP1" s="9"/>
      <c r="HLQ1" s="9"/>
      <c r="HLR1" s="9"/>
      <c r="HLS1" s="9"/>
      <c r="HLT1" s="9"/>
      <c r="HLU1" s="9"/>
      <c r="HLV1" s="9"/>
      <c r="HLW1" s="9"/>
      <c r="HLX1" s="9"/>
      <c r="HLY1" s="9"/>
      <c r="HLZ1" s="9"/>
      <c r="HMA1" s="9"/>
      <c r="HMB1" s="9"/>
      <c r="HMC1" s="9"/>
      <c r="HMD1" s="9"/>
      <c r="HME1" s="9"/>
      <c r="HMF1" s="9"/>
      <c r="HMG1" s="9"/>
      <c r="HMH1" s="9"/>
      <c r="HMI1" s="9"/>
      <c r="HMJ1" s="9"/>
      <c r="HMK1" s="9"/>
      <c r="HML1" s="9"/>
      <c r="HMM1" s="9"/>
      <c r="HMN1" s="9"/>
      <c r="HMO1" s="9"/>
      <c r="HMP1" s="9"/>
      <c r="HMQ1" s="9"/>
      <c r="HMR1" s="9"/>
      <c r="HMS1" s="9"/>
      <c r="HMT1" s="9"/>
      <c r="HMU1" s="9"/>
      <c r="HMV1" s="9"/>
      <c r="HMW1" s="9"/>
      <c r="HMX1" s="9"/>
      <c r="HMY1" s="9"/>
      <c r="HMZ1" s="9"/>
      <c r="HNA1" s="9"/>
      <c r="HNB1" s="9"/>
      <c r="HNC1" s="9"/>
      <c r="HND1" s="9"/>
      <c r="HNE1" s="9"/>
      <c r="HNF1" s="9"/>
      <c r="HNG1" s="9"/>
      <c r="HNH1" s="9"/>
      <c r="HNI1" s="9"/>
      <c r="HNJ1" s="9"/>
      <c r="HNK1" s="9"/>
      <c r="HNL1" s="9"/>
      <c r="HNM1" s="9"/>
      <c r="HNN1" s="9"/>
      <c r="HNO1" s="9"/>
      <c r="HNP1" s="9"/>
      <c r="HNQ1" s="9"/>
      <c r="HNR1" s="9"/>
      <c r="HNS1" s="9"/>
      <c r="HNT1" s="9"/>
      <c r="HNU1" s="9"/>
      <c r="HNV1" s="9"/>
      <c r="HNW1" s="9"/>
      <c r="HNX1" s="9"/>
      <c r="HNY1" s="9"/>
      <c r="HNZ1" s="9"/>
      <c r="HOA1" s="9"/>
      <c r="HOB1" s="9"/>
      <c r="HOC1" s="9"/>
      <c r="HOD1" s="9"/>
      <c r="HOE1" s="9"/>
      <c r="HOF1" s="9"/>
      <c r="HOG1" s="9"/>
      <c r="HOH1" s="9"/>
      <c r="HOI1" s="9"/>
      <c r="HOJ1" s="9"/>
      <c r="HOK1" s="9"/>
      <c r="HOL1" s="9"/>
      <c r="HOM1" s="9"/>
      <c r="HON1" s="9"/>
      <c r="HOO1" s="9"/>
      <c r="HOP1" s="9"/>
      <c r="HOQ1" s="9"/>
      <c r="HOR1" s="9"/>
      <c r="HOS1" s="9"/>
      <c r="HOT1" s="9"/>
      <c r="HOU1" s="9"/>
      <c r="HOV1" s="9"/>
      <c r="HOW1" s="9"/>
      <c r="HOX1" s="9"/>
      <c r="HOY1" s="9"/>
      <c r="HOZ1" s="9"/>
      <c r="HPA1" s="9"/>
      <c r="HPB1" s="9"/>
      <c r="HPC1" s="9"/>
      <c r="HPD1" s="9"/>
      <c r="HPE1" s="9"/>
      <c r="HPF1" s="9"/>
      <c r="HPG1" s="9"/>
      <c r="HPH1" s="9"/>
      <c r="HPI1" s="9"/>
      <c r="HPJ1" s="9"/>
      <c r="HPK1" s="9"/>
      <c r="HPL1" s="9"/>
      <c r="HPM1" s="9"/>
      <c r="HPN1" s="9"/>
      <c r="HPO1" s="9"/>
      <c r="HPP1" s="9"/>
      <c r="HPQ1" s="9"/>
      <c r="HPR1" s="9"/>
      <c r="HPS1" s="9"/>
      <c r="HPT1" s="9"/>
      <c r="HPU1" s="9"/>
      <c r="HPV1" s="9"/>
      <c r="HPW1" s="9"/>
      <c r="HPX1" s="9"/>
      <c r="HPY1" s="9"/>
      <c r="HPZ1" s="9"/>
      <c r="HQA1" s="9"/>
      <c r="HQB1" s="9"/>
      <c r="HQC1" s="9"/>
      <c r="HQD1" s="9"/>
      <c r="HQE1" s="9"/>
      <c r="HQF1" s="9"/>
      <c r="HQG1" s="9"/>
      <c r="HQH1" s="9"/>
      <c r="HQI1" s="9"/>
      <c r="HQJ1" s="9"/>
      <c r="HQK1" s="9"/>
      <c r="HQL1" s="9"/>
      <c r="HQM1" s="9"/>
      <c r="HQN1" s="9"/>
      <c r="HQO1" s="9"/>
      <c r="HQP1" s="9"/>
      <c r="HQQ1" s="9"/>
      <c r="HQR1" s="9"/>
      <c r="HQS1" s="9"/>
      <c r="HQT1" s="9"/>
      <c r="HQU1" s="9"/>
      <c r="HQV1" s="9"/>
      <c r="HQW1" s="9"/>
      <c r="HQX1" s="9"/>
      <c r="HQY1" s="9"/>
      <c r="HQZ1" s="9"/>
      <c r="HRA1" s="9"/>
      <c r="HRB1" s="9"/>
      <c r="HRC1" s="9"/>
      <c r="HRD1" s="9"/>
      <c r="HRE1" s="9"/>
      <c r="HRF1" s="9"/>
      <c r="HRG1" s="9"/>
      <c r="HRH1" s="9"/>
      <c r="HRI1" s="9"/>
      <c r="HRJ1" s="9"/>
      <c r="HRK1" s="9"/>
      <c r="HRL1" s="9"/>
      <c r="HRM1" s="9"/>
      <c r="HRN1" s="9"/>
      <c r="HRO1" s="9"/>
      <c r="HRP1" s="9"/>
      <c r="HRQ1" s="9"/>
      <c r="HRR1" s="9"/>
      <c r="HRS1" s="9"/>
      <c r="HRT1" s="9"/>
      <c r="HRU1" s="9"/>
      <c r="HRV1" s="9"/>
      <c r="HRW1" s="9"/>
      <c r="HRX1" s="9"/>
      <c r="HRY1" s="9"/>
      <c r="HRZ1" s="9"/>
      <c r="HSA1" s="9"/>
      <c r="HSB1" s="9"/>
      <c r="HSC1" s="9"/>
      <c r="HSD1" s="9"/>
      <c r="HSE1" s="9"/>
      <c r="HSF1" s="9"/>
      <c r="HSG1" s="9"/>
      <c r="HSH1" s="9"/>
      <c r="HSI1" s="9"/>
      <c r="HSJ1" s="9"/>
      <c r="HSK1" s="9"/>
      <c r="HSL1" s="9"/>
      <c r="HSM1" s="9"/>
      <c r="HSN1" s="9"/>
      <c r="HSO1" s="9"/>
      <c r="HSP1" s="9"/>
      <c r="HSQ1" s="9"/>
      <c r="HSR1" s="9"/>
      <c r="HSS1" s="9"/>
      <c r="HST1" s="9"/>
      <c r="HSU1" s="9"/>
      <c r="HSV1" s="9"/>
      <c r="HSW1" s="9"/>
      <c r="HSX1" s="9"/>
      <c r="HSY1" s="9"/>
      <c r="HSZ1" s="9"/>
      <c r="HTA1" s="9"/>
      <c r="HTB1" s="9"/>
      <c r="HTC1" s="9"/>
      <c r="HTD1" s="9"/>
      <c r="HTE1" s="9"/>
      <c r="HTF1" s="9"/>
      <c r="HTG1" s="9"/>
      <c r="HTH1" s="9"/>
      <c r="HTI1" s="9"/>
      <c r="HTJ1" s="9"/>
      <c r="HTK1" s="9"/>
      <c r="HTL1" s="9"/>
      <c r="HTM1" s="9"/>
      <c r="HTN1" s="9"/>
      <c r="HTO1" s="9"/>
      <c r="HTP1" s="9"/>
      <c r="HTQ1" s="9"/>
      <c r="HTR1" s="9"/>
      <c r="HTS1" s="9"/>
      <c r="HTT1" s="9"/>
      <c r="HTU1" s="9"/>
      <c r="HTV1" s="9"/>
      <c r="HTW1" s="9"/>
      <c r="HTX1" s="9"/>
      <c r="HTY1" s="9"/>
      <c r="HTZ1" s="9"/>
      <c r="HUA1" s="9"/>
      <c r="HUB1" s="9"/>
      <c r="HUC1" s="9"/>
      <c r="HUD1" s="9"/>
      <c r="HUE1" s="9"/>
      <c r="HUF1" s="9"/>
      <c r="HUG1" s="9"/>
      <c r="HUH1" s="9"/>
      <c r="HUI1" s="9"/>
      <c r="HUJ1" s="9"/>
      <c r="HUK1" s="9"/>
      <c r="HUL1" s="9"/>
      <c r="HUM1" s="9"/>
      <c r="HUN1" s="9"/>
      <c r="HUO1" s="9"/>
      <c r="HUP1" s="9"/>
      <c r="HUQ1" s="9"/>
      <c r="HUR1" s="9"/>
      <c r="HUS1" s="9"/>
      <c r="HUT1" s="9"/>
      <c r="HUU1" s="9"/>
      <c r="HUV1" s="9"/>
      <c r="HUW1" s="9"/>
      <c r="HUX1" s="9"/>
      <c r="HUY1" s="9"/>
      <c r="HUZ1" s="9"/>
      <c r="HVA1" s="9"/>
      <c r="HVB1" s="9"/>
      <c r="HVC1" s="9"/>
      <c r="HVD1" s="9"/>
      <c r="HVE1" s="9"/>
      <c r="HVF1" s="9"/>
      <c r="HVG1" s="9"/>
      <c r="HVH1" s="9"/>
      <c r="HVI1" s="9"/>
      <c r="HVJ1" s="9"/>
      <c r="HVK1" s="9"/>
      <c r="HVL1" s="9"/>
      <c r="HVM1" s="9"/>
      <c r="HVN1" s="9"/>
      <c r="HVO1" s="9"/>
      <c r="HVP1" s="9"/>
      <c r="HVQ1" s="9"/>
      <c r="HVR1" s="9"/>
      <c r="HVS1" s="9"/>
      <c r="HVT1" s="9"/>
      <c r="HVU1" s="9"/>
      <c r="HVV1" s="9"/>
      <c r="HVW1" s="9"/>
      <c r="HVX1" s="9"/>
      <c r="HVY1" s="9"/>
      <c r="HVZ1" s="9"/>
      <c r="HWA1" s="9"/>
      <c r="HWB1" s="9"/>
      <c r="HWC1" s="9"/>
      <c r="HWD1" s="9"/>
      <c r="HWE1" s="9"/>
      <c r="HWF1" s="9"/>
      <c r="HWG1" s="9"/>
      <c r="HWH1" s="9"/>
      <c r="HWI1" s="9"/>
      <c r="HWJ1" s="9"/>
      <c r="HWK1" s="9"/>
      <c r="HWL1" s="9"/>
      <c r="HWM1" s="9"/>
      <c r="HWN1" s="9"/>
      <c r="HWO1" s="9"/>
      <c r="HWP1" s="9"/>
      <c r="HWQ1" s="9"/>
      <c r="HWR1" s="9"/>
      <c r="HWS1" s="9"/>
      <c r="HWT1" s="9"/>
      <c r="HWU1" s="9"/>
      <c r="HWV1" s="9"/>
      <c r="HWW1" s="9"/>
      <c r="HWX1" s="9"/>
      <c r="HWY1" s="9"/>
      <c r="HWZ1" s="9"/>
      <c r="HXA1" s="9"/>
      <c r="HXB1" s="9"/>
      <c r="HXC1" s="9"/>
      <c r="HXD1" s="9"/>
      <c r="HXE1" s="9"/>
      <c r="HXF1" s="9"/>
      <c r="HXG1" s="9"/>
      <c r="HXH1" s="9"/>
      <c r="HXI1" s="9"/>
      <c r="HXJ1" s="9"/>
      <c r="HXK1" s="9"/>
      <c r="HXL1" s="9"/>
      <c r="HXM1" s="9"/>
      <c r="HXN1" s="9"/>
      <c r="HXO1" s="9"/>
      <c r="HXP1" s="9"/>
      <c r="HXQ1" s="9"/>
      <c r="HXR1" s="9"/>
      <c r="HXS1" s="9"/>
      <c r="HXT1" s="9"/>
      <c r="HXU1" s="9"/>
      <c r="HXV1" s="9"/>
      <c r="HXW1" s="9"/>
      <c r="HXX1" s="9"/>
      <c r="HXY1" s="9"/>
      <c r="HXZ1" s="9"/>
      <c r="HYA1" s="9"/>
      <c r="HYB1" s="9"/>
      <c r="HYC1" s="9"/>
      <c r="HYD1" s="9"/>
      <c r="HYE1" s="9"/>
      <c r="HYF1" s="9"/>
      <c r="HYG1" s="9"/>
      <c r="HYH1" s="9"/>
      <c r="HYI1" s="9"/>
      <c r="HYJ1" s="9"/>
      <c r="HYK1" s="9"/>
      <c r="HYL1" s="9"/>
      <c r="HYM1" s="9"/>
      <c r="HYN1" s="9"/>
      <c r="HYO1" s="9"/>
      <c r="HYP1" s="9"/>
      <c r="HYQ1" s="9"/>
      <c r="HYR1" s="9"/>
      <c r="HYS1" s="9"/>
      <c r="HYT1" s="9"/>
      <c r="HYU1" s="9"/>
      <c r="HYV1" s="9"/>
      <c r="HYW1" s="9"/>
      <c r="HYX1" s="9"/>
      <c r="HYY1" s="9"/>
      <c r="HYZ1" s="9"/>
      <c r="HZA1" s="9"/>
      <c r="HZB1" s="9"/>
      <c r="HZC1" s="9"/>
      <c r="HZD1" s="9"/>
      <c r="HZE1" s="9"/>
      <c r="HZF1" s="9"/>
      <c r="HZG1" s="9"/>
      <c r="HZH1" s="9"/>
      <c r="HZI1" s="9"/>
      <c r="HZJ1" s="9"/>
      <c r="HZK1" s="9"/>
      <c r="HZL1" s="9"/>
      <c r="HZM1" s="9"/>
      <c r="HZN1" s="9"/>
      <c r="HZO1" s="9"/>
      <c r="HZP1" s="9"/>
      <c r="HZQ1" s="9"/>
      <c r="HZR1" s="9"/>
      <c r="HZS1" s="9"/>
      <c r="HZT1" s="9"/>
      <c r="HZU1" s="9"/>
      <c r="HZV1" s="9"/>
      <c r="HZW1" s="9"/>
      <c r="HZX1" s="9"/>
      <c r="HZY1" s="9"/>
      <c r="HZZ1" s="9"/>
      <c r="IAA1" s="9"/>
      <c r="IAB1" s="9"/>
      <c r="IAC1" s="9"/>
      <c r="IAD1" s="9"/>
      <c r="IAE1" s="9"/>
      <c r="IAF1" s="9"/>
      <c r="IAG1" s="9"/>
      <c r="IAH1" s="9"/>
      <c r="IAI1" s="9"/>
      <c r="IAJ1" s="9"/>
      <c r="IAK1" s="9"/>
      <c r="IAL1" s="9"/>
      <c r="IAM1" s="9"/>
      <c r="IAN1" s="9"/>
      <c r="IAO1" s="9"/>
      <c r="IAP1" s="9"/>
      <c r="IAQ1" s="9"/>
      <c r="IAR1" s="9"/>
      <c r="IAS1" s="9"/>
      <c r="IAT1" s="9"/>
      <c r="IAU1" s="9"/>
      <c r="IAV1" s="9"/>
      <c r="IAW1" s="9"/>
      <c r="IAX1" s="9"/>
      <c r="IAY1" s="9"/>
      <c r="IAZ1" s="9"/>
      <c r="IBA1" s="9"/>
      <c r="IBB1" s="9"/>
      <c r="IBC1" s="9"/>
      <c r="IBD1" s="9"/>
      <c r="IBE1" s="9"/>
      <c r="IBF1" s="9"/>
      <c r="IBG1" s="9"/>
      <c r="IBH1" s="9"/>
      <c r="IBI1" s="9"/>
      <c r="IBJ1" s="9"/>
      <c r="IBK1" s="9"/>
      <c r="IBL1" s="9"/>
      <c r="IBM1" s="9"/>
      <c r="IBN1" s="9"/>
      <c r="IBO1" s="9"/>
      <c r="IBP1" s="9"/>
      <c r="IBQ1" s="9"/>
      <c r="IBR1" s="9"/>
      <c r="IBS1" s="9"/>
      <c r="IBT1" s="9"/>
      <c r="IBU1" s="9"/>
      <c r="IBV1" s="9"/>
      <c r="IBW1" s="9"/>
      <c r="IBX1" s="9"/>
      <c r="IBY1" s="9"/>
      <c r="IBZ1" s="9"/>
      <c r="ICA1" s="9"/>
      <c r="ICB1" s="9"/>
      <c r="ICC1" s="9"/>
      <c r="ICD1" s="9"/>
      <c r="ICE1" s="9"/>
      <c r="ICF1" s="9"/>
      <c r="ICG1" s="9"/>
      <c r="ICH1" s="9"/>
      <c r="ICI1" s="9"/>
      <c r="ICJ1" s="9"/>
      <c r="ICK1" s="9"/>
      <c r="ICL1" s="9"/>
      <c r="ICM1" s="9"/>
      <c r="ICN1" s="9"/>
      <c r="ICO1" s="9"/>
      <c r="ICP1" s="9"/>
      <c r="ICQ1" s="9"/>
      <c r="ICR1" s="9"/>
      <c r="ICS1" s="9"/>
      <c r="ICT1" s="9"/>
      <c r="ICU1" s="9"/>
      <c r="ICV1" s="9"/>
      <c r="ICW1" s="9"/>
      <c r="ICX1" s="9"/>
      <c r="ICY1" s="9"/>
      <c r="ICZ1" s="9"/>
      <c r="IDA1" s="9"/>
      <c r="IDB1" s="9"/>
      <c r="IDC1" s="9"/>
      <c r="IDD1" s="9"/>
      <c r="IDE1" s="9"/>
      <c r="IDF1" s="9"/>
      <c r="IDG1" s="9"/>
      <c r="IDH1" s="9"/>
      <c r="IDI1" s="9"/>
      <c r="IDJ1" s="9"/>
      <c r="IDK1" s="9"/>
      <c r="IDL1" s="9"/>
      <c r="IDM1" s="9"/>
      <c r="IDN1" s="9"/>
      <c r="IDO1" s="9"/>
      <c r="IDP1" s="9"/>
      <c r="IDQ1" s="9"/>
      <c r="IDR1" s="9"/>
      <c r="IDS1" s="9"/>
      <c r="IDT1" s="9"/>
      <c r="IDU1" s="9"/>
      <c r="IDV1" s="9"/>
      <c r="IDW1" s="9"/>
      <c r="IDX1" s="9"/>
      <c r="IDY1" s="9"/>
      <c r="IDZ1" s="9"/>
      <c r="IEA1" s="9"/>
      <c r="IEB1" s="9"/>
      <c r="IEC1" s="9"/>
      <c r="IED1" s="9"/>
      <c r="IEE1" s="9"/>
      <c r="IEF1" s="9"/>
      <c r="IEG1" s="9"/>
      <c r="IEH1" s="9"/>
      <c r="IEI1" s="9"/>
      <c r="IEJ1" s="9"/>
      <c r="IEK1" s="9"/>
      <c r="IEL1" s="9"/>
      <c r="IEM1" s="9"/>
      <c r="IEN1" s="9"/>
      <c r="IEO1" s="9"/>
      <c r="IEP1" s="9"/>
      <c r="IEQ1" s="9"/>
      <c r="IER1" s="9"/>
      <c r="IES1" s="9"/>
      <c r="IET1" s="9"/>
      <c r="IEU1" s="9"/>
      <c r="IEV1" s="9"/>
      <c r="IEW1" s="9"/>
      <c r="IEX1" s="9"/>
      <c r="IEY1" s="9"/>
      <c r="IEZ1" s="9"/>
      <c r="IFA1" s="9"/>
      <c r="IFB1" s="9"/>
      <c r="IFC1" s="9"/>
      <c r="IFD1" s="9"/>
      <c r="IFE1" s="9"/>
      <c r="IFF1" s="9"/>
      <c r="IFG1" s="9"/>
      <c r="IFH1" s="9"/>
      <c r="IFI1" s="9"/>
      <c r="IFJ1" s="9"/>
      <c r="IFK1" s="9"/>
      <c r="IFL1" s="9"/>
      <c r="IFM1" s="9"/>
      <c r="IFN1" s="9"/>
      <c r="IFO1" s="9"/>
      <c r="IFP1" s="9"/>
      <c r="IFQ1" s="9"/>
      <c r="IFR1" s="9"/>
      <c r="IFS1" s="9"/>
      <c r="IFT1" s="9"/>
      <c r="IFU1" s="9"/>
      <c r="IFV1" s="9"/>
      <c r="IFW1" s="9"/>
      <c r="IFX1" s="9"/>
      <c r="IFY1" s="9"/>
      <c r="IFZ1" s="9"/>
      <c r="IGA1" s="9"/>
      <c r="IGB1" s="9"/>
      <c r="IGC1" s="9"/>
      <c r="IGD1" s="9"/>
      <c r="IGE1" s="9"/>
      <c r="IGF1" s="9"/>
      <c r="IGG1" s="9"/>
      <c r="IGH1" s="9"/>
      <c r="IGI1" s="9"/>
      <c r="IGJ1" s="9"/>
      <c r="IGK1" s="9"/>
      <c r="IGL1" s="9"/>
      <c r="IGM1" s="9"/>
      <c r="IGN1" s="9"/>
      <c r="IGO1" s="9"/>
      <c r="IGP1" s="9"/>
      <c r="IGQ1" s="9"/>
      <c r="IGR1" s="9"/>
      <c r="IGS1" s="9"/>
      <c r="IGT1" s="9"/>
      <c r="IGU1" s="9"/>
      <c r="IGV1" s="9"/>
      <c r="IGW1" s="9"/>
      <c r="IGX1" s="9"/>
      <c r="IGY1" s="9"/>
      <c r="IGZ1" s="9"/>
      <c r="IHA1" s="9"/>
      <c r="IHB1" s="9"/>
      <c r="IHC1" s="9"/>
      <c r="IHD1" s="9"/>
      <c r="IHE1" s="9"/>
      <c r="IHF1" s="9"/>
      <c r="IHG1" s="9"/>
      <c r="IHH1" s="9"/>
      <c r="IHI1" s="9"/>
      <c r="IHJ1" s="9"/>
      <c r="IHK1" s="9"/>
      <c r="IHL1" s="9"/>
      <c r="IHM1" s="9"/>
      <c r="IHN1" s="9"/>
      <c r="IHO1" s="9"/>
      <c r="IHP1" s="9"/>
      <c r="IHQ1" s="9"/>
      <c r="IHR1" s="9"/>
      <c r="IHS1" s="9"/>
      <c r="IHT1" s="9"/>
      <c r="IHU1" s="9"/>
      <c r="IHV1" s="9"/>
      <c r="IHW1" s="9"/>
      <c r="IHX1" s="9"/>
      <c r="IHY1" s="9"/>
      <c r="IHZ1" s="9"/>
      <c r="IIA1" s="9"/>
      <c r="IIB1" s="9"/>
      <c r="IIC1" s="9"/>
      <c r="IID1" s="9"/>
      <c r="IIE1" s="9"/>
      <c r="IIF1" s="9"/>
      <c r="IIG1" s="9"/>
      <c r="IIH1" s="9"/>
      <c r="III1" s="9"/>
      <c r="IIJ1" s="9"/>
      <c r="IIK1" s="9"/>
      <c r="IIL1" s="9"/>
      <c r="IIM1" s="9"/>
      <c r="IIN1" s="9"/>
      <c r="IIO1" s="9"/>
      <c r="IIP1" s="9"/>
      <c r="IIQ1" s="9"/>
      <c r="IIR1" s="9"/>
      <c r="IIS1" s="9"/>
      <c r="IIT1" s="9"/>
      <c r="IIU1" s="9"/>
      <c r="IIV1" s="9"/>
      <c r="IIW1" s="9"/>
      <c r="IIX1" s="9"/>
      <c r="IIY1" s="9"/>
      <c r="IIZ1" s="9"/>
      <c r="IJA1" s="9"/>
      <c r="IJB1" s="9"/>
      <c r="IJC1" s="9"/>
      <c r="IJD1" s="9"/>
      <c r="IJE1" s="9"/>
      <c r="IJF1" s="9"/>
      <c r="IJG1" s="9"/>
      <c r="IJH1" s="9"/>
      <c r="IJI1" s="9"/>
      <c r="IJJ1" s="9"/>
      <c r="IJK1" s="9"/>
      <c r="IJL1" s="9"/>
      <c r="IJM1" s="9"/>
      <c r="IJN1" s="9"/>
      <c r="IJO1" s="9"/>
      <c r="IJP1" s="9"/>
      <c r="IJQ1" s="9"/>
      <c r="IJR1" s="9"/>
      <c r="IJS1" s="9"/>
      <c r="IJT1" s="9"/>
      <c r="IJU1" s="9"/>
      <c r="IJV1" s="9"/>
      <c r="IJW1" s="9"/>
      <c r="IJX1" s="9"/>
      <c r="IJY1" s="9"/>
      <c r="IJZ1" s="9"/>
      <c r="IKA1" s="9"/>
      <c r="IKB1" s="9"/>
      <c r="IKC1" s="9"/>
      <c r="IKD1" s="9"/>
      <c r="IKE1" s="9"/>
      <c r="IKF1" s="9"/>
      <c r="IKG1" s="9"/>
      <c r="IKH1" s="9"/>
      <c r="IKI1" s="9"/>
      <c r="IKJ1" s="9"/>
      <c r="IKK1" s="9"/>
      <c r="IKL1" s="9"/>
      <c r="IKM1" s="9"/>
      <c r="IKN1" s="9"/>
      <c r="IKO1" s="9"/>
      <c r="IKP1" s="9"/>
      <c r="IKQ1" s="9"/>
      <c r="IKR1" s="9"/>
      <c r="IKS1" s="9"/>
      <c r="IKT1" s="9"/>
      <c r="IKU1" s="9"/>
      <c r="IKV1" s="9"/>
      <c r="IKW1" s="9"/>
      <c r="IKX1" s="9"/>
      <c r="IKY1" s="9"/>
      <c r="IKZ1" s="9"/>
      <c r="ILA1" s="9"/>
      <c r="ILB1" s="9"/>
      <c r="ILC1" s="9"/>
      <c r="ILD1" s="9"/>
      <c r="ILE1" s="9"/>
      <c r="ILF1" s="9"/>
      <c r="ILG1" s="9"/>
      <c r="ILH1" s="9"/>
      <c r="ILI1" s="9"/>
      <c r="ILJ1" s="9"/>
      <c r="ILK1" s="9"/>
      <c r="ILL1" s="9"/>
      <c r="ILM1" s="9"/>
      <c r="ILN1" s="9"/>
      <c r="ILO1" s="9"/>
      <c r="ILP1" s="9"/>
      <c r="ILQ1" s="9"/>
      <c r="ILR1" s="9"/>
      <c r="ILS1" s="9"/>
      <c r="ILT1" s="9"/>
      <c r="ILU1" s="9"/>
      <c r="ILV1" s="9"/>
      <c r="ILW1" s="9"/>
      <c r="ILX1" s="9"/>
      <c r="ILY1" s="9"/>
      <c r="ILZ1" s="9"/>
      <c r="IMA1" s="9"/>
      <c r="IMB1" s="9"/>
      <c r="IMC1" s="9"/>
      <c r="IMD1" s="9"/>
      <c r="IME1" s="9"/>
      <c r="IMF1" s="9"/>
      <c r="IMG1" s="9"/>
      <c r="IMH1" s="9"/>
      <c r="IMI1" s="9"/>
      <c r="IMJ1" s="9"/>
      <c r="IMK1" s="9"/>
      <c r="IML1" s="9"/>
      <c r="IMM1" s="9"/>
      <c r="IMN1" s="9"/>
      <c r="IMO1" s="9"/>
      <c r="IMP1" s="9"/>
      <c r="IMQ1" s="9"/>
      <c r="IMR1" s="9"/>
      <c r="IMS1" s="9"/>
      <c r="IMT1" s="9"/>
      <c r="IMU1" s="9"/>
      <c r="IMV1" s="9"/>
      <c r="IMW1" s="9"/>
      <c r="IMX1" s="9"/>
      <c r="IMY1" s="9"/>
      <c r="IMZ1" s="9"/>
      <c r="INA1" s="9"/>
      <c r="INB1" s="9"/>
      <c r="INC1" s="9"/>
      <c r="IND1" s="9"/>
      <c r="INE1" s="9"/>
      <c r="INF1" s="9"/>
      <c r="ING1" s="9"/>
      <c r="INH1" s="9"/>
      <c r="INI1" s="9"/>
      <c r="INJ1" s="9"/>
      <c r="INK1" s="9"/>
      <c r="INL1" s="9"/>
      <c r="INM1" s="9"/>
      <c r="INN1" s="9"/>
      <c r="INO1" s="9"/>
      <c r="INP1" s="9"/>
      <c r="INQ1" s="9"/>
      <c r="INR1" s="9"/>
      <c r="INS1" s="9"/>
      <c r="INT1" s="9"/>
      <c r="INU1" s="9"/>
      <c r="INV1" s="9"/>
      <c r="INW1" s="9"/>
      <c r="INX1" s="9"/>
      <c r="INY1" s="9"/>
      <c r="INZ1" s="9"/>
      <c r="IOA1" s="9"/>
      <c r="IOB1" s="9"/>
      <c r="IOC1" s="9"/>
      <c r="IOD1" s="9"/>
      <c r="IOE1" s="9"/>
      <c r="IOF1" s="9"/>
      <c r="IOG1" s="9"/>
      <c r="IOH1" s="9"/>
      <c r="IOI1" s="9"/>
      <c r="IOJ1" s="9"/>
      <c r="IOK1" s="9"/>
      <c r="IOL1" s="9"/>
      <c r="IOM1" s="9"/>
      <c r="ION1" s="9"/>
      <c r="IOO1" s="9"/>
      <c r="IOP1" s="9"/>
      <c r="IOQ1" s="9"/>
      <c r="IOR1" s="9"/>
      <c r="IOS1" s="9"/>
      <c r="IOT1" s="9"/>
      <c r="IOU1" s="9"/>
      <c r="IOV1" s="9"/>
      <c r="IOW1" s="9"/>
      <c r="IOX1" s="9"/>
      <c r="IOY1" s="9"/>
      <c r="IOZ1" s="9"/>
      <c r="IPA1" s="9"/>
      <c r="IPB1" s="9"/>
      <c r="IPC1" s="9"/>
      <c r="IPD1" s="9"/>
      <c r="IPE1" s="9"/>
      <c r="IPF1" s="9"/>
      <c r="IPG1" s="9"/>
      <c r="IPH1" s="9"/>
      <c r="IPI1" s="9"/>
      <c r="IPJ1" s="9"/>
      <c r="IPK1" s="9"/>
      <c r="IPL1" s="9"/>
      <c r="IPM1" s="9"/>
      <c r="IPN1" s="9"/>
      <c r="IPO1" s="9"/>
      <c r="IPP1" s="9"/>
      <c r="IPQ1" s="9"/>
      <c r="IPR1" s="9"/>
      <c r="IPS1" s="9"/>
      <c r="IPT1" s="9"/>
      <c r="IPU1" s="9"/>
      <c r="IPV1" s="9"/>
      <c r="IPW1" s="9"/>
      <c r="IPX1" s="9"/>
      <c r="IPY1" s="9"/>
      <c r="IPZ1" s="9"/>
      <c r="IQA1" s="9"/>
      <c r="IQB1" s="9"/>
      <c r="IQC1" s="9"/>
      <c r="IQD1" s="9"/>
      <c r="IQE1" s="9"/>
      <c r="IQF1" s="9"/>
      <c r="IQG1" s="9"/>
      <c r="IQH1" s="9"/>
      <c r="IQI1" s="9"/>
      <c r="IQJ1" s="9"/>
      <c r="IQK1" s="9"/>
      <c r="IQL1" s="9"/>
      <c r="IQM1" s="9"/>
      <c r="IQN1" s="9"/>
      <c r="IQO1" s="9"/>
      <c r="IQP1" s="9"/>
      <c r="IQQ1" s="9"/>
      <c r="IQR1" s="9"/>
      <c r="IQS1" s="9"/>
      <c r="IQT1" s="9"/>
      <c r="IQU1" s="9"/>
      <c r="IQV1" s="9"/>
      <c r="IQW1" s="9"/>
      <c r="IQX1" s="9"/>
      <c r="IQY1" s="9"/>
      <c r="IQZ1" s="9"/>
      <c r="IRA1" s="9"/>
      <c r="IRB1" s="9"/>
      <c r="IRC1" s="9"/>
      <c r="IRD1" s="9"/>
      <c r="IRE1" s="9"/>
      <c r="IRF1" s="9"/>
      <c r="IRG1" s="9"/>
      <c r="IRH1" s="9"/>
      <c r="IRI1" s="9"/>
      <c r="IRJ1" s="9"/>
      <c r="IRK1" s="9"/>
      <c r="IRL1" s="9"/>
      <c r="IRM1" s="9"/>
      <c r="IRN1" s="9"/>
      <c r="IRO1" s="9"/>
      <c r="IRP1" s="9"/>
      <c r="IRQ1" s="9"/>
      <c r="IRR1" s="9"/>
      <c r="IRS1" s="9"/>
      <c r="IRT1" s="9"/>
      <c r="IRU1" s="9"/>
      <c r="IRV1" s="9"/>
      <c r="IRW1" s="9"/>
      <c r="IRX1" s="9"/>
      <c r="IRY1" s="9"/>
      <c r="IRZ1" s="9"/>
      <c r="ISA1" s="9"/>
      <c r="ISB1" s="9"/>
      <c r="ISC1" s="9"/>
      <c r="ISD1" s="9"/>
      <c r="ISE1" s="9"/>
      <c r="ISF1" s="9"/>
      <c r="ISG1" s="9"/>
      <c r="ISH1" s="9"/>
      <c r="ISI1" s="9"/>
      <c r="ISJ1" s="9"/>
      <c r="ISK1" s="9"/>
      <c r="ISL1" s="9"/>
      <c r="ISM1" s="9"/>
      <c r="ISN1" s="9"/>
      <c r="ISO1" s="9"/>
      <c r="ISP1" s="9"/>
      <c r="ISQ1" s="9"/>
      <c r="ISR1" s="9"/>
      <c r="ISS1" s="9"/>
      <c r="IST1" s="9"/>
      <c r="ISU1" s="9"/>
      <c r="ISV1" s="9"/>
      <c r="ISW1" s="9"/>
      <c r="ISX1" s="9"/>
      <c r="ISY1" s="9"/>
      <c r="ISZ1" s="9"/>
      <c r="ITA1" s="9"/>
      <c r="ITB1" s="9"/>
      <c r="ITC1" s="9"/>
      <c r="ITD1" s="9"/>
      <c r="ITE1" s="9"/>
      <c r="ITF1" s="9"/>
      <c r="ITG1" s="9"/>
      <c r="ITH1" s="9"/>
      <c r="ITI1" s="9"/>
      <c r="ITJ1" s="9"/>
      <c r="ITK1" s="9"/>
      <c r="ITL1" s="9"/>
      <c r="ITM1" s="9"/>
      <c r="ITN1" s="9"/>
      <c r="ITO1" s="9"/>
      <c r="ITP1" s="9"/>
      <c r="ITQ1" s="9"/>
      <c r="ITR1" s="9"/>
      <c r="ITS1" s="9"/>
      <c r="ITT1" s="9"/>
      <c r="ITU1" s="9"/>
      <c r="ITV1" s="9"/>
      <c r="ITW1" s="9"/>
      <c r="ITX1" s="9"/>
      <c r="ITY1" s="9"/>
      <c r="ITZ1" s="9"/>
      <c r="IUA1" s="9"/>
      <c r="IUB1" s="9"/>
      <c r="IUC1" s="9"/>
      <c r="IUD1" s="9"/>
      <c r="IUE1" s="9"/>
      <c r="IUF1" s="9"/>
      <c r="IUG1" s="9"/>
      <c r="IUH1" s="9"/>
      <c r="IUI1" s="9"/>
      <c r="IUJ1" s="9"/>
      <c r="IUK1" s="9"/>
      <c r="IUL1" s="9"/>
      <c r="IUM1" s="9"/>
      <c r="IUN1" s="9"/>
      <c r="IUO1" s="9"/>
      <c r="IUP1" s="9"/>
      <c r="IUQ1" s="9"/>
      <c r="IUR1" s="9"/>
      <c r="IUS1" s="9"/>
      <c r="IUT1" s="9"/>
      <c r="IUU1" s="9"/>
      <c r="IUV1" s="9"/>
      <c r="IUW1" s="9"/>
      <c r="IUX1" s="9"/>
      <c r="IUY1" s="9"/>
      <c r="IUZ1" s="9"/>
      <c r="IVA1" s="9"/>
      <c r="IVB1" s="9"/>
      <c r="IVC1" s="9"/>
      <c r="IVD1" s="9"/>
      <c r="IVE1" s="9"/>
      <c r="IVF1" s="9"/>
      <c r="IVG1" s="9"/>
      <c r="IVH1" s="9"/>
      <c r="IVI1" s="9"/>
      <c r="IVJ1" s="9"/>
      <c r="IVK1" s="9"/>
      <c r="IVL1" s="9"/>
      <c r="IVM1" s="9"/>
      <c r="IVN1" s="9"/>
      <c r="IVO1" s="9"/>
      <c r="IVP1" s="9"/>
      <c r="IVQ1" s="9"/>
      <c r="IVR1" s="9"/>
      <c r="IVS1" s="9"/>
      <c r="IVT1" s="9"/>
      <c r="IVU1" s="9"/>
      <c r="IVV1" s="9"/>
      <c r="IVW1" s="9"/>
      <c r="IVX1" s="9"/>
      <c r="IVY1" s="9"/>
      <c r="IVZ1" s="9"/>
      <c r="IWA1" s="9"/>
      <c r="IWB1" s="9"/>
      <c r="IWC1" s="9"/>
      <c r="IWD1" s="9"/>
      <c r="IWE1" s="9"/>
      <c r="IWF1" s="9"/>
      <c r="IWG1" s="9"/>
      <c r="IWH1" s="9"/>
      <c r="IWI1" s="9"/>
      <c r="IWJ1" s="9"/>
      <c r="IWK1" s="9"/>
      <c r="IWL1" s="9"/>
      <c r="IWM1" s="9"/>
      <c r="IWN1" s="9"/>
      <c r="IWO1" s="9"/>
      <c r="IWP1" s="9"/>
      <c r="IWQ1" s="9"/>
      <c r="IWR1" s="9"/>
      <c r="IWS1" s="9"/>
      <c r="IWT1" s="9"/>
      <c r="IWU1" s="9"/>
      <c r="IWV1" s="9"/>
      <c r="IWW1" s="9"/>
      <c r="IWX1" s="9"/>
      <c r="IWY1" s="9"/>
      <c r="IWZ1" s="9"/>
      <c r="IXA1" s="9"/>
      <c r="IXB1" s="9"/>
      <c r="IXC1" s="9"/>
      <c r="IXD1" s="9"/>
      <c r="IXE1" s="9"/>
      <c r="IXF1" s="9"/>
      <c r="IXG1" s="9"/>
      <c r="IXH1" s="9"/>
      <c r="IXI1" s="9"/>
      <c r="IXJ1" s="9"/>
      <c r="IXK1" s="9"/>
      <c r="IXL1" s="9"/>
      <c r="IXM1" s="9"/>
      <c r="IXN1" s="9"/>
      <c r="IXO1" s="9"/>
      <c r="IXP1" s="9"/>
      <c r="IXQ1" s="9"/>
      <c r="IXR1" s="9"/>
      <c r="IXS1" s="9"/>
      <c r="IXT1" s="9"/>
      <c r="IXU1" s="9"/>
      <c r="IXV1" s="9"/>
      <c r="IXW1" s="9"/>
      <c r="IXX1" s="9"/>
      <c r="IXY1" s="9"/>
      <c r="IXZ1" s="9"/>
      <c r="IYA1" s="9"/>
      <c r="IYB1" s="9"/>
      <c r="IYC1" s="9"/>
      <c r="IYD1" s="9"/>
      <c r="IYE1" s="9"/>
      <c r="IYF1" s="9"/>
      <c r="IYG1" s="9"/>
      <c r="IYH1" s="9"/>
      <c r="IYI1" s="9"/>
      <c r="IYJ1" s="9"/>
      <c r="IYK1" s="9"/>
      <c r="IYL1" s="9"/>
      <c r="IYM1" s="9"/>
      <c r="IYN1" s="9"/>
      <c r="IYO1" s="9"/>
      <c r="IYP1" s="9"/>
      <c r="IYQ1" s="9"/>
      <c r="IYR1" s="9"/>
      <c r="IYS1" s="9"/>
      <c r="IYT1" s="9"/>
      <c r="IYU1" s="9"/>
      <c r="IYV1" s="9"/>
      <c r="IYW1" s="9"/>
      <c r="IYX1" s="9"/>
      <c r="IYY1" s="9"/>
      <c r="IYZ1" s="9"/>
      <c r="IZA1" s="9"/>
      <c r="IZB1" s="9"/>
      <c r="IZC1" s="9"/>
      <c r="IZD1" s="9"/>
      <c r="IZE1" s="9"/>
      <c r="IZF1" s="9"/>
      <c r="IZG1" s="9"/>
      <c r="IZH1" s="9"/>
      <c r="IZI1" s="9"/>
      <c r="IZJ1" s="9"/>
      <c r="IZK1" s="9"/>
      <c r="IZL1" s="9"/>
      <c r="IZM1" s="9"/>
      <c r="IZN1" s="9"/>
      <c r="IZO1" s="9"/>
      <c r="IZP1" s="9"/>
      <c r="IZQ1" s="9"/>
      <c r="IZR1" s="9"/>
      <c r="IZS1" s="9"/>
      <c r="IZT1" s="9"/>
      <c r="IZU1" s="9"/>
      <c r="IZV1" s="9"/>
      <c r="IZW1" s="9"/>
      <c r="IZX1" s="9"/>
      <c r="IZY1" s="9"/>
      <c r="IZZ1" s="9"/>
      <c r="JAA1" s="9"/>
      <c r="JAB1" s="9"/>
      <c r="JAC1" s="9"/>
      <c r="JAD1" s="9"/>
      <c r="JAE1" s="9"/>
      <c r="JAF1" s="9"/>
      <c r="JAG1" s="9"/>
      <c r="JAH1" s="9"/>
      <c r="JAI1" s="9"/>
      <c r="JAJ1" s="9"/>
      <c r="JAK1" s="9"/>
      <c r="JAL1" s="9"/>
      <c r="JAM1" s="9"/>
      <c r="JAN1" s="9"/>
      <c r="JAO1" s="9"/>
      <c r="JAP1" s="9"/>
      <c r="JAQ1" s="9"/>
      <c r="JAR1" s="9"/>
      <c r="JAS1" s="9"/>
      <c r="JAT1" s="9"/>
      <c r="JAU1" s="9"/>
      <c r="JAV1" s="9"/>
      <c r="JAW1" s="9"/>
      <c r="JAX1" s="9"/>
      <c r="JAY1" s="9"/>
      <c r="JAZ1" s="9"/>
      <c r="JBA1" s="9"/>
      <c r="JBB1" s="9"/>
      <c r="JBC1" s="9"/>
      <c r="JBD1" s="9"/>
      <c r="JBE1" s="9"/>
      <c r="JBF1" s="9"/>
      <c r="JBG1" s="9"/>
      <c r="JBH1" s="9"/>
      <c r="JBI1" s="9"/>
      <c r="JBJ1" s="9"/>
      <c r="JBK1" s="9"/>
      <c r="JBL1" s="9"/>
      <c r="JBM1" s="9"/>
      <c r="JBN1" s="9"/>
      <c r="JBO1" s="9"/>
      <c r="JBP1" s="9"/>
      <c r="JBQ1" s="9"/>
      <c r="JBR1" s="9"/>
      <c r="JBS1" s="9"/>
      <c r="JBT1" s="9"/>
      <c r="JBU1" s="9"/>
      <c r="JBV1" s="9"/>
      <c r="JBW1" s="9"/>
      <c r="JBX1" s="9"/>
      <c r="JBY1" s="9"/>
      <c r="JBZ1" s="9"/>
      <c r="JCA1" s="9"/>
      <c r="JCB1" s="9"/>
      <c r="JCC1" s="9"/>
      <c r="JCD1" s="9"/>
      <c r="JCE1" s="9"/>
      <c r="JCF1" s="9"/>
      <c r="JCG1" s="9"/>
      <c r="JCH1" s="9"/>
      <c r="JCI1" s="9"/>
      <c r="JCJ1" s="9"/>
      <c r="JCK1" s="9"/>
      <c r="JCL1" s="9"/>
      <c r="JCM1" s="9"/>
      <c r="JCN1" s="9"/>
      <c r="JCO1" s="9"/>
      <c r="JCP1" s="9"/>
      <c r="JCQ1" s="9"/>
      <c r="JCR1" s="9"/>
      <c r="JCS1" s="9"/>
      <c r="JCT1" s="9"/>
      <c r="JCU1" s="9"/>
      <c r="JCV1" s="9"/>
      <c r="JCW1" s="9"/>
      <c r="JCX1" s="9"/>
      <c r="JCY1" s="9"/>
      <c r="JCZ1" s="9"/>
      <c r="JDA1" s="9"/>
      <c r="JDB1" s="9"/>
      <c r="JDC1" s="9"/>
      <c r="JDD1" s="9"/>
      <c r="JDE1" s="9"/>
      <c r="JDF1" s="9"/>
      <c r="JDG1" s="9"/>
      <c r="JDH1" s="9"/>
      <c r="JDI1" s="9"/>
      <c r="JDJ1" s="9"/>
      <c r="JDK1" s="9"/>
      <c r="JDL1" s="9"/>
      <c r="JDM1" s="9"/>
      <c r="JDN1" s="9"/>
      <c r="JDO1" s="9"/>
      <c r="JDP1" s="9"/>
      <c r="JDQ1" s="9"/>
      <c r="JDR1" s="9"/>
      <c r="JDS1" s="9"/>
      <c r="JDT1" s="9"/>
      <c r="JDU1" s="9"/>
      <c r="JDV1" s="9"/>
      <c r="JDW1" s="9"/>
      <c r="JDX1" s="9"/>
      <c r="JDY1" s="9"/>
      <c r="JDZ1" s="9"/>
      <c r="JEA1" s="9"/>
      <c r="JEB1" s="9"/>
      <c r="JEC1" s="9"/>
      <c r="JED1" s="9"/>
      <c r="JEE1" s="9"/>
      <c r="JEF1" s="9"/>
      <c r="JEG1" s="9"/>
      <c r="JEH1" s="9"/>
      <c r="JEI1" s="9"/>
      <c r="JEJ1" s="9"/>
      <c r="JEK1" s="9"/>
      <c r="JEL1" s="9"/>
      <c r="JEM1" s="9"/>
      <c r="JEN1" s="9"/>
      <c r="JEO1" s="9"/>
      <c r="JEP1" s="9"/>
      <c r="JEQ1" s="9"/>
      <c r="JER1" s="9"/>
      <c r="JES1" s="9"/>
      <c r="JET1" s="9"/>
      <c r="JEU1" s="9"/>
      <c r="JEV1" s="9"/>
      <c r="JEW1" s="9"/>
      <c r="JEX1" s="9"/>
      <c r="JEY1" s="9"/>
      <c r="JEZ1" s="9"/>
      <c r="JFA1" s="9"/>
      <c r="JFB1" s="9"/>
      <c r="JFC1" s="9"/>
      <c r="JFD1" s="9"/>
      <c r="JFE1" s="9"/>
      <c r="JFF1" s="9"/>
      <c r="JFG1" s="9"/>
      <c r="JFH1" s="9"/>
      <c r="JFI1" s="9"/>
      <c r="JFJ1" s="9"/>
      <c r="JFK1" s="9"/>
      <c r="JFL1" s="9"/>
      <c r="JFM1" s="9"/>
      <c r="JFN1" s="9"/>
      <c r="JFO1" s="9"/>
      <c r="JFP1" s="9"/>
      <c r="JFQ1" s="9"/>
      <c r="JFR1" s="9"/>
      <c r="JFS1" s="9"/>
      <c r="JFT1" s="9"/>
      <c r="JFU1" s="9"/>
      <c r="JFV1" s="9"/>
      <c r="JFW1" s="9"/>
      <c r="JFX1" s="9"/>
      <c r="JFY1" s="9"/>
      <c r="JFZ1" s="9"/>
      <c r="JGA1" s="9"/>
      <c r="JGB1" s="9"/>
      <c r="JGC1" s="9"/>
      <c r="JGD1" s="9"/>
      <c r="JGE1" s="9"/>
      <c r="JGF1" s="9"/>
      <c r="JGG1" s="9"/>
      <c r="JGH1" s="9"/>
      <c r="JGI1" s="9"/>
      <c r="JGJ1" s="9"/>
      <c r="JGK1" s="9"/>
      <c r="JGL1" s="9"/>
      <c r="JGM1" s="9"/>
      <c r="JGN1" s="9"/>
      <c r="JGO1" s="9"/>
      <c r="JGP1" s="9"/>
      <c r="JGQ1" s="9"/>
      <c r="JGR1" s="9"/>
      <c r="JGS1" s="9"/>
      <c r="JGT1" s="9"/>
      <c r="JGU1" s="9"/>
      <c r="JGV1" s="9"/>
      <c r="JGW1" s="9"/>
      <c r="JGX1" s="9"/>
      <c r="JGY1" s="9"/>
      <c r="JGZ1" s="9"/>
      <c r="JHA1" s="9"/>
      <c r="JHB1" s="9"/>
      <c r="JHC1" s="9"/>
      <c r="JHD1" s="9"/>
      <c r="JHE1" s="9"/>
      <c r="JHF1" s="9"/>
      <c r="JHG1" s="9"/>
      <c r="JHH1" s="9"/>
      <c r="JHI1" s="9"/>
      <c r="JHJ1" s="9"/>
      <c r="JHK1" s="9"/>
      <c r="JHL1" s="9"/>
      <c r="JHM1" s="9"/>
      <c r="JHN1" s="9"/>
      <c r="JHO1" s="9"/>
      <c r="JHP1" s="9"/>
      <c r="JHQ1" s="9"/>
      <c r="JHR1" s="9"/>
      <c r="JHS1" s="9"/>
      <c r="JHT1" s="9"/>
      <c r="JHU1" s="9"/>
      <c r="JHV1" s="9"/>
      <c r="JHW1" s="9"/>
      <c r="JHX1" s="9"/>
      <c r="JHY1" s="9"/>
      <c r="JHZ1" s="9"/>
      <c r="JIA1" s="9"/>
      <c r="JIB1" s="9"/>
      <c r="JIC1" s="9"/>
      <c r="JID1" s="9"/>
      <c r="JIE1" s="9"/>
      <c r="JIF1" s="9"/>
      <c r="JIG1" s="9"/>
      <c r="JIH1" s="9"/>
      <c r="JII1" s="9"/>
      <c r="JIJ1" s="9"/>
      <c r="JIK1" s="9"/>
      <c r="JIL1" s="9"/>
      <c r="JIM1" s="9"/>
      <c r="JIN1" s="9"/>
      <c r="JIO1" s="9"/>
      <c r="JIP1" s="9"/>
      <c r="JIQ1" s="9"/>
      <c r="JIR1" s="9"/>
      <c r="JIS1" s="9"/>
      <c r="JIT1" s="9"/>
      <c r="JIU1" s="9"/>
      <c r="JIV1" s="9"/>
      <c r="JIW1" s="9"/>
      <c r="JIX1" s="9"/>
      <c r="JIY1" s="9"/>
      <c r="JIZ1" s="9"/>
      <c r="JJA1" s="9"/>
      <c r="JJB1" s="9"/>
      <c r="JJC1" s="9"/>
      <c r="JJD1" s="9"/>
      <c r="JJE1" s="9"/>
      <c r="JJF1" s="9"/>
      <c r="JJG1" s="9"/>
      <c r="JJH1" s="9"/>
      <c r="JJI1" s="9"/>
      <c r="JJJ1" s="9"/>
      <c r="JJK1" s="9"/>
      <c r="JJL1" s="9"/>
      <c r="JJM1" s="9"/>
      <c r="JJN1" s="9"/>
      <c r="JJO1" s="9"/>
      <c r="JJP1" s="9"/>
      <c r="JJQ1" s="9"/>
      <c r="JJR1" s="9"/>
      <c r="JJS1" s="9"/>
      <c r="JJT1" s="9"/>
      <c r="JJU1" s="9"/>
      <c r="JJV1" s="9"/>
      <c r="JJW1" s="9"/>
      <c r="JJX1" s="9"/>
      <c r="JJY1" s="9"/>
      <c r="JJZ1" s="9"/>
      <c r="JKA1" s="9"/>
      <c r="JKB1" s="9"/>
      <c r="JKC1" s="9"/>
      <c r="JKD1" s="9"/>
      <c r="JKE1" s="9"/>
      <c r="JKF1" s="9"/>
      <c r="JKG1" s="9"/>
      <c r="JKH1" s="9"/>
      <c r="JKI1" s="9"/>
      <c r="JKJ1" s="9"/>
      <c r="JKK1" s="9"/>
      <c r="JKL1" s="9"/>
      <c r="JKM1" s="9"/>
      <c r="JKN1" s="9"/>
      <c r="JKO1" s="9"/>
      <c r="JKP1" s="9"/>
      <c r="JKQ1" s="9"/>
      <c r="JKR1" s="9"/>
      <c r="JKS1" s="9"/>
      <c r="JKT1" s="9"/>
      <c r="JKU1" s="9"/>
      <c r="JKV1" s="9"/>
      <c r="JKW1" s="9"/>
      <c r="JKX1" s="9"/>
      <c r="JKY1" s="9"/>
      <c r="JKZ1" s="9"/>
      <c r="JLA1" s="9"/>
      <c r="JLB1" s="9"/>
      <c r="JLC1" s="9"/>
      <c r="JLD1" s="9"/>
      <c r="JLE1" s="9"/>
      <c r="JLF1" s="9"/>
      <c r="JLG1" s="9"/>
      <c r="JLH1" s="9"/>
      <c r="JLI1" s="9"/>
      <c r="JLJ1" s="9"/>
      <c r="JLK1" s="9"/>
      <c r="JLL1" s="9"/>
      <c r="JLM1" s="9"/>
      <c r="JLN1" s="9"/>
      <c r="JLO1" s="9"/>
      <c r="JLP1" s="9"/>
      <c r="JLQ1" s="9"/>
      <c r="JLR1" s="9"/>
      <c r="JLS1" s="9"/>
      <c r="JLT1" s="9"/>
      <c r="JLU1" s="9"/>
      <c r="JLV1" s="9"/>
      <c r="JLW1" s="9"/>
      <c r="JLX1" s="9"/>
      <c r="JLY1" s="9"/>
      <c r="JLZ1" s="9"/>
      <c r="JMA1" s="9"/>
      <c r="JMB1" s="9"/>
      <c r="JMC1" s="9"/>
      <c r="JMD1" s="9"/>
      <c r="JME1" s="9"/>
      <c r="JMF1" s="9"/>
      <c r="JMG1" s="9"/>
      <c r="JMH1" s="9"/>
      <c r="JMI1" s="9"/>
      <c r="JMJ1" s="9"/>
      <c r="JMK1" s="9"/>
      <c r="JML1" s="9"/>
      <c r="JMM1" s="9"/>
      <c r="JMN1" s="9"/>
      <c r="JMO1" s="9"/>
      <c r="JMP1" s="9"/>
      <c r="JMQ1" s="9"/>
      <c r="JMR1" s="9"/>
      <c r="JMS1" s="9"/>
      <c r="JMT1" s="9"/>
      <c r="JMU1" s="9"/>
      <c r="JMV1" s="9"/>
      <c r="JMW1" s="9"/>
      <c r="JMX1" s="9"/>
      <c r="JMY1" s="9"/>
      <c r="JMZ1" s="9"/>
      <c r="JNA1" s="9"/>
      <c r="JNB1" s="9"/>
      <c r="JNC1" s="9"/>
      <c r="JND1" s="9"/>
      <c r="JNE1" s="9"/>
      <c r="JNF1" s="9"/>
      <c r="JNG1" s="9"/>
      <c r="JNH1" s="9"/>
      <c r="JNI1" s="9"/>
      <c r="JNJ1" s="9"/>
      <c r="JNK1" s="9"/>
      <c r="JNL1" s="9"/>
      <c r="JNM1" s="9"/>
      <c r="JNN1" s="9"/>
      <c r="JNO1" s="9"/>
      <c r="JNP1" s="9"/>
      <c r="JNQ1" s="9"/>
      <c r="JNR1" s="9"/>
      <c r="JNS1" s="9"/>
      <c r="JNT1" s="9"/>
      <c r="JNU1" s="9"/>
      <c r="JNV1" s="9"/>
      <c r="JNW1" s="9"/>
      <c r="JNX1" s="9"/>
      <c r="JNY1" s="9"/>
      <c r="JNZ1" s="9"/>
      <c r="JOA1" s="9"/>
      <c r="JOB1" s="9"/>
      <c r="JOC1" s="9"/>
      <c r="JOD1" s="9"/>
      <c r="JOE1" s="9"/>
      <c r="JOF1" s="9"/>
      <c r="JOG1" s="9"/>
      <c r="JOH1" s="9"/>
      <c r="JOI1" s="9"/>
      <c r="JOJ1" s="9"/>
      <c r="JOK1" s="9"/>
      <c r="JOL1" s="9"/>
      <c r="JOM1" s="9"/>
      <c r="JON1" s="9"/>
      <c r="JOO1" s="9"/>
      <c r="JOP1" s="9"/>
      <c r="JOQ1" s="9"/>
      <c r="JOR1" s="9"/>
      <c r="JOS1" s="9"/>
      <c r="JOT1" s="9"/>
      <c r="JOU1" s="9"/>
      <c r="JOV1" s="9"/>
      <c r="JOW1" s="9"/>
      <c r="JOX1" s="9"/>
      <c r="JOY1" s="9"/>
      <c r="JOZ1" s="9"/>
      <c r="JPA1" s="9"/>
      <c r="JPB1" s="9"/>
      <c r="JPC1" s="9"/>
      <c r="JPD1" s="9"/>
      <c r="JPE1" s="9"/>
      <c r="JPF1" s="9"/>
      <c r="JPG1" s="9"/>
      <c r="JPH1" s="9"/>
      <c r="JPI1" s="9"/>
      <c r="JPJ1" s="9"/>
      <c r="JPK1" s="9"/>
      <c r="JPL1" s="9"/>
      <c r="JPM1" s="9"/>
      <c r="JPN1" s="9"/>
      <c r="JPO1" s="9"/>
      <c r="JPP1" s="9"/>
      <c r="JPQ1" s="9"/>
      <c r="JPR1" s="9"/>
      <c r="JPS1" s="9"/>
      <c r="JPT1" s="9"/>
      <c r="JPU1" s="9"/>
      <c r="JPV1" s="9"/>
      <c r="JPW1" s="9"/>
      <c r="JPX1" s="9"/>
      <c r="JPY1" s="9"/>
      <c r="JPZ1" s="9"/>
      <c r="JQA1" s="9"/>
      <c r="JQB1" s="9"/>
      <c r="JQC1" s="9"/>
      <c r="JQD1" s="9"/>
      <c r="JQE1" s="9"/>
      <c r="JQF1" s="9"/>
      <c r="JQG1" s="9"/>
      <c r="JQH1" s="9"/>
      <c r="JQI1" s="9"/>
      <c r="JQJ1" s="9"/>
      <c r="JQK1" s="9"/>
      <c r="JQL1" s="9"/>
      <c r="JQM1" s="9"/>
      <c r="JQN1" s="9"/>
      <c r="JQO1" s="9"/>
      <c r="JQP1" s="9"/>
      <c r="JQQ1" s="9"/>
      <c r="JQR1" s="9"/>
      <c r="JQS1" s="9"/>
      <c r="JQT1" s="9"/>
      <c r="JQU1" s="9"/>
      <c r="JQV1" s="9"/>
      <c r="JQW1" s="9"/>
      <c r="JQX1" s="9"/>
      <c r="JQY1" s="9"/>
      <c r="JQZ1" s="9"/>
      <c r="JRA1" s="9"/>
      <c r="JRB1" s="9"/>
      <c r="JRC1" s="9"/>
      <c r="JRD1" s="9"/>
      <c r="JRE1" s="9"/>
      <c r="JRF1" s="9"/>
      <c r="JRG1" s="9"/>
      <c r="JRH1" s="9"/>
      <c r="JRI1" s="9"/>
      <c r="JRJ1" s="9"/>
      <c r="JRK1" s="9"/>
      <c r="JRL1" s="9"/>
      <c r="JRM1" s="9"/>
      <c r="JRN1" s="9"/>
      <c r="JRO1" s="9"/>
      <c r="JRP1" s="9"/>
      <c r="JRQ1" s="9"/>
      <c r="JRR1" s="9"/>
      <c r="JRS1" s="9"/>
      <c r="JRT1" s="9"/>
      <c r="JRU1" s="9"/>
      <c r="JRV1" s="9"/>
      <c r="JRW1" s="9"/>
      <c r="JRX1" s="9"/>
      <c r="JRY1" s="9"/>
      <c r="JRZ1" s="9"/>
      <c r="JSA1" s="9"/>
      <c r="JSB1" s="9"/>
      <c r="JSC1" s="9"/>
      <c r="JSD1" s="9"/>
      <c r="JSE1" s="9"/>
      <c r="JSF1" s="9"/>
      <c r="JSG1" s="9"/>
      <c r="JSH1" s="9"/>
      <c r="JSI1" s="9"/>
      <c r="JSJ1" s="9"/>
      <c r="JSK1" s="9"/>
      <c r="JSL1" s="9"/>
      <c r="JSM1" s="9"/>
      <c r="JSN1" s="9"/>
      <c r="JSO1" s="9"/>
      <c r="JSP1" s="9"/>
      <c r="JSQ1" s="9"/>
      <c r="JSR1" s="9"/>
      <c r="JSS1" s="9"/>
      <c r="JST1" s="9"/>
      <c r="JSU1" s="9"/>
      <c r="JSV1" s="9"/>
      <c r="JSW1" s="9"/>
      <c r="JSX1" s="9"/>
      <c r="JSY1" s="9"/>
      <c r="JSZ1" s="9"/>
      <c r="JTA1" s="9"/>
      <c r="JTB1" s="9"/>
      <c r="JTC1" s="9"/>
      <c r="JTD1" s="9"/>
      <c r="JTE1" s="9"/>
      <c r="JTF1" s="9"/>
      <c r="JTG1" s="9"/>
      <c r="JTH1" s="9"/>
      <c r="JTI1" s="9"/>
      <c r="JTJ1" s="9"/>
      <c r="JTK1" s="9"/>
      <c r="JTL1" s="9"/>
      <c r="JTM1" s="9"/>
      <c r="JTN1" s="9"/>
      <c r="JTO1" s="9"/>
      <c r="JTP1" s="9"/>
      <c r="JTQ1" s="9"/>
      <c r="JTR1" s="9"/>
      <c r="JTS1" s="9"/>
      <c r="JTT1" s="9"/>
      <c r="JTU1" s="9"/>
      <c r="JTV1" s="9"/>
      <c r="JTW1" s="9"/>
      <c r="JTX1" s="9"/>
      <c r="JTY1" s="9"/>
      <c r="JTZ1" s="9"/>
      <c r="JUA1" s="9"/>
      <c r="JUB1" s="9"/>
      <c r="JUC1" s="9"/>
      <c r="JUD1" s="9"/>
      <c r="JUE1" s="9"/>
      <c r="JUF1" s="9"/>
      <c r="JUG1" s="9"/>
      <c r="JUH1" s="9"/>
      <c r="JUI1" s="9"/>
      <c r="JUJ1" s="9"/>
      <c r="JUK1" s="9"/>
      <c r="JUL1" s="9"/>
      <c r="JUM1" s="9"/>
      <c r="JUN1" s="9"/>
      <c r="JUO1" s="9"/>
      <c r="JUP1" s="9"/>
      <c r="JUQ1" s="9"/>
      <c r="JUR1" s="9"/>
      <c r="JUS1" s="9"/>
      <c r="JUT1" s="9"/>
      <c r="JUU1" s="9"/>
      <c r="JUV1" s="9"/>
      <c r="JUW1" s="9"/>
      <c r="JUX1" s="9"/>
      <c r="JUY1" s="9"/>
      <c r="JUZ1" s="9"/>
      <c r="JVA1" s="9"/>
      <c r="JVB1" s="9"/>
      <c r="JVC1" s="9"/>
      <c r="JVD1" s="9"/>
      <c r="JVE1" s="9"/>
      <c r="JVF1" s="9"/>
      <c r="JVG1" s="9"/>
      <c r="JVH1" s="9"/>
      <c r="JVI1" s="9"/>
      <c r="JVJ1" s="9"/>
      <c r="JVK1" s="9"/>
      <c r="JVL1" s="9"/>
      <c r="JVM1" s="9"/>
      <c r="JVN1" s="9"/>
      <c r="JVO1" s="9"/>
      <c r="JVP1" s="9"/>
      <c r="JVQ1" s="9"/>
      <c r="JVR1" s="9"/>
      <c r="JVS1" s="9"/>
      <c r="JVT1" s="9"/>
      <c r="JVU1" s="9"/>
      <c r="JVV1" s="9"/>
      <c r="JVW1" s="9"/>
      <c r="JVX1" s="9"/>
      <c r="JVY1" s="9"/>
      <c r="JVZ1" s="9"/>
      <c r="JWA1" s="9"/>
      <c r="JWB1" s="9"/>
      <c r="JWC1" s="9"/>
      <c r="JWD1" s="9"/>
      <c r="JWE1" s="9"/>
      <c r="JWF1" s="9"/>
      <c r="JWG1" s="9"/>
      <c r="JWH1" s="9"/>
      <c r="JWI1" s="9"/>
      <c r="JWJ1" s="9"/>
      <c r="JWK1" s="9"/>
      <c r="JWL1" s="9"/>
      <c r="JWM1" s="9"/>
      <c r="JWN1" s="9"/>
      <c r="JWO1" s="9"/>
      <c r="JWP1" s="9"/>
      <c r="JWQ1" s="9"/>
      <c r="JWR1" s="9"/>
      <c r="JWS1" s="9"/>
      <c r="JWT1" s="9"/>
      <c r="JWU1" s="9"/>
      <c r="JWV1" s="9"/>
      <c r="JWW1" s="9"/>
      <c r="JWX1" s="9"/>
      <c r="JWY1" s="9"/>
      <c r="JWZ1" s="9"/>
      <c r="JXA1" s="9"/>
      <c r="JXB1" s="9"/>
      <c r="JXC1" s="9"/>
      <c r="JXD1" s="9"/>
      <c r="JXE1" s="9"/>
      <c r="JXF1" s="9"/>
      <c r="JXG1" s="9"/>
      <c r="JXH1" s="9"/>
      <c r="JXI1" s="9"/>
      <c r="JXJ1" s="9"/>
      <c r="JXK1" s="9"/>
      <c r="JXL1" s="9"/>
      <c r="JXM1" s="9"/>
      <c r="JXN1" s="9"/>
      <c r="JXO1" s="9"/>
      <c r="JXP1" s="9"/>
      <c r="JXQ1" s="9"/>
      <c r="JXR1" s="9"/>
      <c r="JXS1" s="9"/>
      <c r="JXT1" s="9"/>
      <c r="JXU1" s="9"/>
      <c r="JXV1" s="9"/>
      <c r="JXW1" s="9"/>
      <c r="JXX1" s="9"/>
      <c r="JXY1" s="9"/>
      <c r="JXZ1" s="9"/>
      <c r="JYA1" s="9"/>
      <c r="JYB1" s="9"/>
      <c r="JYC1" s="9"/>
      <c r="JYD1" s="9"/>
      <c r="JYE1" s="9"/>
      <c r="JYF1" s="9"/>
      <c r="JYG1" s="9"/>
      <c r="JYH1" s="9"/>
      <c r="JYI1" s="9"/>
      <c r="JYJ1" s="9"/>
      <c r="JYK1" s="9"/>
      <c r="JYL1" s="9"/>
      <c r="JYM1" s="9"/>
      <c r="JYN1" s="9"/>
      <c r="JYO1" s="9"/>
      <c r="JYP1" s="9"/>
      <c r="JYQ1" s="9"/>
      <c r="JYR1" s="9"/>
      <c r="JYS1" s="9"/>
      <c r="JYT1" s="9"/>
      <c r="JYU1" s="9"/>
      <c r="JYV1" s="9"/>
      <c r="JYW1" s="9"/>
      <c r="JYX1" s="9"/>
      <c r="JYY1" s="9"/>
      <c r="JYZ1" s="9"/>
      <c r="JZA1" s="9"/>
      <c r="JZB1" s="9"/>
      <c r="JZC1" s="9"/>
      <c r="JZD1" s="9"/>
      <c r="JZE1" s="9"/>
      <c r="JZF1" s="9"/>
      <c r="JZG1" s="9"/>
      <c r="JZH1" s="9"/>
      <c r="JZI1" s="9"/>
      <c r="JZJ1" s="9"/>
      <c r="JZK1" s="9"/>
      <c r="JZL1" s="9"/>
      <c r="JZM1" s="9"/>
      <c r="JZN1" s="9"/>
      <c r="JZO1" s="9"/>
      <c r="JZP1" s="9"/>
      <c r="JZQ1" s="9"/>
      <c r="JZR1" s="9"/>
      <c r="JZS1" s="9"/>
      <c r="JZT1" s="9"/>
      <c r="JZU1" s="9"/>
      <c r="JZV1" s="9"/>
      <c r="JZW1" s="9"/>
      <c r="JZX1" s="9"/>
      <c r="JZY1" s="9"/>
      <c r="JZZ1" s="9"/>
      <c r="KAA1" s="9"/>
      <c r="KAB1" s="9"/>
      <c r="KAC1" s="9"/>
      <c r="KAD1" s="9"/>
      <c r="KAE1" s="9"/>
      <c r="KAF1" s="9"/>
      <c r="KAG1" s="9"/>
      <c r="KAH1" s="9"/>
      <c r="KAI1" s="9"/>
      <c r="KAJ1" s="9"/>
      <c r="KAK1" s="9"/>
      <c r="KAL1" s="9"/>
      <c r="KAM1" s="9"/>
      <c r="KAN1" s="9"/>
      <c r="KAO1" s="9"/>
      <c r="KAP1" s="9"/>
      <c r="KAQ1" s="9"/>
      <c r="KAR1" s="9"/>
      <c r="KAS1" s="9"/>
      <c r="KAT1" s="9"/>
      <c r="KAU1" s="9"/>
      <c r="KAV1" s="9"/>
      <c r="KAW1" s="9"/>
      <c r="KAX1" s="9"/>
      <c r="KAY1" s="9"/>
      <c r="KAZ1" s="9"/>
      <c r="KBA1" s="9"/>
      <c r="KBB1" s="9"/>
      <c r="KBC1" s="9"/>
      <c r="KBD1" s="9"/>
      <c r="KBE1" s="9"/>
      <c r="KBF1" s="9"/>
      <c r="KBG1" s="9"/>
      <c r="KBH1" s="9"/>
      <c r="KBI1" s="9"/>
      <c r="KBJ1" s="9"/>
      <c r="KBK1" s="9"/>
      <c r="KBL1" s="9"/>
      <c r="KBM1" s="9"/>
      <c r="KBN1" s="9"/>
      <c r="KBO1" s="9"/>
      <c r="KBP1" s="9"/>
      <c r="KBQ1" s="9"/>
      <c r="KBR1" s="9"/>
      <c r="KBS1" s="9"/>
      <c r="KBT1" s="9"/>
      <c r="KBU1" s="9"/>
      <c r="KBV1" s="9"/>
      <c r="KBW1" s="9"/>
      <c r="KBX1" s="9"/>
      <c r="KBY1" s="9"/>
      <c r="KBZ1" s="9"/>
      <c r="KCA1" s="9"/>
      <c r="KCB1" s="9"/>
      <c r="KCC1" s="9"/>
      <c r="KCD1" s="9"/>
      <c r="KCE1" s="9"/>
      <c r="KCF1" s="9"/>
      <c r="KCG1" s="9"/>
      <c r="KCH1" s="9"/>
      <c r="KCI1" s="9"/>
      <c r="KCJ1" s="9"/>
      <c r="KCK1" s="9"/>
      <c r="KCL1" s="9"/>
      <c r="KCM1" s="9"/>
      <c r="KCN1" s="9"/>
      <c r="KCO1" s="9"/>
      <c r="KCP1" s="9"/>
      <c r="KCQ1" s="9"/>
      <c r="KCR1" s="9"/>
      <c r="KCS1" s="9"/>
      <c r="KCT1" s="9"/>
      <c r="KCU1" s="9"/>
      <c r="KCV1" s="9"/>
      <c r="KCW1" s="9"/>
      <c r="KCX1" s="9"/>
      <c r="KCY1" s="9"/>
      <c r="KCZ1" s="9"/>
      <c r="KDA1" s="9"/>
      <c r="KDB1" s="9"/>
      <c r="KDC1" s="9"/>
      <c r="KDD1" s="9"/>
      <c r="KDE1" s="9"/>
      <c r="KDF1" s="9"/>
      <c r="KDG1" s="9"/>
      <c r="KDH1" s="9"/>
      <c r="KDI1" s="9"/>
      <c r="KDJ1" s="9"/>
      <c r="KDK1" s="9"/>
      <c r="KDL1" s="9"/>
      <c r="KDM1" s="9"/>
      <c r="KDN1" s="9"/>
      <c r="KDO1" s="9"/>
      <c r="KDP1" s="9"/>
      <c r="KDQ1" s="9"/>
      <c r="KDR1" s="9"/>
      <c r="KDS1" s="9"/>
      <c r="KDT1" s="9"/>
      <c r="KDU1" s="9"/>
      <c r="KDV1" s="9"/>
      <c r="KDW1" s="9"/>
      <c r="KDX1" s="9"/>
      <c r="KDY1" s="9"/>
      <c r="KDZ1" s="9"/>
      <c r="KEA1" s="9"/>
      <c r="KEB1" s="9"/>
      <c r="KEC1" s="9"/>
      <c r="KED1" s="9"/>
      <c r="KEE1" s="9"/>
      <c r="KEF1" s="9"/>
      <c r="KEG1" s="9"/>
      <c r="KEH1" s="9"/>
      <c r="KEI1" s="9"/>
      <c r="KEJ1" s="9"/>
      <c r="KEK1" s="9"/>
      <c r="KEL1" s="9"/>
      <c r="KEM1" s="9"/>
      <c r="KEN1" s="9"/>
      <c r="KEO1" s="9"/>
      <c r="KEP1" s="9"/>
      <c r="KEQ1" s="9"/>
      <c r="KER1" s="9"/>
      <c r="KES1" s="9"/>
      <c r="KET1" s="9"/>
      <c r="KEU1" s="9"/>
      <c r="KEV1" s="9"/>
      <c r="KEW1" s="9"/>
      <c r="KEX1" s="9"/>
      <c r="KEY1" s="9"/>
      <c r="KEZ1" s="9"/>
      <c r="KFA1" s="9"/>
      <c r="KFB1" s="9"/>
      <c r="KFC1" s="9"/>
      <c r="KFD1" s="9"/>
      <c r="KFE1" s="9"/>
      <c r="KFF1" s="9"/>
      <c r="KFG1" s="9"/>
      <c r="KFH1" s="9"/>
      <c r="KFI1" s="9"/>
      <c r="KFJ1" s="9"/>
      <c r="KFK1" s="9"/>
      <c r="KFL1" s="9"/>
      <c r="KFM1" s="9"/>
      <c r="KFN1" s="9"/>
      <c r="KFO1" s="9"/>
      <c r="KFP1" s="9"/>
      <c r="KFQ1" s="9"/>
      <c r="KFR1" s="9"/>
      <c r="KFS1" s="9"/>
      <c r="KFT1" s="9"/>
      <c r="KFU1" s="9"/>
      <c r="KFV1" s="9"/>
      <c r="KFW1" s="9"/>
      <c r="KFX1" s="9"/>
      <c r="KFY1" s="9"/>
      <c r="KFZ1" s="9"/>
      <c r="KGA1" s="9"/>
      <c r="KGB1" s="9"/>
      <c r="KGC1" s="9"/>
      <c r="KGD1" s="9"/>
      <c r="KGE1" s="9"/>
      <c r="KGF1" s="9"/>
      <c r="KGG1" s="9"/>
      <c r="KGH1" s="9"/>
      <c r="KGI1" s="9"/>
      <c r="KGJ1" s="9"/>
      <c r="KGK1" s="9"/>
      <c r="KGL1" s="9"/>
      <c r="KGM1" s="9"/>
      <c r="KGN1" s="9"/>
      <c r="KGO1" s="9"/>
      <c r="KGP1" s="9"/>
      <c r="KGQ1" s="9"/>
      <c r="KGR1" s="9"/>
      <c r="KGS1" s="9"/>
      <c r="KGT1" s="9"/>
      <c r="KGU1" s="9"/>
      <c r="KGV1" s="9"/>
      <c r="KGW1" s="9"/>
      <c r="KGX1" s="9"/>
      <c r="KGY1" s="9"/>
      <c r="KGZ1" s="9"/>
      <c r="KHA1" s="9"/>
      <c r="KHB1" s="9"/>
      <c r="KHC1" s="9"/>
      <c r="KHD1" s="9"/>
      <c r="KHE1" s="9"/>
      <c r="KHF1" s="9"/>
      <c r="KHG1" s="9"/>
      <c r="KHH1" s="9"/>
      <c r="KHI1" s="9"/>
      <c r="KHJ1" s="9"/>
      <c r="KHK1" s="9"/>
      <c r="KHL1" s="9"/>
      <c r="KHM1" s="9"/>
      <c r="KHN1" s="9"/>
      <c r="KHO1" s="9"/>
      <c r="KHP1" s="9"/>
      <c r="KHQ1" s="9"/>
      <c r="KHR1" s="9"/>
      <c r="KHS1" s="9"/>
      <c r="KHT1" s="9"/>
      <c r="KHU1" s="9"/>
      <c r="KHV1" s="9"/>
      <c r="KHW1" s="9"/>
      <c r="KHX1" s="9"/>
      <c r="KHY1" s="9"/>
      <c r="KHZ1" s="9"/>
      <c r="KIA1" s="9"/>
      <c r="KIB1" s="9"/>
      <c r="KIC1" s="9"/>
      <c r="KID1" s="9"/>
      <c r="KIE1" s="9"/>
      <c r="KIF1" s="9"/>
      <c r="KIG1" s="9"/>
      <c r="KIH1" s="9"/>
      <c r="KII1" s="9"/>
      <c r="KIJ1" s="9"/>
      <c r="KIK1" s="9"/>
      <c r="KIL1" s="9"/>
      <c r="KIM1" s="9"/>
      <c r="KIN1" s="9"/>
      <c r="KIO1" s="9"/>
      <c r="KIP1" s="9"/>
      <c r="KIQ1" s="9"/>
      <c r="KIR1" s="9"/>
      <c r="KIS1" s="9"/>
      <c r="KIT1" s="9"/>
      <c r="KIU1" s="9"/>
      <c r="KIV1" s="9"/>
      <c r="KIW1" s="9"/>
      <c r="KIX1" s="9"/>
      <c r="KIY1" s="9"/>
      <c r="KIZ1" s="9"/>
      <c r="KJA1" s="9"/>
      <c r="KJB1" s="9"/>
      <c r="KJC1" s="9"/>
      <c r="KJD1" s="9"/>
      <c r="KJE1" s="9"/>
      <c r="KJF1" s="9"/>
      <c r="KJG1" s="9"/>
      <c r="KJH1" s="9"/>
      <c r="KJI1" s="9"/>
      <c r="KJJ1" s="9"/>
      <c r="KJK1" s="9"/>
      <c r="KJL1" s="9"/>
      <c r="KJM1" s="9"/>
      <c r="KJN1" s="9"/>
      <c r="KJO1" s="9"/>
      <c r="KJP1" s="9"/>
      <c r="KJQ1" s="9"/>
      <c r="KJR1" s="9"/>
      <c r="KJS1" s="9"/>
      <c r="KJT1" s="9"/>
      <c r="KJU1" s="9"/>
      <c r="KJV1" s="9"/>
      <c r="KJW1" s="9"/>
      <c r="KJX1" s="9"/>
      <c r="KJY1" s="9"/>
      <c r="KJZ1" s="9"/>
      <c r="KKA1" s="9"/>
      <c r="KKB1" s="9"/>
      <c r="KKC1" s="9"/>
      <c r="KKD1" s="9"/>
      <c r="KKE1" s="9"/>
      <c r="KKF1" s="9"/>
      <c r="KKG1" s="9"/>
      <c r="KKH1" s="9"/>
      <c r="KKI1" s="9"/>
      <c r="KKJ1" s="9"/>
      <c r="KKK1" s="9"/>
      <c r="KKL1" s="9"/>
      <c r="KKM1" s="9"/>
      <c r="KKN1" s="9"/>
      <c r="KKO1" s="9"/>
      <c r="KKP1" s="9"/>
      <c r="KKQ1" s="9"/>
      <c r="KKR1" s="9"/>
      <c r="KKS1" s="9"/>
      <c r="KKT1" s="9"/>
      <c r="KKU1" s="9"/>
      <c r="KKV1" s="9"/>
      <c r="KKW1" s="9"/>
      <c r="KKX1" s="9"/>
      <c r="KKY1" s="9"/>
      <c r="KKZ1" s="9"/>
      <c r="KLA1" s="9"/>
      <c r="KLB1" s="9"/>
      <c r="KLC1" s="9"/>
      <c r="KLD1" s="9"/>
      <c r="KLE1" s="9"/>
      <c r="KLF1" s="9"/>
      <c r="KLG1" s="9"/>
      <c r="KLH1" s="9"/>
      <c r="KLI1" s="9"/>
      <c r="KLJ1" s="9"/>
      <c r="KLK1" s="9"/>
      <c r="KLL1" s="9"/>
      <c r="KLM1" s="9"/>
      <c r="KLN1" s="9"/>
      <c r="KLO1" s="9"/>
      <c r="KLP1" s="9"/>
      <c r="KLQ1" s="9"/>
      <c r="KLR1" s="9"/>
      <c r="KLS1" s="9"/>
      <c r="KLT1" s="9"/>
      <c r="KLU1" s="9"/>
      <c r="KLV1" s="9"/>
      <c r="KLW1" s="9"/>
      <c r="KLX1" s="9"/>
      <c r="KLY1" s="9"/>
      <c r="KLZ1" s="9"/>
      <c r="KMA1" s="9"/>
      <c r="KMB1" s="9"/>
      <c r="KMC1" s="9"/>
      <c r="KMD1" s="9"/>
      <c r="KME1" s="9"/>
      <c r="KMF1" s="9"/>
      <c r="KMG1" s="9"/>
      <c r="KMH1" s="9"/>
      <c r="KMI1" s="9"/>
      <c r="KMJ1" s="9"/>
      <c r="KMK1" s="9"/>
      <c r="KML1" s="9"/>
      <c r="KMM1" s="9"/>
      <c r="KMN1" s="9"/>
      <c r="KMO1" s="9"/>
      <c r="KMP1" s="9"/>
      <c r="KMQ1" s="9"/>
      <c r="KMR1" s="9"/>
      <c r="KMS1" s="9"/>
      <c r="KMT1" s="9"/>
      <c r="KMU1" s="9"/>
      <c r="KMV1" s="9"/>
      <c r="KMW1" s="9"/>
      <c r="KMX1" s="9"/>
      <c r="KMY1" s="9"/>
      <c r="KMZ1" s="9"/>
      <c r="KNA1" s="9"/>
      <c r="KNB1" s="9"/>
      <c r="KNC1" s="9"/>
      <c r="KND1" s="9"/>
      <c r="KNE1" s="9"/>
      <c r="KNF1" s="9"/>
      <c r="KNG1" s="9"/>
      <c r="KNH1" s="9"/>
      <c r="KNI1" s="9"/>
      <c r="KNJ1" s="9"/>
      <c r="KNK1" s="9"/>
      <c r="KNL1" s="9"/>
      <c r="KNM1" s="9"/>
      <c r="KNN1" s="9"/>
      <c r="KNO1" s="9"/>
      <c r="KNP1" s="9"/>
      <c r="KNQ1" s="9"/>
      <c r="KNR1" s="9"/>
      <c r="KNS1" s="9"/>
      <c r="KNT1" s="9"/>
      <c r="KNU1" s="9"/>
      <c r="KNV1" s="9"/>
      <c r="KNW1" s="9"/>
      <c r="KNX1" s="9"/>
      <c r="KNY1" s="9"/>
      <c r="KNZ1" s="9"/>
      <c r="KOA1" s="9"/>
      <c r="KOB1" s="9"/>
      <c r="KOC1" s="9"/>
      <c r="KOD1" s="9"/>
      <c r="KOE1" s="9"/>
      <c r="KOF1" s="9"/>
      <c r="KOG1" s="9"/>
      <c r="KOH1" s="9"/>
      <c r="KOI1" s="9"/>
      <c r="KOJ1" s="9"/>
      <c r="KOK1" s="9"/>
      <c r="KOL1" s="9"/>
      <c r="KOM1" s="9"/>
      <c r="KON1" s="9"/>
      <c r="KOO1" s="9"/>
      <c r="KOP1" s="9"/>
      <c r="KOQ1" s="9"/>
      <c r="KOR1" s="9"/>
      <c r="KOS1" s="9"/>
      <c r="KOT1" s="9"/>
      <c r="KOU1" s="9"/>
      <c r="KOV1" s="9"/>
      <c r="KOW1" s="9"/>
      <c r="KOX1" s="9"/>
      <c r="KOY1" s="9"/>
      <c r="KOZ1" s="9"/>
      <c r="KPA1" s="9"/>
      <c r="KPB1" s="9"/>
      <c r="KPC1" s="9"/>
      <c r="KPD1" s="9"/>
      <c r="KPE1" s="9"/>
      <c r="KPF1" s="9"/>
      <c r="KPG1" s="9"/>
      <c r="KPH1" s="9"/>
      <c r="KPI1" s="9"/>
      <c r="KPJ1" s="9"/>
      <c r="KPK1" s="9"/>
      <c r="KPL1" s="9"/>
      <c r="KPM1" s="9"/>
      <c r="KPN1" s="9"/>
      <c r="KPO1" s="9"/>
      <c r="KPP1" s="9"/>
      <c r="KPQ1" s="9"/>
      <c r="KPR1" s="9"/>
      <c r="KPS1" s="9"/>
      <c r="KPT1" s="9"/>
      <c r="KPU1" s="9"/>
      <c r="KPV1" s="9"/>
      <c r="KPW1" s="9"/>
      <c r="KPX1" s="9"/>
      <c r="KPY1" s="9"/>
      <c r="KPZ1" s="9"/>
      <c r="KQA1" s="9"/>
      <c r="KQB1" s="9"/>
      <c r="KQC1" s="9"/>
      <c r="KQD1" s="9"/>
      <c r="KQE1" s="9"/>
      <c r="KQF1" s="9"/>
      <c r="KQG1" s="9"/>
      <c r="KQH1" s="9"/>
      <c r="KQI1" s="9"/>
      <c r="KQJ1" s="9"/>
      <c r="KQK1" s="9"/>
      <c r="KQL1" s="9"/>
      <c r="KQM1" s="9"/>
      <c r="KQN1" s="9"/>
      <c r="KQO1" s="9"/>
      <c r="KQP1" s="9"/>
      <c r="KQQ1" s="9"/>
      <c r="KQR1" s="9"/>
      <c r="KQS1" s="9"/>
      <c r="KQT1" s="9"/>
      <c r="KQU1" s="9"/>
      <c r="KQV1" s="9"/>
      <c r="KQW1" s="9"/>
      <c r="KQX1" s="9"/>
      <c r="KQY1" s="9"/>
      <c r="KQZ1" s="9"/>
      <c r="KRA1" s="9"/>
      <c r="KRB1" s="9"/>
      <c r="KRC1" s="9"/>
      <c r="KRD1" s="9"/>
      <c r="KRE1" s="9"/>
      <c r="KRF1" s="9"/>
      <c r="KRG1" s="9"/>
      <c r="KRH1" s="9"/>
      <c r="KRI1" s="9"/>
      <c r="KRJ1" s="9"/>
      <c r="KRK1" s="9"/>
      <c r="KRL1" s="9"/>
      <c r="KRM1" s="9"/>
      <c r="KRN1" s="9"/>
      <c r="KRO1" s="9"/>
      <c r="KRP1" s="9"/>
      <c r="KRQ1" s="9"/>
      <c r="KRR1" s="9"/>
      <c r="KRS1" s="9"/>
      <c r="KRT1" s="9"/>
      <c r="KRU1" s="9"/>
      <c r="KRV1" s="9"/>
      <c r="KRW1" s="9"/>
      <c r="KRX1" s="9"/>
      <c r="KRY1" s="9"/>
      <c r="KRZ1" s="9"/>
      <c r="KSA1" s="9"/>
      <c r="KSB1" s="9"/>
      <c r="KSC1" s="9"/>
      <c r="KSD1" s="9"/>
      <c r="KSE1" s="9"/>
      <c r="KSF1" s="9"/>
      <c r="KSG1" s="9"/>
      <c r="KSH1" s="9"/>
      <c r="KSI1" s="9"/>
      <c r="KSJ1" s="9"/>
      <c r="KSK1" s="9"/>
      <c r="KSL1" s="9"/>
      <c r="KSM1" s="9"/>
      <c r="KSN1" s="9"/>
      <c r="KSO1" s="9"/>
      <c r="KSP1" s="9"/>
      <c r="KSQ1" s="9"/>
      <c r="KSR1" s="9"/>
      <c r="KSS1" s="9"/>
      <c r="KST1" s="9"/>
      <c r="KSU1" s="9"/>
      <c r="KSV1" s="9"/>
      <c r="KSW1" s="9"/>
      <c r="KSX1" s="9"/>
      <c r="KSY1" s="9"/>
      <c r="KSZ1" s="9"/>
      <c r="KTA1" s="9"/>
      <c r="KTB1" s="9"/>
      <c r="KTC1" s="9"/>
      <c r="KTD1" s="9"/>
      <c r="KTE1" s="9"/>
      <c r="KTF1" s="9"/>
      <c r="KTG1" s="9"/>
      <c r="KTH1" s="9"/>
      <c r="KTI1" s="9"/>
      <c r="KTJ1" s="9"/>
      <c r="KTK1" s="9"/>
      <c r="KTL1" s="9"/>
      <c r="KTM1" s="9"/>
      <c r="KTN1" s="9"/>
      <c r="KTO1" s="9"/>
      <c r="KTP1" s="9"/>
      <c r="KTQ1" s="9"/>
      <c r="KTR1" s="9"/>
      <c r="KTS1" s="9"/>
      <c r="KTT1" s="9"/>
      <c r="KTU1" s="9"/>
      <c r="KTV1" s="9"/>
      <c r="KTW1" s="9"/>
      <c r="KTX1" s="9"/>
      <c r="KTY1" s="9"/>
      <c r="KTZ1" s="9"/>
      <c r="KUA1" s="9"/>
      <c r="KUB1" s="9"/>
      <c r="KUC1" s="9"/>
      <c r="KUD1" s="9"/>
      <c r="KUE1" s="9"/>
      <c r="KUF1" s="9"/>
      <c r="KUG1" s="9"/>
      <c r="KUH1" s="9"/>
      <c r="KUI1" s="9"/>
      <c r="KUJ1" s="9"/>
      <c r="KUK1" s="9"/>
      <c r="KUL1" s="9"/>
      <c r="KUM1" s="9"/>
      <c r="KUN1" s="9"/>
      <c r="KUO1" s="9"/>
      <c r="KUP1" s="9"/>
      <c r="KUQ1" s="9"/>
      <c r="KUR1" s="9"/>
      <c r="KUS1" s="9"/>
      <c r="KUT1" s="9"/>
      <c r="KUU1" s="9"/>
      <c r="KUV1" s="9"/>
      <c r="KUW1" s="9"/>
      <c r="KUX1" s="9"/>
      <c r="KUY1" s="9"/>
      <c r="KUZ1" s="9"/>
      <c r="KVA1" s="9"/>
      <c r="KVB1" s="9"/>
      <c r="KVC1" s="9"/>
      <c r="KVD1" s="9"/>
      <c r="KVE1" s="9"/>
      <c r="KVF1" s="9"/>
      <c r="KVG1" s="9"/>
      <c r="KVH1" s="9"/>
      <c r="KVI1" s="9"/>
      <c r="KVJ1" s="9"/>
      <c r="KVK1" s="9"/>
      <c r="KVL1" s="9"/>
      <c r="KVM1" s="9"/>
      <c r="KVN1" s="9"/>
      <c r="KVO1" s="9"/>
      <c r="KVP1" s="9"/>
      <c r="KVQ1" s="9"/>
      <c r="KVR1" s="9"/>
      <c r="KVS1" s="9"/>
      <c r="KVT1" s="9"/>
      <c r="KVU1" s="9"/>
      <c r="KVV1" s="9"/>
      <c r="KVW1" s="9"/>
      <c r="KVX1" s="9"/>
      <c r="KVY1" s="9"/>
      <c r="KVZ1" s="9"/>
      <c r="KWA1" s="9"/>
      <c r="KWB1" s="9"/>
      <c r="KWC1" s="9"/>
      <c r="KWD1" s="9"/>
      <c r="KWE1" s="9"/>
      <c r="KWF1" s="9"/>
      <c r="KWG1" s="9"/>
      <c r="KWH1" s="9"/>
      <c r="KWI1" s="9"/>
      <c r="KWJ1" s="9"/>
      <c r="KWK1" s="9"/>
      <c r="KWL1" s="9"/>
      <c r="KWM1" s="9"/>
      <c r="KWN1" s="9"/>
      <c r="KWO1" s="9"/>
      <c r="KWP1" s="9"/>
      <c r="KWQ1" s="9"/>
      <c r="KWR1" s="9"/>
      <c r="KWS1" s="9"/>
      <c r="KWT1" s="9"/>
      <c r="KWU1" s="9"/>
      <c r="KWV1" s="9"/>
      <c r="KWW1" s="9"/>
      <c r="KWX1" s="9"/>
      <c r="KWY1" s="9"/>
      <c r="KWZ1" s="9"/>
      <c r="KXA1" s="9"/>
      <c r="KXB1" s="9"/>
      <c r="KXC1" s="9"/>
      <c r="KXD1" s="9"/>
      <c r="KXE1" s="9"/>
      <c r="KXF1" s="9"/>
      <c r="KXG1" s="9"/>
      <c r="KXH1" s="9"/>
      <c r="KXI1" s="9"/>
      <c r="KXJ1" s="9"/>
      <c r="KXK1" s="9"/>
      <c r="KXL1" s="9"/>
      <c r="KXM1" s="9"/>
      <c r="KXN1" s="9"/>
      <c r="KXO1" s="9"/>
      <c r="KXP1" s="9"/>
      <c r="KXQ1" s="9"/>
      <c r="KXR1" s="9"/>
      <c r="KXS1" s="9"/>
      <c r="KXT1" s="9"/>
      <c r="KXU1" s="9"/>
      <c r="KXV1" s="9"/>
      <c r="KXW1" s="9"/>
      <c r="KXX1" s="9"/>
      <c r="KXY1" s="9"/>
      <c r="KXZ1" s="9"/>
      <c r="KYA1" s="9"/>
      <c r="KYB1" s="9"/>
      <c r="KYC1" s="9"/>
      <c r="KYD1" s="9"/>
      <c r="KYE1" s="9"/>
      <c r="KYF1" s="9"/>
      <c r="KYG1" s="9"/>
      <c r="KYH1" s="9"/>
      <c r="KYI1" s="9"/>
      <c r="KYJ1" s="9"/>
      <c r="KYK1" s="9"/>
      <c r="KYL1" s="9"/>
      <c r="KYM1" s="9"/>
      <c r="KYN1" s="9"/>
      <c r="KYO1" s="9"/>
      <c r="KYP1" s="9"/>
      <c r="KYQ1" s="9"/>
      <c r="KYR1" s="9"/>
      <c r="KYS1" s="9"/>
      <c r="KYT1" s="9"/>
      <c r="KYU1" s="9"/>
      <c r="KYV1" s="9"/>
      <c r="KYW1" s="9"/>
      <c r="KYX1" s="9"/>
      <c r="KYY1" s="9"/>
      <c r="KYZ1" s="9"/>
      <c r="KZA1" s="9"/>
      <c r="KZB1" s="9"/>
      <c r="KZC1" s="9"/>
      <c r="KZD1" s="9"/>
      <c r="KZE1" s="9"/>
      <c r="KZF1" s="9"/>
      <c r="KZG1" s="9"/>
      <c r="KZH1" s="9"/>
      <c r="KZI1" s="9"/>
      <c r="KZJ1" s="9"/>
      <c r="KZK1" s="9"/>
      <c r="KZL1" s="9"/>
      <c r="KZM1" s="9"/>
      <c r="KZN1" s="9"/>
      <c r="KZO1" s="9"/>
      <c r="KZP1" s="9"/>
      <c r="KZQ1" s="9"/>
      <c r="KZR1" s="9"/>
      <c r="KZS1" s="9"/>
      <c r="KZT1" s="9"/>
      <c r="KZU1" s="9"/>
      <c r="KZV1" s="9"/>
      <c r="KZW1" s="9"/>
      <c r="KZX1" s="9"/>
      <c r="KZY1" s="9"/>
      <c r="KZZ1" s="9"/>
      <c r="LAA1" s="9"/>
      <c r="LAB1" s="9"/>
      <c r="LAC1" s="9"/>
      <c r="LAD1" s="9"/>
      <c r="LAE1" s="9"/>
      <c r="LAF1" s="9"/>
      <c r="LAG1" s="9"/>
      <c r="LAH1" s="9"/>
      <c r="LAI1" s="9"/>
      <c r="LAJ1" s="9"/>
      <c r="LAK1" s="9"/>
      <c r="LAL1" s="9"/>
      <c r="LAM1" s="9"/>
      <c r="LAN1" s="9"/>
      <c r="LAO1" s="9"/>
      <c r="LAP1" s="9"/>
      <c r="LAQ1" s="9"/>
      <c r="LAR1" s="9"/>
      <c r="LAS1" s="9"/>
      <c r="LAT1" s="9"/>
      <c r="LAU1" s="9"/>
      <c r="LAV1" s="9"/>
      <c r="LAW1" s="9"/>
      <c r="LAX1" s="9"/>
      <c r="LAY1" s="9"/>
      <c r="LAZ1" s="9"/>
      <c r="LBA1" s="9"/>
      <c r="LBB1" s="9"/>
      <c r="LBC1" s="9"/>
      <c r="LBD1" s="9"/>
      <c r="LBE1" s="9"/>
      <c r="LBF1" s="9"/>
      <c r="LBG1" s="9"/>
      <c r="LBH1" s="9"/>
      <c r="LBI1" s="9"/>
      <c r="LBJ1" s="9"/>
      <c r="LBK1" s="9"/>
      <c r="LBL1" s="9"/>
      <c r="LBM1" s="9"/>
      <c r="LBN1" s="9"/>
      <c r="LBO1" s="9"/>
      <c r="LBP1" s="9"/>
      <c r="LBQ1" s="9"/>
      <c r="LBR1" s="9"/>
      <c r="LBS1" s="9"/>
      <c r="LBT1" s="9"/>
      <c r="LBU1" s="9"/>
      <c r="LBV1" s="9"/>
      <c r="LBW1" s="9"/>
      <c r="LBX1" s="9"/>
      <c r="LBY1" s="9"/>
      <c r="LBZ1" s="9"/>
      <c r="LCA1" s="9"/>
      <c r="LCB1" s="9"/>
      <c r="LCC1" s="9"/>
      <c r="LCD1" s="9"/>
      <c r="LCE1" s="9"/>
      <c r="LCF1" s="9"/>
      <c r="LCG1" s="9"/>
      <c r="LCH1" s="9"/>
      <c r="LCI1" s="9"/>
      <c r="LCJ1" s="9"/>
      <c r="LCK1" s="9"/>
      <c r="LCL1" s="9"/>
      <c r="LCM1" s="9"/>
      <c r="LCN1" s="9"/>
      <c r="LCO1" s="9"/>
      <c r="LCP1" s="9"/>
      <c r="LCQ1" s="9"/>
      <c r="LCR1" s="9"/>
      <c r="LCS1" s="9"/>
      <c r="LCT1" s="9"/>
      <c r="LCU1" s="9"/>
      <c r="LCV1" s="9"/>
      <c r="LCW1" s="9"/>
      <c r="LCX1" s="9"/>
      <c r="LCY1" s="9"/>
      <c r="LCZ1" s="9"/>
      <c r="LDA1" s="9"/>
      <c r="LDB1" s="9"/>
      <c r="LDC1" s="9"/>
      <c r="LDD1" s="9"/>
      <c r="LDE1" s="9"/>
      <c r="LDF1" s="9"/>
      <c r="LDG1" s="9"/>
      <c r="LDH1" s="9"/>
      <c r="LDI1" s="9"/>
      <c r="LDJ1" s="9"/>
      <c r="LDK1" s="9"/>
      <c r="LDL1" s="9"/>
      <c r="LDM1" s="9"/>
      <c r="LDN1" s="9"/>
      <c r="LDO1" s="9"/>
      <c r="LDP1" s="9"/>
      <c r="LDQ1" s="9"/>
      <c r="LDR1" s="9"/>
      <c r="LDS1" s="9"/>
      <c r="LDT1" s="9"/>
      <c r="LDU1" s="9"/>
      <c r="LDV1" s="9"/>
      <c r="LDW1" s="9"/>
      <c r="LDX1" s="9"/>
      <c r="LDY1" s="9"/>
      <c r="LDZ1" s="9"/>
      <c r="LEA1" s="9"/>
      <c r="LEB1" s="9"/>
      <c r="LEC1" s="9"/>
      <c r="LED1" s="9"/>
      <c r="LEE1" s="9"/>
      <c r="LEF1" s="9"/>
      <c r="LEG1" s="9"/>
      <c r="LEH1" s="9"/>
      <c r="LEI1" s="9"/>
      <c r="LEJ1" s="9"/>
      <c r="LEK1" s="9"/>
      <c r="LEL1" s="9"/>
      <c r="LEM1" s="9"/>
      <c r="LEN1" s="9"/>
      <c r="LEO1" s="9"/>
      <c r="LEP1" s="9"/>
      <c r="LEQ1" s="9"/>
      <c r="LER1" s="9"/>
      <c r="LES1" s="9"/>
      <c r="LET1" s="9"/>
      <c r="LEU1" s="9"/>
      <c r="LEV1" s="9"/>
      <c r="LEW1" s="9"/>
      <c r="LEX1" s="9"/>
      <c r="LEY1" s="9"/>
      <c r="LEZ1" s="9"/>
      <c r="LFA1" s="9"/>
      <c r="LFB1" s="9"/>
      <c r="LFC1" s="9"/>
      <c r="LFD1" s="9"/>
      <c r="LFE1" s="9"/>
      <c r="LFF1" s="9"/>
      <c r="LFG1" s="9"/>
      <c r="LFH1" s="9"/>
      <c r="LFI1" s="9"/>
      <c r="LFJ1" s="9"/>
      <c r="LFK1" s="9"/>
      <c r="LFL1" s="9"/>
      <c r="LFM1" s="9"/>
      <c r="LFN1" s="9"/>
      <c r="LFO1" s="9"/>
      <c r="LFP1" s="9"/>
      <c r="LFQ1" s="9"/>
      <c r="LFR1" s="9"/>
      <c r="LFS1" s="9"/>
      <c r="LFT1" s="9"/>
      <c r="LFU1" s="9"/>
      <c r="LFV1" s="9"/>
      <c r="LFW1" s="9"/>
      <c r="LFX1" s="9"/>
      <c r="LFY1" s="9"/>
      <c r="LFZ1" s="9"/>
      <c r="LGA1" s="9"/>
      <c r="LGB1" s="9"/>
      <c r="LGC1" s="9"/>
      <c r="LGD1" s="9"/>
      <c r="LGE1" s="9"/>
      <c r="LGF1" s="9"/>
      <c r="LGG1" s="9"/>
      <c r="LGH1" s="9"/>
      <c r="LGI1" s="9"/>
      <c r="LGJ1" s="9"/>
      <c r="LGK1" s="9"/>
      <c r="LGL1" s="9"/>
      <c r="LGM1" s="9"/>
      <c r="LGN1" s="9"/>
      <c r="LGO1" s="9"/>
      <c r="LGP1" s="9"/>
      <c r="LGQ1" s="9"/>
      <c r="LGR1" s="9"/>
      <c r="LGS1" s="9"/>
      <c r="LGT1" s="9"/>
      <c r="LGU1" s="9"/>
      <c r="LGV1" s="9"/>
      <c r="LGW1" s="9"/>
      <c r="LGX1" s="9"/>
      <c r="LGY1" s="9"/>
      <c r="LGZ1" s="9"/>
      <c r="LHA1" s="9"/>
      <c r="LHB1" s="9"/>
      <c r="LHC1" s="9"/>
      <c r="LHD1" s="9"/>
      <c r="LHE1" s="9"/>
      <c r="LHF1" s="9"/>
      <c r="LHG1" s="9"/>
      <c r="LHH1" s="9"/>
      <c r="LHI1" s="9"/>
      <c r="LHJ1" s="9"/>
      <c r="LHK1" s="9"/>
      <c r="LHL1" s="9"/>
      <c r="LHM1" s="9"/>
      <c r="LHN1" s="9"/>
      <c r="LHO1" s="9"/>
      <c r="LHP1" s="9"/>
      <c r="LHQ1" s="9"/>
      <c r="LHR1" s="9"/>
      <c r="LHS1" s="9"/>
      <c r="LHT1" s="9"/>
      <c r="LHU1" s="9"/>
      <c r="LHV1" s="9"/>
      <c r="LHW1" s="9"/>
      <c r="LHX1" s="9"/>
      <c r="LHY1" s="9"/>
      <c r="LHZ1" s="9"/>
      <c r="LIA1" s="9"/>
      <c r="LIB1" s="9"/>
      <c r="LIC1" s="9"/>
      <c r="LID1" s="9"/>
      <c r="LIE1" s="9"/>
      <c r="LIF1" s="9"/>
      <c r="LIG1" s="9"/>
      <c r="LIH1" s="9"/>
      <c r="LII1" s="9"/>
      <c r="LIJ1" s="9"/>
      <c r="LIK1" s="9"/>
      <c r="LIL1" s="9"/>
      <c r="LIM1" s="9"/>
      <c r="LIN1" s="9"/>
      <c r="LIO1" s="9"/>
      <c r="LIP1" s="9"/>
      <c r="LIQ1" s="9"/>
      <c r="LIR1" s="9"/>
      <c r="LIS1" s="9"/>
      <c r="LIT1" s="9"/>
      <c r="LIU1" s="9"/>
      <c r="LIV1" s="9"/>
      <c r="LIW1" s="9"/>
      <c r="LIX1" s="9"/>
      <c r="LIY1" s="9"/>
      <c r="LIZ1" s="9"/>
      <c r="LJA1" s="9"/>
      <c r="LJB1" s="9"/>
      <c r="LJC1" s="9"/>
      <c r="LJD1" s="9"/>
      <c r="LJE1" s="9"/>
      <c r="LJF1" s="9"/>
      <c r="LJG1" s="9"/>
      <c r="LJH1" s="9"/>
      <c r="LJI1" s="9"/>
      <c r="LJJ1" s="9"/>
      <c r="LJK1" s="9"/>
      <c r="LJL1" s="9"/>
      <c r="LJM1" s="9"/>
      <c r="LJN1" s="9"/>
      <c r="LJO1" s="9"/>
      <c r="LJP1" s="9"/>
      <c r="LJQ1" s="9"/>
      <c r="LJR1" s="9"/>
      <c r="LJS1" s="9"/>
      <c r="LJT1" s="9"/>
      <c r="LJU1" s="9"/>
      <c r="LJV1" s="9"/>
      <c r="LJW1" s="9"/>
      <c r="LJX1" s="9"/>
      <c r="LJY1" s="9"/>
      <c r="LJZ1" s="9"/>
      <c r="LKA1" s="9"/>
      <c r="LKB1" s="9"/>
      <c r="LKC1" s="9"/>
      <c r="LKD1" s="9"/>
      <c r="LKE1" s="9"/>
      <c r="LKF1" s="9"/>
      <c r="LKG1" s="9"/>
      <c r="LKH1" s="9"/>
      <c r="LKI1" s="9"/>
      <c r="LKJ1" s="9"/>
      <c r="LKK1" s="9"/>
      <c r="LKL1" s="9"/>
      <c r="LKM1" s="9"/>
      <c r="LKN1" s="9"/>
      <c r="LKO1" s="9"/>
      <c r="LKP1" s="9"/>
      <c r="LKQ1" s="9"/>
      <c r="LKR1" s="9"/>
      <c r="LKS1" s="9"/>
      <c r="LKT1" s="9"/>
      <c r="LKU1" s="9"/>
      <c r="LKV1" s="9"/>
      <c r="LKW1" s="9"/>
      <c r="LKX1" s="9"/>
      <c r="LKY1" s="9"/>
      <c r="LKZ1" s="9"/>
      <c r="LLA1" s="9"/>
      <c r="LLB1" s="9"/>
      <c r="LLC1" s="9"/>
      <c r="LLD1" s="9"/>
      <c r="LLE1" s="9"/>
      <c r="LLF1" s="9"/>
      <c r="LLG1" s="9"/>
      <c r="LLH1" s="9"/>
      <c r="LLI1" s="9"/>
      <c r="LLJ1" s="9"/>
      <c r="LLK1" s="9"/>
      <c r="LLL1" s="9"/>
      <c r="LLM1" s="9"/>
      <c r="LLN1" s="9"/>
      <c r="LLO1" s="9"/>
      <c r="LLP1" s="9"/>
      <c r="LLQ1" s="9"/>
      <c r="LLR1" s="9"/>
      <c r="LLS1" s="9"/>
      <c r="LLT1" s="9"/>
      <c r="LLU1" s="9"/>
      <c r="LLV1" s="9"/>
      <c r="LLW1" s="9"/>
      <c r="LLX1" s="9"/>
      <c r="LLY1" s="9"/>
      <c r="LLZ1" s="9"/>
      <c r="LMA1" s="9"/>
      <c r="LMB1" s="9"/>
      <c r="LMC1" s="9"/>
      <c r="LMD1" s="9"/>
      <c r="LME1" s="9"/>
      <c r="LMF1" s="9"/>
      <c r="LMG1" s="9"/>
      <c r="LMH1" s="9"/>
      <c r="LMI1" s="9"/>
      <c r="LMJ1" s="9"/>
      <c r="LMK1" s="9"/>
      <c r="LML1" s="9"/>
      <c r="LMM1" s="9"/>
      <c r="LMN1" s="9"/>
      <c r="LMO1" s="9"/>
      <c r="LMP1" s="9"/>
      <c r="LMQ1" s="9"/>
      <c r="LMR1" s="9"/>
      <c r="LMS1" s="9"/>
      <c r="LMT1" s="9"/>
      <c r="LMU1" s="9"/>
      <c r="LMV1" s="9"/>
      <c r="LMW1" s="9"/>
      <c r="LMX1" s="9"/>
      <c r="LMY1" s="9"/>
      <c r="LMZ1" s="9"/>
      <c r="LNA1" s="9"/>
      <c r="LNB1" s="9"/>
      <c r="LNC1" s="9"/>
      <c r="LND1" s="9"/>
      <c r="LNE1" s="9"/>
      <c r="LNF1" s="9"/>
      <c r="LNG1" s="9"/>
      <c r="LNH1" s="9"/>
      <c r="LNI1" s="9"/>
      <c r="LNJ1" s="9"/>
      <c r="LNK1" s="9"/>
      <c r="LNL1" s="9"/>
      <c r="LNM1" s="9"/>
      <c r="LNN1" s="9"/>
      <c r="LNO1" s="9"/>
      <c r="LNP1" s="9"/>
      <c r="LNQ1" s="9"/>
      <c r="LNR1" s="9"/>
      <c r="LNS1" s="9"/>
      <c r="LNT1" s="9"/>
      <c r="LNU1" s="9"/>
      <c r="LNV1" s="9"/>
      <c r="LNW1" s="9"/>
      <c r="LNX1" s="9"/>
      <c r="LNY1" s="9"/>
      <c r="LNZ1" s="9"/>
      <c r="LOA1" s="9"/>
      <c r="LOB1" s="9"/>
      <c r="LOC1" s="9"/>
      <c r="LOD1" s="9"/>
      <c r="LOE1" s="9"/>
      <c r="LOF1" s="9"/>
      <c r="LOG1" s="9"/>
      <c r="LOH1" s="9"/>
      <c r="LOI1" s="9"/>
      <c r="LOJ1" s="9"/>
      <c r="LOK1" s="9"/>
      <c r="LOL1" s="9"/>
      <c r="LOM1" s="9"/>
      <c r="LON1" s="9"/>
      <c r="LOO1" s="9"/>
      <c r="LOP1" s="9"/>
      <c r="LOQ1" s="9"/>
      <c r="LOR1" s="9"/>
      <c r="LOS1" s="9"/>
      <c r="LOT1" s="9"/>
      <c r="LOU1" s="9"/>
      <c r="LOV1" s="9"/>
      <c r="LOW1" s="9"/>
      <c r="LOX1" s="9"/>
      <c r="LOY1" s="9"/>
      <c r="LOZ1" s="9"/>
      <c r="LPA1" s="9"/>
      <c r="LPB1" s="9"/>
      <c r="LPC1" s="9"/>
      <c r="LPD1" s="9"/>
      <c r="LPE1" s="9"/>
      <c r="LPF1" s="9"/>
      <c r="LPG1" s="9"/>
      <c r="LPH1" s="9"/>
      <c r="LPI1" s="9"/>
      <c r="LPJ1" s="9"/>
      <c r="LPK1" s="9"/>
      <c r="LPL1" s="9"/>
      <c r="LPM1" s="9"/>
      <c r="LPN1" s="9"/>
      <c r="LPO1" s="9"/>
      <c r="LPP1" s="9"/>
      <c r="LPQ1" s="9"/>
      <c r="LPR1" s="9"/>
      <c r="LPS1" s="9"/>
      <c r="LPT1" s="9"/>
      <c r="LPU1" s="9"/>
      <c r="LPV1" s="9"/>
      <c r="LPW1" s="9"/>
      <c r="LPX1" s="9"/>
      <c r="LPY1" s="9"/>
      <c r="LPZ1" s="9"/>
      <c r="LQA1" s="9"/>
      <c r="LQB1" s="9"/>
      <c r="LQC1" s="9"/>
      <c r="LQD1" s="9"/>
      <c r="LQE1" s="9"/>
      <c r="LQF1" s="9"/>
      <c r="LQG1" s="9"/>
      <c r="LQH1" s="9"/>
      <c r="LQI1" s="9"/>
      <c r="LQJ1" s="9"/>
      <c r="LQK1" s="9"/>
      <c r="LQL1" s="9"/>
      <c r="LQM1" s="9"/>
      <c r="LQN1" s="9"/>
      <c r="LQO1" s="9"/>
      <c r="LQP1" s="9"/>
      <c r="LQQ1" s="9"/>
      <c r="LQR1" s="9"/>
      <c r="LQS1" s="9"/>
      <c r="LQT1" s="9"/>
      <c r="LQU1" s="9"/>
      <c r="LQV1" s="9"/>
      <c r="LQW1" s="9"/>
      <c r="LQX1" s="9"/>
      <c r="LQY1" s="9"/>
      <c r="LQZ1" s="9"/>
      <c r="LRA1" s="9"/>
      <c r="LRB1" s="9"/>
      <c r="LRC1" s="9"/>
      <c r="LRD1" s="9"/>
      <c r="LRE1" s="9"/>
      <c r="LRF1" s="9"/>
      <c r="LRG1" s="9"/>
      <c r="LRH1" s="9"/>
      <c r="LRI1" s="9"/>
      <c r="LRJ1" s="9"/>
      <c r="LRK1" s="9"/>
      <c r="LRL1" s="9"/>
      <c r="LRM1" s="9"/>
      <c r="LRN1" s="9"/>
      <c r="LRO1" s="9"/>
      <c r="LRP1" s="9"/>
      <c r="LRQ1" s="9"/>
      <c r="LRR1" s="9"/>
      <c r="LRS1" s="9"/>
      <c r="LRT1" s="9"/>
      <c r="LRU1" s="9"/>
      <c r="LRV1" s="9"/>
      <c r="LRW1" s="9"/>
      <c r="LRX1" s="9"/>
      <c r="LRY1" s="9"/>
      <c r="LRZ1" s="9"/>
      <c r="LSA1" s="9"/>
      <c r="LSB1" s="9"/>
      <c r="LSC1" s="9"/>
      <c r="LSD1" s="9"/>
      <c r="LSE1" s="9"/>
      <c r="LSF1" s="9"/>
      <c r="LSG1" s="9"/>
      <c r="LSH1" s="9"/>
      <c r="LSI1" s="9"/>
      <c r="LSJ1" s="9"/>
      <c r="LSK1" s="9"/>
      <c r="LSL1" s="9"/>
      <c r="LSM1" s="9"/>
      <c r="LSN1" s="9"/>
      <c r="LSO1" s="9"/>
      <c r="LSP1" s="9"/>
      <c r="LSQ1" s="9"/>
      <c r="LSR1" s="9"/>
      <c r="LSS1" s="9"/>
      <c r="LST1" s="9"/>
      <c r="LSU1" s="9"/>
      <c r="LSV1" s="9"/>
      <c r="LSW1" s="9"/>
      <c r="LSX1" s="9"/>
      <c r="LSY1" s="9"/>
      <c r="LSZ1" s="9"/>
      <c r="LTA1" s="9"/>
      <c r="LTB1" s="9"/>
      <c r="LTC1" s="9"/>
      <c r="LTD1" s="9"/>
      <c r="LTE1" s="9"/>
      <c r="LTF1" s="9"/>
      <c r="LTG1" s="9"/>
      <c r="LTH1" s="9"/>
      <c r="LTI1" s="9"/>
      <c r="LTJ1" s="9"/>
      <c r="LTK1" s="9"/>
      <c r="LTL1" s="9"/>
      <c r="LTM1" s="9"/>
      <c r="LTN1" s="9"/>
      <c r="LTO1" s="9"/>
      <c r="LTP1" s="9"/>
      <c r="LTQ1" s="9"/>
      <c r="LTR1" s="9"/>
      <c r="LTS1" s="9"/>
      <c r="LTT1" s="9"/>
      <c r="LTU1" s="9"/>
      <c r="LTV1" s="9"/>
      <c r="LTW1" s="9"/>
      <c r="LTX1" s="9"/>
      <c r="LTY1" s="9"/>
      <c r="LTZ1" s="9"/>
      <c r="LUA1" s="9"/>
      <c r="LUB1" s="9"/>
      <c r="LUC1" s="9"/>
      <c r="LUD1" s="9"/>
      <c r="LUE1" s="9"/>
      <c r="LUF1" s="9"/>
      <c r="LUG1" s="9"/>
      <c r="LUH1" s="9"/>
      <c r="LUI1" s="9"/>
      <c r="LUJ1" s="9"/>
      <c r="LUK1" s="9"/>
      <c r="LUL1" s="9"/>
      <c r="LUM1" s="9"/>
      <c r="LUN1" s="9"/>
      <c r="LUO1" s="9"/>
      <c r="LUP1" s="9"/>
      <c r="LUQ1" s="9"/>
      <c r="LUR1" s="9"/>
      <c r="LUS1" s="9"/>
      <c r="LUT1" s="9"/>
      <c r="LUU1" s="9"/>
      <c r="LUV1" s="9"/>
      <c r="LUW1" s="9"/>
      <c r="LUX1" s="9"/>
      <c r="LUY1" s="9"/>
      <c r="LUZ1" s="9"/>
      <c r="LVA1" s="9"/>
      <c r="LVB1" s="9"/>
      <c r="LVC1" s="9"/>
      <c r="LVD1" s="9"/>
      <c r="LVE1" s="9"/>
      <c r="LVF1" s="9"/>
      <c r="LVG1" s="9"/>
      <c r="LVH1" s="9"/>
      <c r="LVI1" s="9"/>
      <c r="LVJ1" s="9"/>
      <c r="LVK1" s="9"/>
      <c r="LVL1" s="9"/>
      <c r="LVM1" s="9"/>
      <c r="LVN1" s="9"/>
      <c r="LVO1" s="9"/>
      <c r="LVP1" s="9"/>
      <c r="LVQ1" s="9"/>
      <c r="LVR1" s="9"/>
      <c r="LVS1" s="9"/>
      <c r="LVT1" s="9"/>
      <c r="LVU1" s="9"/>
      <c r="LVV1" s="9"/>
      <c r="LVW1" s="9"/>
      <c r="LVX1" s="9"/>
      <c r="LVY1" s="9"/>
      <c r="LVZ1" s="9"/>
      <c r="LWA1" s="9"/>
      <c r="LWB1" s="9"/>
      <c r="LWC1" s="9"/>
      <c r="LWD1" s="9"/>
      <c r="LWE1" s="9"/>
      <c r="LWF1" s="9"/>
      <c r="LWG1" s="9"/>
      <c r="LWH1" s="9"/>
      <c r="LWI1" s="9"/>
      <c r="LWJ1" s="9"/>
      <c r="LWK1" s="9"/>
      <c r="LWL1" s="9"/>
      <c r="LWM1" s="9"/>
      <c r="LWN1" s="9"/>
      <c r="LWO1" s="9"/>
      <c r="LWP1" s="9"/>
      <c r="LWQ1" s="9"/>
      <c r="LWR1" s="9"/>
      <c r="LWS1" s="9"/>
      <c r="LWT1" s="9"/>
      <c r="LWU1" s="9"/>
      <c r="LWV1" s="9"/>
      <c r="LWW1" s="9"/>
      <c r="LWX1" s="9"/>
      <c r="LWY1" s="9"/>
      <c r="LWZ1" s="9"/>
      <c r="LXA1" s="9"/>
      <c r="LXB1" s="9"/>
      <c r="LXC1" s="9"/>
      <c r="LXD1" s="9"/>
      <c r="LXE1" s="9"/>
      <c r="LXF1" s="9"/>
      <c r="LXG1" s="9"/>
      <c r="LXH1" s="9"/>
      <c r="LXI1" s="9"/>
      <c r="LXJ1" s="9"/>
      <c r="LXK1" s="9"/>
      <c r="LXL1" s="9"/>
      <c r="LXM1" s="9"/>
      <c r="LXN1" s="9"/>
      <c r="LXO1" s="9"/>
      <c r="LXP1" s="9"/>
      <c r="LXQ1" s="9"/>
      <c r="LXR1" s="9"/>
      <c r="LXS1" s="9"/>
      <c r="LXT1" s="9"/>
      <c r="LXU1" s="9"/>
      <c r="LXV1" s="9"/>
      <c r="LXW1" s="9"/>
      <c r="LXX1" s="9"/>
      <c r="LXY1" s="9"/>
      <c r="LXZ1" s="9"/>
      <c r="LYA1" s="9"/>
      <c r="LYB1" s="9"/>
      <c r="LYC1" s="9"/>
      <c r="LYD1" s="9"/>
      <c r="LYE1" s="9"/>
      <c r="LYF1" s="9"/>
      <c r="LYG1" s="9"/>
      <c r="LYH1" s="9"/>
      <c r="LYI1" s="9"/>
      <c r="LYJ1" s="9"/>
      <c r="LYK1" s="9"/>
      <c r="LYL1" s="9"/>
      <c r="LYM1" s="9"/>
      <c r="LYN1" s="9"/>
      <c r="LYO1" s="9"/>
      <c r="LYP1" s="9"/>
      <c r="LYQ1" s="9"/>
      <c r="LYR1" s="9"/>
      <c r="LYS1" s="9"/>
      <c r="LYT1" s="9"/>
      <c r="LYU1" s="9"/>
      <c r="LYV1" s="9"/>
      <c r="LYW1" s="9"/>
      <c r="LYX1" s="9"/>
      <c r="LYY1" s="9"/>
      <c r="LYZ1" s="9"/>
      <c r="LZA1" s="9"/>
      <c r="LZB1" s="9"/>
      <c r="LZC1" s="9"/>
      <c r="LZD1" s="9"/>
      <c r="LZE1" s="9"/>
      <c r="LZF1" s="9"/>
      <c r="LZG1" s="9"/>
      <c r="LZH1" s="9"/>
      <c r="LZI1" s="9"/>
      <c r="LZJ1" s="9"/>
      <c r="LZK1" s="9"/>
      <c r="LZL1" s="9"/>
      <c r="LZM1" s="9"/>
      <c r="LZN1" s="9"/>
      <c r="LZO1" s="9"/>
      <c r="LZP1" s="9"/>
      <c r="LZQ1" s="9"/>
      <c r="LZR1" s="9"/>
      <c r="LZS1" s="9"/>
      <c r="LZT1" s="9"/>
      <c r="LZU1" s="9"/>
      <c r="LZV1" s="9"/>
      <c r="LZW1" s="9"/>
      <c r="LZX1" s="9"/>
      <c r="LZY1" s="9"/>
      <c r="LZZ1" s="9"/>
      <c r="MAA1" s="9"/>
      <c r="MAB1" s="9"/>
      <c r="MAC1" s="9"/>
      <c r="MAD1" s="9"/>
      <c r="MAE1" s="9"/>
      <c r="MAF1" s="9"/>
      <c r="MAG1" s="9"/>
      <c r="MAH1" s="9"/>
      <c r="MAI1" s="9"/>
      <c r="MAJ1" s="9"/>
      <c r="MAK1" s="9"/>
      <c r="MAL1" s="9"/>
      <c r="MAM1" s="9"/>
      <c r="MAN1" s="9"/>
      <c r="MAO1" s="9"/>
      <c r="MAP1" s="9"/>
      <c r="MAQ1" s="9"/>
      <c r="MAR1" s="9"/>
      <c r="MAS1" s="9"/>
      <c r="MAT1" s="9"/>
      <c r="MAU1" s="9"/>
      <c r="MAV1" s="9"/>
      <c r="MAW1" s="9"/>
      <c r="MAX1" s="9"/>
      <c r="MAY1" s="9"/>
      <c r="MAZ1" s="9"/>
      <c r="MBA1" s="9"/>
      <c r="MBB1" s="9"/>
      <c r="MBC1" s="9"/>
      <c r="MBD1" s="9"/>
      <c r="MBE1" s="9"/>
      <c r="MBF1" s="9"/>
      <c r="MBG1" s="9"/>
      <c r="MBH1" s="9"/>
      <c r="MBI1" s="9"/>
      <c r="MBJ1" s="9"/>
      <c r="MBK1" s="9"/>
      <c r="MBL1" s="9"/>
      <c r="MBM1" s="9"/>
      <c r="MBN1" s="9"/>
      <c r="MBO1" s="9"/>
      <c r="MBP1" s="9"/>
      <c r="MBQ1" s="9"/>
      <c r="MBR1" s="9"/>
      <c r="MBS1" s="9"/>
      <c r="MBT1" s="9"/>
      <c r="MBU1" s="9"/>
      <c r="MBV1" s="9"/>
      <c r="MBW1" s="9"/>
      <c r="MBX1" s="9"/>
      <c r="MBY1" s="9"/>
      <c r="MBZ1" s="9"/>
      <c r="MCA1" s="9"/>
      <c r="MCB1" s="9"/>
      <c r="MCC1" s="9"/>
      <c r="MCD1" s="9"/>
      <c r="MCE1" s="9"/>
      <c r="MCF1" s="9"/>
      <c r="MCG1" s="9"/>
      <c r="MCH1" s="9"/>
      <c r="MCI1" s="9"/>
      <c r="MCJ1" s="9"/>
      <c r="MCK1" s="9"/>
      <c r="MCL1" s="9"/>
      <c r="MCM1" s="9"/>
      <c r="MCN1" s="9"/>
      <c r="MCO1" s="9"/>
      <c r="MCP1" s="9"/>
      <c r="MCQ1" s="9"/>
      <c r="MCR1" s="9"/>
      <c r="MCS1" s="9"/>
      <c r="MCT1" s="9"/>
      <c r="MCU1" s="9"/>
      <c r="MCV1" s="9"/>
      <c r="MCW1" s="9"/>
      <c r="MCX1" s="9"/>
      <c r="MCY1" s="9"/>
      <c r="MCZ1" s="9"/>
      <c r="MDA1" s="9"/>
      <c r="MDB1" s="9"/>
      <c r="MDC1" s="9"/>
      <c r="MDD1" s="9"/>
      <c r="MDE1" s="9"/>
      <c r="MDF1" s="9"/>
      <c r="MDG1" s="9"/>
      <c r="MDH1" s="9"/>
      <c r="MDI1" s="9"/>
      <c r="MDJ1" s="9"/>
      <c r="MDK1" s="9"/>
      <c r="MDL1" s="9"/>
      <c r="MDM1" s="9"/>
      <c r="MDN1" s="9"/>
      <c r="MDO1" s="9"/>
      <c r="MDP1" s="9"/>
      <c r="MDQ1" s="9"/>
      <c r="MDR1" s="9"/>
      <c r="MDS1" s="9"/>
      <c r="MDT1" s="9"/>
      <c r="MDU1" s="9"/>
      <c r="MDV1" s="9"/>
      <c r="MDW1" s="9"/>
      <c r="MDX1" s="9"/>
      <c r="MDY1" s="9"/>
      <c r="MDZ1" s="9"/>
      <c r="MEA1" s="9"/>
      <c r="MEB1" s="9"/>
      <c r="MEC1" s="9"/>
      <c r="MED1" s="9"/>
      <c r="MEE1" s="9"/>
      <c r="MEF1" s="9"/>
      <c r="MEG1" s="9"/>
      <c r="MEH1" s="9"/>
      <c r="MEI1" s="9"/>
      <c r="MEJ1" s="9"/>
      <c r="MEK1" s="9"/>
      <c r="MEL1" s="9"/>
      <c r="MEM1" s="9"/>
      <c r="MEN1" s="9"/>
      <c r="MEO1" s="9"/>
      <c r="MEP1" s="9"/>
      <c r="MEQ1" s="9"/>
      <c r="MER1" s="9"/>
      <c r="MES1" s="9"/>
      <c r="MET1" s="9"/>
      <c r="MEU1" s="9"/>
      <c r="MEV1" s="9"/>
      <c r="MEW1" s="9"/>
      <c r="MEX1" s="9"/>
      <c r="MEY1" s="9"/>
      <c r="MEZ1" s="9"/>
      <c r="MFA1" s="9"/>
      <c r="MFB1" s="9"/>
      <c r="MFC1" s="9"/>
      <c r="MFD1" s="9"/>
      <c r="MFE1" s="9"/>
      <c r="MFF1" s="9"/>
      <c r="MFG1" s="9"/>
      <c r="MFH1" s="9"/>
      <c r="MFI1" s="9"/>
      <c r="MFJ1" s="9"/>
      <c r="MFK1" s="9"/>
      <c r="MFL1" s="9"/>
      <c r="MFM1" s="9"/>
      <c r="MFN1" s="9"/>
      <c r="MFO1" s="9"/>
      <c r="MFP1" s="9"/>
      <c r="MFQ1" s="9"/>
      <c r="MFR1" s="9"/>
      <c r="MFS1" s="9"/>
      <c r="MFT1" s="9"/>
      <c r="MFU1" s="9"/>
      <c r="MFV1" s="9"/>
      <c r="MFW1" s="9"/>
      <c r="MFX1" s="9"/>
      <c r="MFY1" s="9"/>
      <c r="MFZ1" s="9"/>
      <c r="MGA1" s="9"/>
      <c r="MGB1" s="9"/>
      <c r="MGC1" s="9"/>
      <c r="MGD1" s="9"/>
      <c r="MGE1" s="9"/>
      <c r="MGF1" s="9"/>
      <c r="MGG1" s="9"/>
      <c r="MGH1" s="9"/>
      <c r="MGI1" s="9"/>
      <c r="MGJ1" s="9"/>
      <c r="MGK1" s="9"/>
      <c r="MGL1" s="9"/>
      <c r="MGM1" s="9"/>
      <c r="MGN1" s="9"/>
      <c r="MGO1" s="9"/>
      <c r="MGP1" s="9"/>
      <c r="MGQ1" s="9"/>
      <c r="MGR1" s="9"/>
      <c r="MGS1" s="9"/>
      <c r="MGT1" s="9"/>
      <c r="MGU1" s="9"/>
      <c r="MGV1" s="9"/>
      <c r="MGW1" s="9"/>
      <c r="MGX1" s="9"/>
      <c r="MGY1" s="9"/>
      <c r="MGZ1" s="9"/>
      <c r="MHA1" s="9"/>
      <c r="MHB1" s="9"/>
      <c r="MHC1" s="9"/>
      <c r="MHD1" s="9"/>
      <c r="MHE1" s="9"/>
      <c r="MHF1" s="9"/>
      <c r="MHG1" s="9"/>
      <c r="MHH1" s="9"/>
      <c r="MHI1" s="9"/>
      <c r="MHJ1" s="9"/>
      <c r="MHK1" s="9"/>
      <c r="MHL1" s="9"/>
      <c r="MHM1" s="9"/>
      <c r="MHN1" s="9"/>
      <c r="MHO1" s="9"/>
      <c r="MHP1" s="9"/>
      <c r="MHQ1" s="9"/>
      <c r="MHR1" s="9"/>
      <c r="MHS1" s="9"/>
      <c r="MHT1" s="9"/>
      <c r="MHU1" s="9"/>
      <c r="MHV1" s="9"/>
      <c r="MHW1" s="9"/>
      <c r="MHX1" s="9"/>
      <c r="MHY1" s="9"/>
      <c r="MHZ1" s="9"/>
      <c r="MIA1" s="9"/>
      <c r="MIB1" s="9"/>
      <c r="MIC1" s="9"/>
      <c r="MID1" s="9"/>
      <c r="MIE1" s="9"/>
      <c r="MIF1" s="9"/>
      <c r="MIG1" s="9"/>
      <c r="MIH1" s="9"/>
      <c r="MII1" s="9"/>
      <c r="MIJ1" s="9"/>
      <c r="MIK1" s="9"/>
      <c r="MIL1" s="9"/>
      <c r="MIM1" s="9"/>
      <c r="MIN1" s="9"/>
      <c r="MIO1" s="9"/>
      <c r="MIP1" s="9"/>
      <c r="MIQ1" s="9"/>
      <c r="MIR1" s="9"/>
      <c r="MIS1" s="9"/>
      <c r="MIT1" s="9"/>
      <c r="MIU1" s="9"/>
      <c r="MIV1" s="9"/>
      <c r="MIW1" s="9"/>
      <c r="MIX1" s="9"/>
      <c r="MIY1" s="9"/>
      <c r="MIZ1" s="9"/>
      <c r="MJA1" s="9"/>
      <c r="MJB1" s="9"/>
      <c r="MJC1" s="9"/>
      <c r="MJD1" s="9"/>
      <c r="MJE1" s="9"/>
      <c r="MJF1" s="9"/>
      <c r="MJG1" s="9"/>
      <c r="MJH1" s="9"/>
      <c r="MJI1" s="9"/>
      <c r="MJJ1" s="9"/>
      <c r="MJK1" s="9"/>
      <c r="MJL1" s="9"/>
      <c r="MJM1" s="9"/>
      <c r="MJN1" s="9"/>
      <c r="MJO1" s="9"/>
      <c r="MJP1" s="9"/>
      <c r="MJQ1" s="9"/>
      <c r="MJR1" s="9"/>
      <c r="MJS1" s="9"/>
      <c r="MJT1" s="9"/>
      <c r="MJU1" s="9"/>
      <c r="MJV1" s="9"/>
      <c r="MJW1" s="9"/>
      <c r="MJX1" s="9"/>
      <c r="MJY1" s="9"/>
      <c r="MJZ1" s="9"/>
      <c r="MKA1" s="9"/>
      <c r="MKB1" s="9"/>
      <c r="MKC1" s="9"/>
      <c r="MKD1" s="9"/>
      <c r="MKE1" s="9"/>
      <c r="MKF1" s="9"/>
      <c r="MKG1" s="9"/>
      <c r="MKH1" s="9"/>
      <c r="MKI1" s="9"/>
      <c r="MKJ1" s="9"/>
      <c r="MKK1" s="9"/>
      <c r="MKL1" s="9"/>
      <c r="MKM1" s="9"/>
      <c r="MKN1" s="9"/>
      <c r="MKO1" s="9"/>
      <c r="MKP1" s="9"/>
      <c r="MKQ1" s="9"/>
      <c r="MKR1" s="9"/>
      <c r="MKS1" s="9"/>
      <c r="MKT1" s="9"/>
      <c r="MKU1" s="9"/>
      <c r="MKV1" s="9"/>
      <c r="MKW1" s="9"/>
      <c r="MKX1" s="9"/>
      <c r="MKY1" s="9"/>
      <c r="MKZ1" s="9"/>
      <c r="MLA1" s="9"/>
      <c r="MLB1" s="9"/>
      <c r="MLC1" s="9"/>
      <c r="MLD1" s="9"/>
      <c r="MLE1" s="9"/>
      <c r="MLF1" s="9"/>
      <c r="MLG1" s="9"/>
      <c r="MLH1" s="9"/>
      <c r="MLI1" s="9"/>
      <c r="MLJ1" s="9"/>
      <c r="MLK1" s="9"/>
      <c r="MLL1" s="9"/>
      <c r="MLM1" s="9"/>
      <c r="MLN1" s="9"/>
      <c r="MLO1" s="9"/>
      <c r="MLP1" s="9"/>
      <c r="MLQ1" s="9"/>
      <c r="MLR1" s="9"/>
      <c r="MLS1" s="9"/>
      <c r="MLT1" s="9"/>
      <c r="MLU1" s="9"/>
      <c r="MLV1" s="9"/>
      <c r="MLW1" s="9"/>
      <c r="MLX1" s="9"/>
      <c r="MLY1" s="9"/>
      <c r="MLZ1" s="9"/>
      <c r="MMA1" s="9"/>
      <c r="MMB1" s="9"/>
      <c r="MMC1" s="9"/>
      <c r="MMD1" s="9"/>
      <c r="MME1" s="9"/>
      <c r="MMF1" s="9"/>
      <c r="MMG1" s="9"/>
      <c r="MMH1" s="9"/>
      <c r="MMI1" s="9"/>
      <c r="MMJ1" s="9"/>
      <c r="MMK1" s="9"/>
      <c r="MML1" s="9"/>
      <c r="MMM1" s="9"/>
      <c r="MMN1" s="9"/>
      <c r="MMO1" s="9"/>
      <c r="MMP1" s="9"/>
      <c r="MMQ1" s="9"/>
      <c r="MMR1" s="9"/>
      <c r="MMS1" s="9"/>
      <c r="MMT1" s="9"/>
      <c r="MMU1" s="9"/>
      <c r="MMV1" s="9"/>
      <c r="MMW1" s="9"/>
      <c r="MMX1" s="9"/>
      <c r="MMY1" s="9"/>
      <c r="MMZ1" s="9"/>
      <c r="MNA1" s="9"/>
      <c r="MNB1" s="9"/>
      <c r="MNC1" s="9"/>
      <c r="MND1" s="9"/>
      <c r="MNE1" s="9"/>
      <c r="MNF1" s="9"/>
      <c r="MNG1" s="9"/>
      <c r="MNH1" s="9"/>
      <c r="MNI1" s="9"/>
      <c r="MNJ1" s="9"/>
      <c r="MNK1" s="9"/>
      <c r="MNL1" s="9"/>
      <c r="MNM1" s="9"/>
      <c r="MNN1" s="9"/>
      <c r="MNO1" s="9"/>
      <c r="MNP1" s="9"/>
      <c r="MNQ1" s="9"/>
      <c r="MNR1" s="9"/>
      <c r="MNS1" s="9"/>
      <c r="MNT1" s="9"/>
      <c r="MNU1" s="9"/>
      <c r="MNV1" s="9"/>
      <c r="MNW1" s="9"/>
      <c r="MNX1" s="9"/>
      <c r="MNY1" s="9"/>
      <c r="MNZ1" s="9"/>
      <c r="MOA1" s="9"/>
      <c r="MOB1" s="9"/>
      <c r="MOC1" s="9"/>
      <c r="MOD1" s="9"/>
      <c r="MOE1" s="9"/>
      <c r="MOF1" s="9"/>
      <c r="MOG1" s="9"/>
      <c r="MOH1" s="9"/>
      <c r="MOI1" s="9"/>
      <c r="MOJ1" s="9"/>
      <c r="MOK1" s="9"/>
      <c r="MOL1" s="9"/>
      <c r="MOM1" s="9"/>
      <c r="MON1" s="9"/>
      <c r="MOO1" s="9"/>
      <c r="MOP1" s="9"/>
      <c r="MOQ1" s="9"/>
      <c r="MOR1" s="9"/>
      <c r="MOS1" s="9"/>
      <c r="MOT1" s="9"/>
      <c r="MOU1" s="9"/>
      <c r="MOV1" s="9"/>
      <c r="MOW1" s="9"/>
      <c r="MOX1" s="9"/>
      <c r="MOY1" s="9"/>
      <c r="MOZ1" s="9"/>
      <c r="MPA1" s="9"/>
      <c r="MPB1" s="9"/>
      <c r="MPC1" s="9"/>
      <c r="MPD1" s="9"/>
      <c r="MPE1" s="9"/>
      <c r="MPF1" s="9"/>
      <c r="MPG1" s="9"/>
      <c r="MPH1" s="9"/>
      <c r="MPI1" s="9"/>
      <c r="MPJ1" s="9"/>
      <c r="MPK1" s="9"/>
      <c r="MPL1" s="9"/>
      <c r="MPM1" s="9"/>
      <c r="MPN1" s="9"/>
      <c r="MPO1" s="9"/>
      <c r="MPP1" s="9"/>
      <c r="MPQ1" s="9"/>
      <c r="MPR1" s="9"/>
      <c r="MPS1" s="9"/>
      <c r="MPT1" s="9"/>
      <c r="MPU1" s="9"/>
      <c r="MPV1" s="9"/>
      <c r="MPW1" s="9"/>
      <c r="MPX1" s="9"/>
      <c r="MPY1" s="9"/>
      <c r="MPZ1" s="9"/>
      <c r="MQA1" s="9"/>
      <c r="MQB1" s="9"/>
      <c r="MQC1" s="9"/>
      <c r="MQD1" s="9"/>
      <c r="MQE1" s="9"/>
      <c r="MQF1" s="9"/>
      <c r="MQG1" s="9"/>
      <c r="MQH1" s="9"/>
      <c r="MQI1" s="9"/>
      <c r="MQJ1" s="9"/>
      <c r="MQK1" s="9"/>
      <c r="MQL1" s="9"/>
      <c r="MQM1" s="9"/>
      <c r="MQN1" s="9"/>
      <c r="MQO1" s="9"/>
      <c r="MQP1" s="9"/>
      <c r="MQQ1" s="9"/>
      <c r="MQR1" s="9"/>
      <c r="MQS1" s="9"/>
      <c r="MQT1" s="9"/>
      <c r="MQU1" s="9"/>
      <c r="MQV1" s="9"/>
      <c r="MQW1" s="9"/>
      <c r="MQX1" s="9"/>
      <c r="MQY1" s="9"/>
      <c r="MQZ1" s="9"/>
      <c r="MRA1" s="9"/>
      <c r="MRB1" s="9"/>
      <c r="MRC1" s="9"/>
      <c r="MRD1" s="9"/>
      <c r="MRE1" s="9"/>
      <c r="MRF1" s="9"/>
      <c r="MRG1" s="9"/>
      <c r="MRH1" s="9"/>
      <c r="MRI1" s="9"/>
      <c r="MRJ1" s="9"/>
      <c r="MRK1" s="9"/>
      <c r="MRL1" s="9"/>
      <c r="MRM1" s="9"/>
      <c r="MRN1" s="9"/>
      <c r="MRO1" s="9"/>
      <c r="MRP1" s="9"/>
      <c r="MRQ1" s="9"/>
      <c r="MRR1" s="9"/>
      <c r="MRS1" s="9"/>
      <c r="MRT1" s="9"/>
      <c r="MRU1" s="9"/>
      <c r="MRV1" s="9"/>
      <c r="MRW1" s="9"/>
      <c r="MRX1" s="9"/>
      <c r="MRY1" s="9"/>
      <c r="MRZ1" s="9"/>
      <c r="MSA1" s="9"/>
      <c r="MSB1" s="9"/>
      <c r="MSC1" s="9"/>
      <c r="MSD1" s="9"/>
      <c r="MSE1" s="9"/>
      <c r="MSF1" s="9"/>
      <c r="MSG1" s="9"/>
      <c r="MSH1" s="9"/>
      <c r="MSI1" s="9"/>
      <c r="MSJ1" s="9"/>
      <c r="MSK1" s="9"/>
      <c r="MSL1" s="9"/>
      <c r="MSM1" s="9"/>
      <c r="MSN1" s="9"/>
      <c r="MSO1" s="9"/>
      <c r="MSP1" s="9"/>
      <c r="MSQ1" s="9"/>
      <c r="MSR1" s="9"/>
      <c r="MSS1" s="9"/>
      <c r="MST1" s="9"/>
      <c r="MSU1" s="9"/>
      <c r="MSV1" s="9"/>
      <c r="MSW1" s="9"/>
      <c r="MSX1" s="9"/>
      <c r="MSY1" s="9"/>
      <c r="MSZ1" s="9"/>
      <c r="MTA1" s="9"/>
      <c r="MTB1" s="9"/>
      <c r="MTC1" s="9"/>
      <c r="MTD1" s="9"/>
      <c r="MTE1" s="9"/>
      <c r="MTF1" s="9"/>
      <c r="MTG1" s="9"/>
      <c r="MTH1" s="9"/>
      <c r="MTI1" s="9"/>
      <c r="MTJ1" s="9"/>
      <c r="MTK1" s="9"/>
      <c r="MTL1" s="9"/>
      <c r="MTM1" s="9"/>
      <c r="MTN1" s="9"/>
      <c r="MTO1" s="9"/>
      <c r="MTP1" s="9"/>
      <c r="MTQ1" s="9"/>
      <c r="MTR1" s="9"/>
      <c r="MTS1" s="9"/>
      <c r="MTT1" s="9"/>
      <c r="MTU1" s="9"/>
      <c r="MTV1" s="9"/>
      <c r="MTW1" s="9"/>
      <c r="MTX1" s="9"/>
      <c r="MTY1" s="9"/>
      <c r="MTZ1" s="9"/>
      <c r="MUA1" s="9"/>
      <c r="MUB1" s="9"/>
      <c r="MUC1" s="9"/>
      <c r="MUD1" s="9"/>
      <c r="MUE1" s="9"/>
      <c r="MUF1" s="9"/>
      <c r="MUG1" s="9"/>
      <c r="MUH1" s="9"/>
      <c r="MUI1" s="9"/>
      <c r="MUJ1" s="9"/>
      <c r="MUK1" s="9"/>
      <c r="MUL1" s="9"/>
      <c r="MUM1" s="9"/>
      <c r="MUN1" s="9"/>
      <c r="MUO1" s="9"/>
      <c r="MUP1" s="9"/>
      <c r="MUQ1" s="9"/>
      <c r="MUR1" s="9"/>
      <c r="MUS1" s="9"/>
      <c r="MUT1" s="9"/>
      <c r="MUU1" s="9"/>
      <c r="MUV1" s="9"/>
      <c r="MUW1" s="9"/>
      <c r="MUX1" s="9"/>
      <c r="MUY1" s="9"/>
      <c r="MUZ1" s="9"/>
      <c r="MVA1" s="9"/>
      <c r="MVB1" s="9"/>
      <c r="MVC1" s="9"/>
      <c r="MVD1" s="9"/>
      <c r="MVE1" s="9"/>
      <c r="MVF1" s="9"/>
      <c r="MVG1" s="9"/>
      <c r="MVH1" s="9"/>
      <c r="MVI1" s="9"/>
      <c r="MVJ1" s="9"/>
      <c r="MVK1" s="9"/>
      <c r="MVL1" s="9"/>
      <c r="MVM1" s="9"/>
      <c r="MVN1" s="9"/>
      <c r="MVO1" s="9"/>
      <c r="MVP1" s="9"/>
      <c r="MVQ1" s="9"/>
      <c r="MVR1" s="9"/>
      <c r="MVS1" s="9"/>
      <c r="MVT1" s="9"/>
      <c r="MVU1" s="9"/>
      <c r="MVV1" s="9"/>
      <c r="MVW1" s="9"/>
      <c r="MVX1" s="9"/>
      <c r="MVY1" s="9"/>
      <c r="MVZ1" s="9"/>
      <c r="MWA1" s="9"/>
      <c r="MWB1" s="9"/>
      <c r="MWC1" s="9"/>
      <c r="MWD1" s="9"/>
      <c r="MWE1" s="9"/>
      <c r="MWF1" s="9"/>
      <c r="MWG1" s="9"/>
      <c r="MWH1" s="9"/>
      <c r="MWI1" s="9"/>
      <c r="MWJ1" s="9"/>
      <c r="MWK1" s="9"/>
      <c r="MWL1" s="9"/>
      <c r="MWM1" s="9"/>
      <c r="MWN1" s="9"/>
      <c r="MWO1" s="9"/>
      <c r="MWP1" s="9"/>
      <c r="MWQ1" s="9"/>
      <c r="MWR1" s="9"/>
      <c r="MWS1" s="9"/>
      <c r="MWT1" s="9"/>
      <c r="MWU1" s="9"/>
      <c r="MWV1" s="9"/>
      <c r="MWW1" s="9"/>
      <c r="MWX1" s="9"/>
      <c r="MWY1" s="9"/>
      <c r="MWZ1" s="9"/>
      <c r="MXA1" s="9"/>
      <c r="MXB1" s="9"/>
      <c r="MXC1" s="9"/>
      <c r="MXD1" s="9"/>
      <c r="MXE1" s="9"/>
      <c r="MXF1" s="9"/>
      <c r="MXG1" s="9"/>
      <c r="MXH1" s="9"/>
      <c r="MXI1" s="9"/>
      <c r="MXJ1" s="9"/>
      <c r="MXK1" s="9"/>
      <c r="MXL1" s="9"/>
      <c r="MXM1" s="9"/>
      <c r="MXN1" s="9"/>
      <c r="MXO1" s="9"/>
      <c r="MXP1" s="9"/>
      <c r="MXQ1" s="9"/>
      <c r="MXR1" s="9"/>
      <c r="MXS1" s="9"/>
      <c r="MXT1" s="9"/>
      <c r="MXU1" s="9"/>
      <c r="MXV1" s="9"/>
      <c r="MXW1" s="9"/>
      <c r="MXX1" s="9"/>
      <c r="MXY1" s="9"/>
      <c r="MXZ1" s="9"/>
      <c r="MYA1" s="9"/>
      <c r="MYB1" s="9"/>
      <c r="MYC1" s="9"/>
      <c r="MYD1" s="9"/>
      <c r="MYE1" s="9"/>
      <c r="MYF1" s="9"/>
      <c r="MYG1" s="9"/>
      <c r="MYH1" s="9"/>
      <c r="MYI1" s="9"/>
      <c r="MYJ1" s="9"/>
      <c r="MYK1" s="9"/>
      <c r="MYL1" s="9"/>
      <c r="MYM1" s="9"/>
      <c r="MYN1" s="9"/>
      <c r="MYO1" s="9"/>
      <c r="MYP1" s="9"/>
      <c r="MYQ1" s="9"/>
      <c r="MYR1" s="9"/>
      <c r="MYS1" s="9"/>
      <c r="MYT1" s="9"/>
      <c r="MYU1" s="9"/>
      <c r="MYV1" s="9"/>
      <c r="MYW1" s="9"/>
      <c r="MYX1" s="9"/>
      <c r="MYY1" s="9"/>
      <c r="MYZ1" s="9"/>
      <c r="MZA1" s="9"/>
      <c r="MZB1" s="9"/>
      <c r="MZC1" s="9"/>
      <c r="MZD1" s="9"/>
      <c r="MZE1" s="9"/>
      <c r="MZF1" s="9"/>
      <c r="MZG1" s="9"/>
      <c r="MZH1" s="9"/>
      <c r="MZI1" s="9"/>
      <c r="MZJ1" s="9"/>
      <c r="MZK1" s="9"/>
      <c r="MZL1" s="9"/>
      <c r="MZM1" s="9"/>
      <c r="MZN1" s="9"/>
      <c r="MZO1" s="9"/>
      <c r="MZP1" s="9"/>
      <c r="MZQ1" s="9"/>
      <c r="MZR1" s="9"/>
      <c r="MZS1" s="9"/>
      <c r="MZT1" s="9"/>
      <c r="MZU1" s="9"/>
      <c r="MZV1" s="9"/>
      <c r="MZW1" s="9"/>
      <c r="MZX1" s="9"/>
      <c r="MZY1" s="9"/>
      <c r="MZZ1" s="9"/>
      <c r="NAA1" s="9"/>
      <c r="NAB1" s="9"/>
      <c r="NAC1" s="9"/>
      <c r="NAD1" s="9"/>
      <c r="NAE1" s="9"/>
      <c r="NAF1" s="9"/>
      <c r="NAG1" s="9"/>
      <c r="NAH1" s="9"/>
      <c r="NAI1" s="9"/>
      <c r="NAJ1" s="9"/>
      <c r="NAK1" s="9"/>
      <c r="NAL1" s="9"/>
      <c r="NAM1" s="9"/>
      <c r="NAN1" s="9"/>
      <c r="NAO1" s="9"/>
      <c r="NAP1" s="9"/>
      <c r="NAQ1" s="9"/>
      <c r="NAR1" s="9"/>
      <c r="NAS1" s="9"/>
      <c r="NAT1" s="9"/>
      <c r="NAU1" s="9"/>
      <c r="NAV1" s="9"/>
      <c r="NAW1" s="9"/>
      <c r="NAX1" s="9"/>
      <c r="NAY1" s="9"/>
      <c r="NAZ1" s="9"/>
      <c r="NBA1" s="9"/>
      <c r="NBB1" s="9"/>
      <c r="NBC1" s="9"/>
      <c r="NBD1" s="9"/>
      <c r="NBE1" s="9"/>
      <c r="NBF1" s="9"/>
      <c r="NBG1" s="9"/>
      <c r="NBH1" s="9"/>
      <c r="NBI1" s="9"/>
      <c r="NBJ1" s="9"/>
      <c r="NBK1" s="9"/>
      <c r="NBL1" s="9"/>
      <c r="NBM1" s="9"/>
      <c r="NBN1" s="9"/>
      <c r="NBO1" s="9"/>
      <c r="NBP1" s="9"/>
      <c r="NBQ1" s="9"/>
      <c r="NBR1" s="9"/>
      <c r="NBS1" s="9"/>
      <c r="NBT1" s="9"/>
      <c r="NBU1" s="9"/>
      <c r="NBV1" s="9"/>
      <c r="NBW1" s="9"/>
      <c r="NBX1" s="9"/>
      <c r="NBY1" s="9"/>
      <c r="NBZ1" s="9"/>
      <c r="NCA1" s="9"/>
      <c r="NCB1" s="9"/>
      <c r="NCC1" s="9"/>
      <c r="NCD1" s="9"/>
      <c r="NCE1" s="9"/>
      <c r="NCF1" s="9"/>
      <c r="NCG1" s="9"/>
      <c r="NCH1" s="9"/>
      <c r="NCI1" s="9"/>
      <c r="NCJ1" s="9"/>
      <c r="NCK1" s="9"/>
      <c r="NCL1" s="9"/>
      <c r="NCM1" s="9"/>
      <c r="NCN1" s="9"/>
      <c r="NCO1" s="9"/>
      <c r="NCP1" s="9"/>
      <c r="NCQ1" s="9"/>
      <c r="NCR1" s="9"/>
      <c r="NCS1" s="9"/>
      <c r="NCT1" s="9"/>
      <c r="NCU1" s="9"/>
      <c r="NCV1" s="9"/>
      <c r="NCW1" s="9"/>
      <c r="NCX1" s="9"/>
      <c r="NCY1" s="9"/>
      <c r="NCZ1" s="9"/>
      <c r="NDA1" s="9"/>
      <c r="NDB1" s="9"/>
      <c r="NDC1" s="9"/>
      <c r="NDD1" s="9"/>
      <c r="NDE1" s="9"/>
      <c r="NDF1" s="9"/>
      <c r="NDG1" s="9"/>
      <c r="NDH1" s="9"/>
      <c r="NDI1" s="9"/>
      <c r="NDJ1" s="9"/>
      <c r="NDK1" s="9"/>
      <c r="NDL1" s="9"/>
      <c r="NDM1" s="9"/>
      <c r="NDN1" s="9"/>
      <c r="NDO1" s="9"/>
      <c r="NDP1" s="9"/>
      <c r="NDQ1" s="9"/>
      <c r="NDR1" s="9"/>
      <c r="NDS1" s="9"/>
      <c r="NDT1" s="9"/>
      <c r="NDU1" s="9"/>
      <c r="NDV1" s="9"/>
      <c r="NDW1" s="9"/>
      <c r="NDX1" s="9"/>
      <c r="NDY1" s="9"/>
      <c r="NDZ1" s="9"/>
      <c r="NEA1" s="9"/>
      <c r="NEB1" s="9"/>
      <c r="NEC1" s="9"/>
      <c r="NED1" s="9"/>
      <c r="NEE1" s="9"/>
      <c r="NEF1" s="9"/>
      <c r="NEG1" s="9"/>
      <c r="NEH1" s="9"/>
      <c r="NEI1" s="9"/>
      <c r="NEJ1" s="9"/>
      <c r="NEK1" s="9"/>
      <c r="NEL1" s="9"/>
      <c r="NEM1" s="9"/>
      <c r="NEN1" s="9"/>
      <c r="NEO1" s="9"/>
      <c r="NEP1" s="9"/>
      <c r="NEQ1" s="9"/>
      <c r="NER1" s="9"/>
      <c r="NES1" s="9"/>
      <c r="NET1" s="9"/>
      <c r="NEU1" s="9"/>
      <c r="NEV1" s="9"/>
      <c r="NEW1" s="9"/>
      <c r="NEX1" s="9"/>
      <c r="NEY1" s="9"/>
      <c r="NEZ1" s="9"/>
      <c r="NFA1" s="9"/>
      <c r="NFB1" s="9"/>
      <c r="NFC1" s="9"/>
      <c r="NFD1" s="9"/>
      <c r="NFE1" s="9"/>
      <c r="NFF1" s="9"/>
      <c r="NFG1" s="9"/>
      <c r="NFH1" s="9"/>
      <c r="NFI1" s="9"/>
      <c r="NFJ1" s="9"/>
      <c r="NFK1" s="9"/>
      <c r="NFL1" s="9"/>
      <c r="NFM1" s="9"/>
      <c r="NFN1" s="9"/>
      <c r="NFO1" s="9"/>
      <c r="NFP1" s="9"/>
      <c r="NFQ1" s="9"/>
      <c r="NFR1" s="9"/>
      <c r="NFS1" s="9"/>
      <c r="NFT1" s="9"/>
      <c r="NFU1" s="9"/>
      <c r="NFV1" s="9"/>
      <c r="NFW1" s="9"/>
      <c r="NFX1" s="9"/>
      <c r="NFY1" s="9"/>
      <c r="NFZ1" s="9"/>
      <c r="NGA1" s="9"/>
      <c r="NGB1" s="9"/>
      <c r="NGC1" s="9"/>
      <c r="NGD1" s="9"/>
      <c r="NGE1" s="9"/>
      <c r="NGF1" s="9"/>
      <c r="NGG1" s="9"/>
      <c r="NGH1" s="9"/>
      <c r="NGI1" s="9"/>
      <c r="NGJ1" s="9"/>
      <c r="NGK1" s="9"/>
      <c r="NGL1" s="9"/>
      <c r="NGM1" s="9"/>
      <c r="NGN1" s="9"/>
      <c r="NGO1" s="9"/>
      <c r="NGP1" s="9"/>
      <c r="NGQ1" s="9"/>
      <c r="NGR1" s="9"/>
      <c r="NGS1" s="9"/>
      <c r="NGT1" s="9"/>
      <c r="NGU1" s="9"/>
      <c r="NGV1" s="9"/>
      <c r="NGW1" s="9"/>
      <c r="NGX1" s="9"/>
      <c r="NGY1" s="9"/>
      <c r="NGZ1" s="9"/>
      <c r="NHA1" s="9"/>
      <c r="NHB1" s="9"/>
      <c r="NHC1" s="9"/>
      <c r="NHD1" s="9"/>
      <c r="NHE1" s="9"/>
      <c r="NHF1" s="9"/>
      <c r="NHG1" s="9"/>
      <c r="NHH1" s="9"/>
      <c r="NHI1" s="9"/>
      <c r="NHJ1" s="9"/>
      <c r="NHK1" s="9"/>
      <c r="NHL1" s="9"/>
      <c r="NHM1" s="9"/>
      <c r="NHN1" s="9"/>
      <c r="NHO1" s="9"/>
      <c r="NHP1" s="9"/>
      <c r="NHQ1" s="9"/>
      <c r="NHR1" s="9"/>
      <c r="NHS1" s="9"/>
      <c r="NHT1" s="9"/>
      <c r="NHU1" s="9"/>
      <c r="NHV1" s="9"/>
      <c r="NHW1" s="9"/>
      <c r="NHX1" s="9"/>
      <c r="NHY1" s="9"/>
      <c r="NHZ1" s="9"/>
      <c r="NIA1" s="9"/>
      <c r="NIB1" s="9"/>
      <c r="NIC1" s="9"/>
      <c r="NID1" s="9"/>
      <c r="NIE1" s="9"/>
      <c r="NIF1" s="9"/>
      <c r="NIG1" s="9"/>
      <c r="NIH1" s="9"/>
      <c r="NII1" s="9"/>
      <c r="NIJ1" s="9"/>
      <c r="NIK1" s="9"/>
      <c r="NIL1" s="9"/>
      <c r="NIM1" s="9"/>
      <c r="NIN1" s="9"/>
      <c r="NIO1" s="9"/>
      <c r="NIP1" s="9"/>
      <c r="NIQ1" s="9"/>
      <c r="NIR1" s="9"/>
      <c r="NIS1" s="9"/>
      <c r="NIT1" s="9"/>
      <c r="NIU1" s="9"/>
      <c r="NIV1" s="9"/>
      <c r="NIW1" s="9"/>
      <c r="NIX1" s="9"/>
      <c r="NIY1" s="9"/>
      <c r="NIZ1" s="9"/>
      <c r="NJA1" s="9"/>
      <c r="NJB1" s="9"/>
      <c r="NJC1" s="9"/>
      <c r="NJD1" s="9"/>
      <c r="NJE1" s="9"/>
      <c r="NJF1" s="9"/>
      <c r="NJG1" s="9"/>
      <c r="NJH1" s="9"/>
      <c r="NJI1" s="9"/>
      <c r="NJJ1" s="9"/>
      <c r="NJK1" s="9"/>
      <c r="NJL1" s="9"/>
      <c r="NJM1" s="9"/>
      <c r="NJN1" s="9"/>
      <c r="NJO1" s="9"/>
      <c r="NJP1" s="9"/>
      <c r="NJQ1" s="9"/>
      <c r="NJR1" s="9"/>
      <c r="NJS1" s="9"/>
      <c r="NJT1" s="9"/>
      <c r="NJU1" s="9"/>
      <c r="NJV1" s="9"/>
      <c r="NJW1" s="9"/>
      <c r="NJX1" s="9"/>
      <c r="NJY1" s="9"/>
      <c r="NJZ1" s="9"/>
      <c r="NKA1" s="9"/>
      <c r="NKB1" s="9"/>
      <c r="NKC1" s="9"/>
      <c r="NKD1" s="9"/>
      <c r="NKE1" s="9"/>
      <c r="NKF1" s="9"/>
      <c r="NKG1" s="9"/>
      <c r="NKH1" s="9"/>
      <c r="NKI1" s="9"/>
      <c r="NKJ1" s="9"/>
      <c r="NKK1" s="9"/>
      <c r="NKL1" s="9"/>
      <c r="NKM1" s="9"/>
      <c r="NKN1" s="9"/>
      <c r="NKO1" s="9"/>
      <c r="NKP1" s="9"/>
      <c r="NKQ1" s="9"/>
      <c r="NKR1" s="9"/>
      <c r="NKS1" s="9"/>
      <c r="NKT1" s="9"/>
      <c r="NKU1" s="9"/>
      <c r="NKV1" s="9"/>
      <c r="NKW1" s="9"/>
      <c r="NKX1" s="9"/>
      <c r="NKY1" s="9"/>
      <c r="NKZ1" s="9"/>
      <c r="NLA1" s="9"/>
      <c r="NLB1" s="9"/>
      <c r="NLC1" s="9"/>
      <c r="NLD1" s="9"/>
      <c r="NLE1" s="9"/>
      <c r="NLF1" s="9"/>
      <c r="NLG1" s="9"/>
      <c r="NLH1" s="9"/>
      <c r="NLI1" s="9"/>
      <c r="NLJ1" s="9"/>
      <c r="NLK1" s="9"/>
      <c r="NLL1" s="9"/>
      <c r="NLM1" s="9"/>
      <c r="NLN1" s="9"/>
      <c r="NLO1" s="9"/>
      <c r="NLP1" s="9"/>
      <c r="NLQ1" s="9"/>
      <c r="NLR1" s="9"/>
      <c r="NLS1" s="9"/>
      <c r="NLT1" s="9"/>
      <c r="NLU1" s="9"/>
      <c r="NLV1" s="9"/>
      <c r="NLW1" s="9"/>
      <c r="NLX1" s="9"/>
      <c r="NLY1" s="9"/>
      <c r="NLZ1" s="9"/>
      <c r="NMA1" s="9"/>
      <c r="NMB1" s="9"/>
      <c r="NMC1" s="9"/>
      <c r="NMD1" s="9"/>
      <c r="NME1" s="9"/>
      <c r="NMF1" s="9"/>
      <c r="NMG1" s="9"/>
      <c r="NMH1" s="9"/>
      <c r="NMI1" s="9"/>
      <c r="NMJ1" s="9"/>
      <c r="NMK1" s="9"/>
      <c r="NML1" s="9"/>
      <c r="NMM1" s="9"/>
      <c r="NMN1" s="9"/>
      <c r="NMO1" s="9"/>
      <c r="NMP1" s="9"/>
      <c r="NMQ1" s="9"/>
      <c r="NMR1" s="9"/>
      <c r="NMS1" s="9"/>
      <c r="NMT1" s="9"/>
      <c r="NMU1" s="9"/>
      <c r="NMV1" s="9"/>
      <c r="NMW1" s="9"/>
      <c r="NMX1" s="9"/>
      <c r="NMY1" s="9"/>
      <c r="NMZ1" s="9"/>
      <c r="NNA1" s="9"/>
      <c r="NNB1" s="9"/>
      <c r="NNC1" s="9"/>
      <c r="NND1" s="9"/>
      <c r="NNE1" s="9"/>
      <c r="NNF1" s="9"/>
      <c r="NNG1" s="9"/>
      <c r="NNH1" s="9"/>
      <c r="NNI1" s="9"/>
      <c r="NNJ1" s="9"/>
      <c r="NNK1" s="9"/>
      <c r="NNL1" s="9"/>
      <c r="NNM1" s="9"/>
      <c r="NNN1" s="9"/>
      <c r="NNO1" s="9"/>
      <c r="NNP1" s="9"/>
      <c r="NNQ1" s="9"/>
      <c r="NNR1" s="9"/>
      <c r="NNS1" s="9"/>
      <c r="NNT1" s="9"/>
      <c r="NNU1" s="9"/>
      <c r="NNV1" s="9"/>
      <c r="NNW1" s="9"/>
      <c r="NNX1" s="9"/>
      <c r="NNY1" s="9"/>
      <c r="NNZ1" s="9"/>
      <c r="NOA1" s="9"/>
      <c r="NOB1" s="9"/>
      <c r="NOC1" s="9"/>
      <c r="NOD1" s="9"/>
      <c r="NOE1" s="9"/>
      <c r="NOF1" s="9"/>
      <c r="NOG1" s="9"/>
      <c r="NOH1" s="9"/>
      <c r="NOI1" s="9"/>
      <c r="NOJ1" s="9"/>
      <c r="NOK1" s="9"/>
      <c r="NOL1" s="9"/>
      <c r="NOM1" s="9"/>
      <c r="NON1" s="9"/>
      <c r="NOO1" s="9"/>
      <c r="NOP1" s="9"/>
      <c r="NOQ1" s="9"/>
      <c r="NOR1" s="9"/>
      <c r="NOS1" s="9"/>
      <c r="NOT1" s="9"/>
      <c r="NOU1" s="9"/>
      <c r="NOV1" s="9"/>
      <c r="NOW1" s="9"/>
      <c r="NOX1" s="9"/>
      <c r="NOY1" s="9"/>
      <c r="NOZ1" s="9"/>
      <c r="NPA1" s="9"/>
      <c r="NPB1" s="9"/>
      <c r="NPC1" s="9"/>
      <c r="NPD1" s="9"/>
      <c r="NPE1" s="9"/>
      <c r="NPF1" s="9"/>
      <c r="NPG1" s="9"/>
      <c r="NPH1" s="9"/>
      <c r="NPI1" s="9"/>
      <c r="NPJ1" s="9"/>
      <c r="NPK1" s="9"/>
      <c r="NPL1" s="9"/>
      <c r="NPM1" s="9"/>
      <c r="NPN1" s="9"/>
      <c r="NPO1" s="9"/>
      <c r="NPP1" s="9"/>
      <c r="NPQ1" s="9"/>
      <c r="NPR1" s="9"/>
      <c r="NPS1" s="9"/>
      <c r="NPT1" s="9"/>
      <c r="NPU1" s="9"/>
      <c r="NPV1" s="9"/>
      <c r="NPW1" s="9"/>
      <c r="NPX1" s="9"/>
      <c r="NPY1" s="9"/>
      <c r="NPZ1" s="9"/>
      <c r="NQA1" s="9"/>
      <c r="NQB1" s="9"/>
      <c r="NQC1" s="9"/>
      <c r="NQD1" s="9"/>
      <c r="NQE1" s="9"/>
      <c r="NQF1" s="9"/>
      <c r="NQG1" s="9"/>
      <c r="NQH1" s="9"/>
      <c r="NQI1" s="9"/>
      <c r="NQJ1" s="9"/>
      <c r="NQK1" s="9"/>
      <c r="NQL1" s="9"/>
      <c r="NQM1" s="9"/>
      <c r="NQN1" s="9"/>
      <c r="NQO1" s="9"/>
      <c r="NQP1" s="9"/>
      <c r="NQQ1" s="9"/>
      <c r="NQR1" s="9"/>
      <c r="NQS1" s="9"/>
      <c r="NQT1" s="9"/>
      <c r="NQU1" s="9"/>
      <c r="NQV1" s="9"/>
      <c r="NQW1" s="9"/>
      <c r="NQX1" s="9"/>
      <c r="NQY1" s="9"/>
      <c r="NQZ1" s="9"/>
      <c r="NRA1" s="9"/>
      <c r="NRB1" s="9"/>
      <c r="NRC1" s="9"/>
      <c r="NRD1" s="9"/>
      <c r="NRE1" s="9"/>
      <c r="NRF1" s="9"/>
      <c r="NRG1" s="9"/>
      <c r="NRH1" s="9"/>
      <c r="NRI1" s="9"/>
      <c r="NRJ1" s="9"/>
      <c r="NRK1" s="9"/>
      <c r="NRL1" s="9"/>
      <c r="NRM1" s="9"/>
      <c r="NRN1" s="9"/>
      <c r="NRO1" s="9"/>
      <c r="NRP1" s="9"/>
      <c r="NRQ1" s="9"/>
      <c r="NRR1" s="9"/>
      <c r="NRS1" s="9"/>
      <c r="NRT1" s="9"/>
      <c r="NRU1" s="9"/>
      <c r="NRV1" s="9"/>
      <c r="NRW1" s="9"/>
      <c r="NRX1" s="9"/>
      <c r="NRY1" s="9"/>
      <c r="NRZ1" s="9"/>
      <c r="NSA1" s="9"/>
      <c r="NSB1" s="9"/>
      <c r="NSC1" s="9"/>
      <c r="NSD1" s="9"/>
      <c r="NSE1" s="9"/>
      <c r="NSF1" s="9"/>
      <c r="NSG1" s="9"/>
      <c r="NSH1" s="9"/>
      <c r="NSI1" s="9"/>
      <c r="NSJ1" s="9"/>
      <c r="NSK1" s="9"/>
      <c r="NSL1" s="9"/>
      <c r="NSM1" s="9"/>
      <c r="NSN1" s="9"/>
      <c r="NSO1" s="9"/>
      <c r="NSP1" s="9"/>
      <c r="NSQ1" s="9"/>
      <c r="NSR1" s="9"/>
      <c r="NSS1" s="9"/>
      <c r="NST1" s="9"/>
      <c r="NSU1" s="9"/>
      <c r="NSV1" s="9"/>
      <c r="NSW1" s="9"/>
      <c r="NSX1" s="9"/>
      <c r="NSY1" s="9"/>
      <c r="NSZ1" s="9"/>
      <c r="NTA1" s="9"/>
      <c r="NTB1" s="9"/>
      <c r="NTC1" s="9"/>
      <c r="NTD1" s="9"/>
      <c r="NTE1" s="9"/>
      <c r="NTF1" s="9"/>
      <c r="NTG1" s="9"/>
      <c r="NTH1" s="9"/>
      <c r="NTI1" s="9"/>
      <c r="NTJ1" s="9"/>
      <c r="NTK1" s="9"/>
      <c r="NTL1" s="9"/>
      <c r="NTM1" s="9"/>
      <c r="NTN1" s="9"/>
      <c r="NTO1" s="9"/>
      <c r="NTP1" s="9"/>
      <c r="NTQ1" s="9"/>
      <c r="NTR1" s="9"/>
      <c r="NTS1" s="9"/>
      <c r="NTT1" s="9"/>
      <c r="NTU1" s="9"/>
      <c r="NTV1" s="9"/>
      <c r="NTW1" s="9"/>
      <c r="NTX1" s="9"/>
      <c r="NTY1" s="9"/>
      <c r="NTZ1" s="9"/>
      <c r="NUA1" s="9"/>
      <c r="NUB1" s="9"/>
      <c r="NUC1" s="9"/>
      <c r="NUD1" s="9"/>
      <c r="NUE1" s="9"/>
      <c r="NUF1" s="9"/>
      <c r="NUG1" s="9"/>
      <c r="NUH1" s="9"/>
      <c r="NUI1" s="9"/>
      <c r="NUJ1" s="9"/>
      <c r="NUK1" s="9"/>
      <c r="NUL1" s="9"/>
      <c r="NUM1" s="9"/>
      <c r="NUN1" s="9"/>
      <c r="NUO1" s="9"/>
      <c r="NUP1" s="9"/>
      <c r="NUQ1" s="9"/>
      <c r="NUR1" s="9"/>
      <c r="NUS1" s="9"/>
      <c r="NUT1" s="9"/>
      <c r="NUU1" s="9"/>
      <c r="NUV1" s="9"/>
      <c r="NUW1" s="9"/>
      <c r="NUX1" s="9"/>
      <c r="NUY1" s="9"/>
      <c r="NUZ1" s="9"/>
      <c r="NVA1" s="9"/>
      <c r="NVB1" s="9"/>
      <c r="NVC1" s="9"/>
      <c r="NVD1" s="9"/>
      <c r="NVE1" s="9"/>
      <c r="NVF1" s="9"/>
      <c r="NVG1" s="9"/>
      <c r="NVH1" s="9"/>
      <c r="NVI1" s="9"/>
      <c r="NVJ1" s="9"/>
      <c r="NVK1" s="9"/>
      <c r="NVL1" s="9"/>
      <c r="NVM1" s="9"/>
      <c r="NVN1" s="9"/>
      <c r="NVO1" s="9"/>
      <c r="NVP1" s="9"/>
      <c r="NVQ1" s="9"/>
      <c r="NVR1" s="9"/>
      <c r="NVS1" s="9"/>
      <c r="NVT1" s="9"/>
      <c r="NVU1" s="9"/>
      <c r="NVV1" s="9"/>
      <c r="NVW1" s="9"/>
      <c r="NVX1" s="9"/>
      <c r="NVY1" s="9"/>
      <c r="NVZ1" s="9"/>
      <c r="NWA1" s="9"/>
      <c r="NWB1" s="9"/>
      <c r="NWC1" s="9"/>
      <c r="NWD1" s="9"/>
      <c r="NWE1" s="9"/>
      <c r="NWF1" s="9"/>
      <c r="NWG1" s="9"/>
      <c r="NWH1" s="9"/>
      <c r="NWI1" s="9"/>
      <c r="NWJ1" s="9"/>
      <c r="NWK1" s="9"/>
      <c r="NWL1" s="9"/>
      <c r="NWM1" s="9"/>
      <c r="NWN1" s="9"/>
      <c r="NWO1" s="9"/>
      <c r="NWP1" s="9"/>
      <c r="NWQ1" s="9"/>
      <c r="NWR1" s="9"/>
      <c r="NWS1" s="9"/>
      <c r="NWT1" s="9"/>
      <c r="NWU1" s="9"/>
      <c r="NWV1" s="9"/>
      <c r="NWW1" s="9"/>
      <c r="NWX1" s="9"/>
      <c r="NWY1" s="9"/>
      <c r="NWZ1" s="9"/>
      <c r="NXA1" s="9"/>
      <c r="NXB1" s="9"/>
      <c r="NXC1" s="9"/>
      <c r="NXD1" s="9"/>
      <c r="NXE1" s="9"/>
      <c r="NXF1" s="9"/>
      <c r="NXG1" s="9"/>
      <c r="NXH1" s="9"/>
      <c r="NXI1" s="9"/>
      <c r="NXJ1" s="9"/>
      <c r="NXK1" s="9"/>
      <c r="NXL1" s="9"/>
      <c r="NXM1" s="9"/>
      <c r="NXN1" s="9"/>
      <c r="NXO1" s="9"/>
      <c r="NXP1" s="9"/>
      <c r="NXQ1" s="9"/>
      <c r="NXR1" s="9"/>
      <c r="NXS1" s="9"/>
      <c r="NXT1" s="9"/>
      <c r="NXU1" s="9"/>
      <c r="NXV1" s="9"/>
      <c r="NXW1" s="9"/>
      <c r="NXX1" s="9"/>
      <c r="NXY1" s="9"/>
      <c r="NXZ1" s="9"/>
      <c r="NYA1" s="9"/>
      <c r="NYB1" s="9"/>
      <c r="NYC1" s="9"/>
      <c r="NYD1" s="9"/>
      <c r="NYE1" s="9"/>
      <c r="NYF1" s="9"/>
      <c r="NYG1" s="9"/>
      <c r="NYH1" s="9"/>
      <c r="NYI1" s="9"/>
      <c r="NYJ1" s="9"/>
      <c r="NYK1" s="9"/>
      <c r="NYL1" s="9"/>
      <c r="NYM1" s="9"/>
      <c r="NYN1" s="9"/>
      <c r="NYO1" s="9"/>
      <c r="NYP1" s="9"/>
      <c r="NYQ1" s="9"/>
      <c r="NYR1" s="9"/>
      <c r="NYS1" s="9"/>
      <c r="NYT1" s="9"/>
      <c r="NYU1" s="9"/>
      <c r="NYV1" s="9"/>
      <c r="NYW1" s="9"/>
      <c r="NYX1" s="9"/>
      <c r="NYY1" s="9"/>
      <c r="NYZ1" s="9"/>
      <c r="NZA1" s="9"/>
      <c r="NZB1" s="9"/>
      <c r="NZC1" s="9"/>
      <c r="NZD1" s="9"/>
      <c r="NZE1" s="9"/>
      <c r="NZF1" s="9"/>
      <c r="NZG1" s="9"/>
      <c r="NZH1" s="9"/>
      <c r="NZI1" s="9"/>
      <c r="NZJ1" s="9"/>
      <c r="NZK1" s="9"/>
      <c r="NZL1" s="9"/>
      <c r="NZM1" s="9"/>
      <c r="NZN1" s="9"/>
      <c r="NZO1" s="9"/>
      <c r="NZP1" s="9"/>
      <c r="NZQ1" s="9"/>
      <c r="NZR1" s="9"/>
      <c r="NZS1" s="9"/>
      <c r="NZT1" s="9"/>
      <c r="NZU1" s="9"/>
      <c r="NZV1" s="9"/>
      <c r="NZW1" s="9"/>
      <c r="NZX1" s="9"/>
      <c r="NZY1" s="9"/>
      <c r="NZZ1" s="9"/>
      <c r="OAA1" s="9"/>
      <c r="OAB1" s="9"/>
      <c r="OAC1" s="9"/>
      <c r="OAD1" s="9"/>
      <c r="OAE1" s="9"/>
      <c r="OAF1" s="9"/>
      <c r="OAG1" s="9"/>
      <c r="OAH1" s="9"/>
      <c r="OAI1" s="9"/>
      <c r="OAJ1" s="9"/>
      <c r="OAK1" s="9"/>
      <c r="OAL1" s="9"/>
      <c r="OAM1" s="9"/>
      <c r="OAN1" s="9"/>
      <c r="OAO1" s="9"/>
      <c r="OAP1" s="9"/>
      <c r="OAQ1" s="9"/>
      <c r="OAR1" s="9"/>
      <c r="OAS1" s="9"/>
      <c r="OAT1" s="9"/>
      <c r="OAU1" s="9"/>
      <c r="OAV1" s="9"/>
      <c r="OAW1" s="9"/>
      <c r="OAX1" s="9"/>
      <c r="OAY1" s="9"/>
      <c r="OAZ1" s="9"/>
      <c r="OBA1" s="9"/>
      <c r="OBB1" s="9"/>
      <c r="OBC1" s="9"/>
      <c r="OBD1" s="9"/>
      <c r="OBE1" s="9"/>
      <c r="OBF1" s="9"/>
      <c r="OBG1" s="9"/>
      <c r="OBH1" s="9"/>
      <c r="OBI1" s="9"/>
      <c r="OBJ1" s="9"/>
      <c r="OBK1" s="9"/>
      <c r="OBL1" s="9"/>
      <c r="OBM1" s="9"/>
      <c r="OBN1" s="9"/>
      <c r="OBO1" s="9"/>
      <c r="OBP1" s="9"/>
      <c r="OBQ1" s="9"/>
      <c r="OBR1" s="9"/>
      <c r="OBS1" s="9"/>
      <c r="OBT1" s="9"/>
      <c r="OBU1" s="9"/>
      <c r="OBV1" s="9"/>
      <c r="OBW1" s="9"/>
      <c r="OBX1" s="9"/>
      <c r="OBY1" s="9"/>
      <c r="OBZ1" s="9"/>
      <c r="OCA1" s="9"/>
      <c r="OCB1" s="9"/>
      <c r="OCC1" s="9"/>
      <c r="OCD1" s="9"/>
      <c r="OCE1" s="9"/>
      <c r="OCF1" s="9"/>
      <c r="OCG1" s="9"/>
      <c r="OCH1" s="9"/>
      <c r="OCI1" s="9"/>
      <c r="OCJ1" s="9"/>
      <c r="OCK1" s="9"/>
      <c r="OCL1" s="9"/>
      <c r="OCM1" s="9"/>
      <c r="OCN1" s="9"/>
      <c r="OCO1" s="9"/>
      <c r="OCP1" s="9"/>
      <c r="OCQ1" s="9"/>
      <c r="OCR1" s="9"/>
      <c r="OCS1" s="9"/>
      <c r="OCT1" s="9"/>
      <c r="OCU1" s="9"/>
      <c r="OCV1" s="9"/>
      <c r="OCW1" s="9"/>
      <c r="OCX1" s="9"/>
      <c r="OCY1" s="9"/>
      <c r="OCZ1" s="9"/>
      <c r="ODA1" s="9"/>
      <c r="ODB1" s="9"/>
      <c r="ODC1" s="9"/>
      <c r="ODD1" s="9"/>
      <c r="ODE1" s="9"/>
      <c r="ODF1" s="9"/>
      <c r="ODG1" s="9"/>
      <c r="ODH1" s="9"/>
      <c r="ODI1" s="9"/>
      <c r="ODJ1" s="9"/>
      <c r="ODK1" s="9"/>
      <c r="ODL1" s="9"/>
      <c r="ODM1" s="9"/>
      <c r="ODN1" s="9"/>
      <c r="ODO1" s="9"/>
      <c r="ODP1" s="9"/>
      <c r="ODQ1" s="9"/>
      <c r="ODR1" s="9"/>
      <c r="ODS1" s="9"/>
      <c r="ODT1" s="9"/>
      <c r="ODU1" s="9"/>
      <c r="ODV1" s="9"/>
      <c r="ODW1" s="9"/>
      <c r="ODX1" s="9"/>
      <c r="ODY1" s="9"/>
      <c r="ODZ1" s="9"/>
      <c r="OEA1" s="9"/>
      <c r="OEB1" s="9"/>
      <c r="OEC1" s="9"/>
      <c r="OED1" s="9"/>
      <c r="OEE1" s="9"/>
      <c r="OEF1" s="9"/>
      <c r="OEG1" s="9"/>
      <c r="OEH1" s="9"/>
      <c r="OEI1" s="9"/>
      <c r="OEJ1" s="9"/>
      <c r="OEK1" s="9"/>
      <c r="OEL1" s="9"/>
      <c r="OEM1" s="9"/>
      <c r="OEN1" s="9"/>
      <c r="OEO1" s="9"/>
      <c r="OEP1" s="9"/>
      <c r="OEQ1" s="9"/>
      <c r="OER1" s="9"/>
      <c r="OES1" s="9"/>
      <c r="OET1" s="9"/>
      <c r="OEU1" s="9"/>
      <c r="OEV1" s="9"/>
      <c r="OEW1" s="9"/>
      <c r="OEX1" s="9"/>
      <c r="OEY1" s="9"/>
      <c r="OEZ1" s="9"/>
      <c r="OFA1" s="9"/>
      <c r="OFB1" s="9"/>
      <c r="OFC1" s="9"/>
      <c r="OFD1" s="9"/>
      <c r="OFE1" s="9"/>
      <c r="OFF1" s="9"/>
      <c r="OFG1" s="9"/>
      <c r="OFH1" s="9"/>
      <c r="OFI1" s="9"/>
      <c r="OFJ1" s="9"/>
      <c r="OFK1" s="9"/>
      <c r="OFL1" s="9"/>
      <c r="OFM1" s="9"/>
      <c r="OFN1" s="9"/>
      <c r="OFO1" s="9"/>
      <c r="OFP1" s="9"/>
      <c r="OFQ1" s="9"/>
      <c r="OFR1" s="9"/>
      <c r="OFS1" s="9"/>
      <c r="OFT1" s="9"/>
      <c r="OFU1" s="9"/>
      <c r="OFV1" s="9"/>
      <c r="OFW1" s="9"/>
      <c r="OFX1" s="9"/>
      <c r="OFY1" s="9"/>
      <c r="OFZ1" s="9"/>
      <c r="OGA1" s="9"/>
      <c r="OGB1" s="9"/>
      <c r="OGC1" s="9"/>
      <c r="OGD1" s="9"/>
      <c r="OGE1" s="9"/>
      <c r="OGF1" s="9"/>
      <c r="OGG1" s="9"/>
      <c r="OGH1" s="9"/>
      <c r="OGI1" s="9"/>
      <c r="OGJ1" s="9"/>
      <c r="OGK1" s="9"/>
      <c r="OGL1" s="9"/>
      <c r="OGM1" s="9"/>
      <c r="OGN1" s="9"/>
      <c r="OGO1" s="9"/>
      <c r="OGP1" s="9"/>
      <c r="OGQ1" s="9"/>
      <c r="OGR1" s="9"/>
      <c r="OGS1" s="9"/>
      <c r="OGT1" s="9"/>
      <c r="OGU1" s="9"/>
      <c r="OGV1" s="9"/>
      <c r="OGW1" s="9"/>
      <c r="OGX1" s="9"/>
      <c r="OGY1" s="9"/>
      <c r="OGZ1" s="9"/>
      <c r="OHA1" s="9"/>
      <c r="OHB1" s="9"/>
      <c r="OHC1" s="9"/>
      <c r="OHD1" s="9"/>
      <c r="OHE1" s="9"/>
      <c r="OHF1" s="9"/>
      <c r="OHG1" s="9"/>
      <c r="OHH1" s="9"/>
      <c r="OHI1" s="9"/>
      <c r="OHJ1" s="9"/>
      <c r="OHK1" s="9"/>
      <c r="OHL1" s="9"/>
      <c r="OHM1" s="9"/>
      <c r="OHN1" s="9"/>
      <c r="OHO1" s="9"/>
      <c r="OHP1" s="9"/>
      <c r="OHQ1" s="9"/>
      <c r="OHR1" s="9"/>
      <c r="OHS1" s="9"/>
      <c r="OHT1" s="9"/>
      <c r="OHU1" s="9"/>
      <c r="OHV1" s="9"/>
      <c r="OHW1" s="9"/>
      <c r="OHX1" s="9"/>
      <c r="OHY1" s="9"/>
      <c r="OHZ1" s="9"/>
      <c r="OIA1" s="9"/>
      <c r="OIB1" s="9"/>
      <c r="OIC1" s="9"/>
      <c r="OID1" s="9"/>
      <c r="OIE1" s="9"/>
      <c r="OIF1" s="9"/>
      <c r="OIG1" s="9"/>
      <c r="OIH1" s="9"/>
      <c r="OII1" s="9"/>
      <c r="OIJ1" s="9"/>
      <c r="OIK1" s="9"/>
      <c r="OIL1" s="9"/>
      <c r="OIM1" s="9"/>
      <c r="OIN1" s="9"/>
      <c r="OIO1" s="9"/>
      <c r="OIP1" s="9"/>
      <c r="OIQ1" s="9"/>
      <c r="OIR1" s="9"/>
      <c r="OIS1" s="9"/>
      <c r="OIT1" s="9"/>
      <c r="OIU1" s="9"/>
      <c r="OIV1" s="9"/>
      <c r="OIW1" s="9"/>
      <c r="OIX1" s="9"/>
      <c r="OIY1" s="9"/>
      <c r="OIZ1" s="9"/>
      <c r="OJA1" s="9"/>
      <c r="OJB1" s="9"/>
      <c r="OJC1" s="9"/>
      <c r="OJD1" s="9"/>
      <c r="OJE1" s="9"/>
      <c r="OJF1" s="9"/>
      <c r="OJG1" s="9"/>
      <c r="OJH1" s="9"/>
      <c r="OJI1" s="9"/>
      <c r="OJJ1" s="9"/>
      <c r="OJK1" s="9"/>
      <c r="OJL1" s="9"/>
      <c r="OJM1" s="9"/>
      <c r="OJN1" s="9"/>
      <c r="OJO1" s="9"/>
      <c r="OJP1" s="9"/>
      <c r="OJQ1" s="9"/>
      <c r="OJR1" s="9"/>
      <c r="OJS1" s="9"/>
      <c r="OJT1" s="9"/>
      <c r="OJU1" s="9"/>
      <c r="OJV1" s="9"/>
      <c r="OJW1" s="9"/>
      <c r="OJX1" s="9"/>
      <c r="OJY1" s="9"/>
      <c r="OJZ1" s="9"/>
      <c r="OKA1" s="9"/>
      <c r="OKB1" s="9"/>
      <c r="OKC1" s="9"/>
      <c r="OKD1" s="9"/>
      <c r="OKE1" s="9"/>
      <c r="OKF1" s="9"/>
      <c r="OKG1" s="9"/>
      <c r="OKH1" s="9"/>
      <c r="OKI1" s="9"/>
      <c r="OKJ1" s="9"/>
      <c r="OKK1" s="9"/>
      <c r="OKL1" s="9"/>
      <c r="OKM1" s="9"/>
      <c r="OKN1" s="9"/>
      <c r="OKO1" s="9"/>
      <c r="OKP1" s="9"/>
      <c r="OKQ1" s="9"/>
      <c r="OKR1" s="9"/>
      <c r="OKS1" s="9"/>
      <c r="OKT1" s="9"/>
      <c r="OKU1" s="9"/>
      <c r="OKV1" s="9"/>
      <c r="OKW1" s="9"/>
      <c r="OKX1" s="9"/>
      <c r="OKY1" s="9"/>
      <c r="OKZ1" s="9"/>
      <c r="OLA1" s="9"/>
      <c r="OLB1" s="9"/>
      <c r="OLC1" s="9"/>
      <c r="OLD1" s="9"/>
      <c r="OLE1" s="9"/>
      <c r="OLF1" s="9"/>
      <c r="OLG1" s="9"/>
      <c r="OLH1" s="9"/>
      <c r="OLI1" s="9"/>
      <c r="OLJ1" s="9"/>
      <c r="OLK1" s="9"/>
      <c r="OLL1" s="9"/>
      <c r="OLM1" s="9"/>
      <c r="OLN1" s="9"/>
      <c r="OLO1" s="9"/>
      <c r="OLP1" s="9"/>
      <c r="OLQ1" s="9"/>
      <c r="OLR1" s="9"/>
      <c r="OLS1" s="9"/>
      <c r="OLT1" s="9"/>
      <c r="OLU1" s="9"/>
      <c r="OLV1" s="9"/>
      <c r="OLW1" s="9"/>
      <c r="OLX1" s="9"/>
      <c r="OLY1" s="9"/>
      <c r="OLZ1" s="9"/>
      <c r="OMA1" s="9"/>
      <c r="OMB1" s="9"/>
      <c r="OMC1" s="9"/>
      <c r="OMD1" s="9"/>
      <c r="OME1" s="9"/>
      <c r="OMF1" s="9"/>
      <c r="OMG1" s="9"/>
      <c r="OMH1" s="9"/>
      <c r="OMI1" s="9"/>
      <c r="OMJ1" s="9"/>
      <c r="OMK1" s="9"/>
      <c r="OML1" s="9"/>
      <c r="OMM1" s="9"/>
      <c r="OMN1" s="9"/>
      <c r="OMO1" s="9"/>
      <c r="OMP1" s="9"/>
      <c r="OMQ1" s="9"/>
      <c r="OMR1" s="9"/>
      <c r="OMS1" s="9"/>
      <c r="OMT1" s="9"/>
      <c r="OMU1" s="9"/>
      <c r="OMV1" s="9"/>
      <c r="OMW1" s="9"/>
      <c r="OMX1" s="9"/>
      <c r="OMY1" s="9"/>
      <c r="OMZ1" s="9"/>
      <c r="ONA1" s="9"/>
      <c r="ONB1" s="9"/>
      <c r="ONC1" s="9"/>
      <c r="OND1" s="9"/>
      <c r="ONE1" s="9"/>
      <c r="ONF1" s="9"/>
      <c r="ONG1" s="9"/>
      <c r="ONH1" s="9"/>
      <c r="ONI1" s="9"/>
      <c r="ONJ1" s="9"/>
      <c r="ONK1" s="9"/>
      <c r="ONL1" s="9"/>
      <c r="ONM1" s="9"/>
      <c r="ONN1" s="9"/>
      <c r="ONO1" s="9"/>
      <c r="ONP1" s="9"/>
      <c r="ONQ1" s="9"/>
      <c r="ONR1" s="9"/>
      <c r="ONS1" s="9"/>
      <c r="ONT1" s="9"/>
      <c r="ONU1" s="9"/>
      <c r="ONV1" s="9"/>
      <c r="ONW1" s="9"/>
      <c r="ONX1" s="9"/>
      <c r="ONY1" s="9"/>
      <c r="ONZ1" s="9"/>
      <c r="OOA1" s="9"/>
      <c r="OOB1" s="9"/>
      <c r="OOC1" s="9"/>
      <c r="OOD1" s="9"/>
      <c r="OOE1" s="9"/>
      <c r="OOF1" s="9"/>
      <c r="OOG1" s="9"/>
      <c r="OOH1" s="9"/>
      <c r="OOI1" s="9"/>
      <c r="OOJ1" s="9"/>
      <c r="OOK1" s="9"/>
      <c r="OOL1" s="9"/>
      <c r="OOM1" s="9"/>
      <c r="OON1" s="9"/>
      <c r="OOO1" s="9"/>
      <c r="OOP1" s="9"/>
      <c r="OOQ1" s="9"/>
      <c r="OOR1" s="9"/>
      <c r="OOS1" s="9"/>
      <c r="OOT1" s="9"/>
      <c r="OOU1" s="9"/>
      <c r="OOV1" s="9"/>
      <c r="OOW1" s="9"/>
      <c r="OOX1" s="9"/>
      <c r="OOY1" s="9"/>
      <c r="OOZ1" s="9"/>
      <c r="OPA1" s="9"/>
      <c r="OPB1" s="9"/>
      <c r="OPC1" s="9"/>
      <c r="OPD1" s="9"/>
      <c r="OPE1" s="9"/>
      <c r="OPF1" s="9"/>
      <c r="OPG1" s="9"/>
      <c r="OPH1" s="9"/>
      <c r="OPI1" s="9"/>
      <c r="OPJ1" s="9"/>
      <c r="OPK1" s="9"/>
      <c r="OPL1" s="9"/>
      <c r="OPM1" s="9"/>
      <c r="OPN1" s="9"/>
      <c r="OPO1" s="9"/>
      <c r="OPP1" s="9"/>
      <c r="OPQ1" s="9"/>
      <c r="OPR1" s="9"/>
      <c r="OPS1" s="9"/>
      <c r="OPT1" s="9"/>
      <c r="OPU1" s="9"/>
      <c r="OPV1" s="9"/>
      <c r="OPW1" s="9"/>
      <c r="OPX1" s="9"/>
      <c r="OPY1" s="9"/>
      <c r="OPZ1" s="9"/>
      <c r="OQA1" s="9"/>
      <c r="OQB1" s="9"/>
      <c r="OQC1" s="9"/>
      <c r="OQD1" s="9"/>
      <c r="OQE1" s="9"/>
      <c r="OQF1" s="9"/>
      <c r="OQG1" s="9"/>
      <c r="OQH1" s="9"/>
      <c r="OQI1" s="9"/>
      <c r="OQJ1" s="9"/>
      <c r="OQK1" s="9"/>
      <c r="OQL1" s="9"/>
      <c r="OQM1" s="9"/>
      <c r="OQN1" s="9"/>
      <c r="OQO1" s="9"/>
      <c r="OQP1" s="9"/>
      <c r="OQQ1" s="9"/>
      <c r="OQR1" s="9"/>
      <c r="OQS1" s="9"/>
      <c r="OQT1" s="9"/>
      <c r="OQU1" s="9"/>
      <c r="OQV1" s="9"/>
      <c r="OQW1" s="9"/>
      <c r="OQX1" s="9"/>
      <c r="OQY1" s="9"/>
      <c r="OQZ1" s="9"/>
      <c r="ORA1" s="9"/>
      <c r="ORB1" s="9"/>
      <c r="ORC1" s="9"/>
      <c r="ORD1" s="9"/>
      <c r="ORE1" s="9"/>
      <c r="ORF1" s="9"/>
      <c r="ORG1" s="9"/>
      <c r="ORH1" s="9"/>
      <c r="ORI1" s="9"/>
      <c r="ORJ1" s="9"/>
      <c r="ORK1" s="9"/>
      <c r="ORL1" s="9"/>
      <c r="ORM1" s="9"/>
      <c r="ORN1" s="9"/>
      <c r="ORO1" s="9"/>
      <c r="ORP1" s="9"/>
      <c r="ORQ1" s="9"/>
      <c r="ORR1" s="9"/>
      <c r="ORS1" s="9"/>
      <c r="ORT1" s="9"/>
      <c r="ORU1" s="9"/>
      <c r="ORV1" s="9"/>
      <c r="ORW1" s="9"/>
      <c r="ORX1" s="9"/>
      <c r="ORY1" s="9"/>
      <c r="ORZ1" s="9"/>
      <c r="OSA1" s="9"/>
      <c r="OSB1" s="9"/>
      <c r="OSC1" s="9"/>
      <c r="OSD1" s="9"/>
      <c r="OSE1" s="9"/>
      <c r="OSF1" s="9"/>
      <c r="OSG1" s="9"/>
      <c r="OSH1" s="9"/>
      <c r="OSI1" s="9"/>
      <c r="OSJ1" s="9"/>
      <c r="OSK1" s="9"/>
      <c r="OSL1" s="9"/>
      <c r="OSM1" s="9"/>
      <c r="OSN1" s="9"/>
      <c r="OSO1" s="9"/>
      <c r="OSP1" s="9"/>
      <c r="OSQ1" s="9"/>
      <c r="OSR1" s="9"/>
      <c r="OSS1" s="9"/>
      <c r="OST1" s="9"/>
      <c r="OSU1" s="9"/>
      <c r="OSV1" s="9"/>
      <c r="OSW1" s="9"/>
      <c r="OSX1" s="9"/>
      <c r="OSY1" s="9"/>
      <c r="OSZ1" s="9"/>
      <c r="OTA1" s="9"/>
      <c r="OTB1" s="9"/>
      <c r="OTC1" s="9"/>
      <c r="OTD1" s="9"/>
      <c r="OTE1" s="9"/>
      <c r="OTF1" s="9"/>
      <c r="OTG1" s="9"/>
      <c r="OTH1" s="9"/>
      <c r="OTI1" s="9"/>
      <c r="OTJ1" s="9"/>
      <c r="OTK1" s="9"/>
      <c r="OTL1" s="9"/>
      <c r="OTM1" s="9"/>
      <c r="OTN1" s="9"/>
      <c r="OTO1" s="9"/>
      <c r="OTP1" s="9"/>
      <c r="OTQ1" s="9"/>
      <c r="OTR1" s="9"/>
      <c r="OTS1" s="9"/>
      <c r="OTT1" s="9"/>
      <c r="OTU1" s="9"/>
      <c r="OTV1" s="9"/>
      <c r="OTW1" s="9"/>
      <c r="OTX1" s="9"/>
      <c r="OTY1" s="9"/>
      <c r="OTZ1" s="9"/>
      <c r="OUA1" s="9"/>
      <c r="OUB1" s="9"/>
      <c r="OUC1" s="9"/>
      <c r="OUD1" s="9"/>
      <c r="OUE1" s="9"/>
      <c r="OUF1" s="9"/>
      <c r="OUG1" s="9"/>
      <c r="OUH1" s="9"/>
      <c r="OUI1" s="9"/>
      <c r="OUJ1" s="9"/>
      <c r="OUK1" s="9"/>
      <c r="OUL1" s="9"/>
      <c r="OUM1" s="9"/>
      <c r="OUN1" s="9"/>
      <c r="OUO1" s="9"/>
      <c r="OUP1" s="9"/>
      <c r="OUQ1" s="9"/>
      <c r="OUR1" s="9"/>
      <c r="OUS1" s="9"/>
      <c r="OUT1" s="9"/>
      <c r="OUU1" s="9"/>
      <c r="OUV1" s="9"/>
      <c r="OUW1" s="9"/>
      <c r="OUX1" s="9"/>
      <c r="OUY1" s="9"/>
      <c r="OUZ1" s="9"/>
      <c r="OVA1" s="9"/>
      <c r="OVB1" s="9"/>
      <c r="OVC1" s="9"/>
      <c r="OVD1" s="9"/>
      <c r="OVE1" s="9"/>
      <c r="OVF1" s="9"/>
      <c r="OVG1" s="9"/>
      <c r="OVH1" s="9"/>
      <c r="OVI1" s="9"/>
      <c r="OVJ1" s="9"/>
      <c r="OVK1" s="9"/>
      <c r="OVL1" s="9"/>
      <c r="OVM1" s="9"/>
      <c r="OVN1" s="9"/>
      <c r="OVO1" s="9"/>
      <c r="OVP1" s="9"/>
      <c r="OVQ1" s="9"/>
      <c r="OVR1" s="9"/>
      <c r="OVS1" s="9"/>
      <c r="OVT1" s="9"/>
      <c r="OVU1" s="9"/>
      <c r="OVV1" s="9"/>
      <c r="OVW1" s="9"/>
      <c r="OVX1" s="9"/>
      <c r="OVY1" s="9"/>
      <c r="OVZ1" s="9"/>
      <c r="OWA1" s="9"/>
      <c r="OWB1" s="9"/>
      <c r="OWC1" s="9"/>
      <c r="OWD1" s="9"/>
      <c r="OWE1" s="9"/>
      <c r="OWF1" s="9"/>
      <c r="OWG1" s="9"/>
      <c r="OWH1" s="9"/>
      <c r="OWI1" s="9"/>
      <c r="OWJ1" s="9"/>
      <c r="OWK1" s="9"/>
      <c r="OWL1" s="9"/>
      <c r="OWM1" s="9"/>
      <c r="OWN1" s="9"/>
      <c r="OWO1" s="9"/>
      <c r="OWP1" s="9"/>
      <c r="OWQ1" s="9"/>
      <c r="OWR1" s="9"/>
      <c r="OWS1" s="9"/>
      <c r="OWT1" s="9"/>
      <c r="OWU1" s="9"/>
      <c r="OWV1" s="9"/>
      <c r="OWW1" s="9"/>
      <c r="OWX1" s="9"/>
      <c r="OWY1" s="9"/>
      <c r="OWZ1" s="9"/>
      <c r="OXA1" s="9"/>
      <c r="OXB1" s="9"/>
      <c r="OXC1" s="9"/>
      <c r="OXD1" s="9"/>
      <c r="OXE1" s="9"/>
      <c r="OXF1" s="9"/>
      <c r="OXG1" s="9"/>
      <c r="OXH1" s="9"/>
      <c r="OXI1" s="9"/>
      <c r="OXJ1" s="9"/>
      <c r="OXK1" s="9"/>
      <c r="OXL1" s="9"/>
      <c r="OXM1" s="9"/>
      <c r="OXN1" s="9"/>
      <c r="OXO1" s="9"/>
      <c r="OXP1" s="9"/>
      <c r="OXQ1" s="9"/>
      <c r="OXR1" s="9"/>
      <c r="OXS1" s="9"/>
      <c r="OXT1" s="9"/>
      <c r="OXU1" s="9"/>
      <c r="OXV1" s="9"/>
      <c r="OXW1" s="9"/>
      <c r="OXX1" s="9"/>
      <c r="OXY1" s="9"/>
      <c r="OXZ1" s="9"/>
      <c r="OYA1" s="9"/>
      <c r="OYB1" s="9"/>
      <c r="OYC1" s="9"/>
      <c r="OYD1" s="9"/>
      <c r="OYE1" s="9"/>
      <c r="OYF1" s="9"/>
      <c r="OYG1" s="9"/>
      <c r="OYH1" s="9"/>
      <c r="OYI1" s="9"/>
      <c r="OYJ1" s="9"/>
      <c r="OYK1" s="9"/>
      <c r="OYL1" s="9"/>
      <c r="OYM1" s="9"/>
      <c r="OYN1" s="9"/>
      <c r="OYO1" s="9"/>
      <c r="OYP1" s="9"/>
      <c r="OYQ1" s="9"/>
      <c r="OYR1" s="9"/>
      <c r="OYS1" s="9"/>
      <c r="OYT1" s="9"/>
      <c r="OYU1" s="9"/>
      <c r="OYV1" s="9"/>
      <c r="OYW1" s="9"/>
      <c r="OYX1" s="9"/>
      <c r="OYY1" s="9"/>
      <c r="OYZ1" s="9"/>
      <c r="OZA1" s="9"/>
      <c r="OZB1" s="9"/>
      <c r="OZC1" s="9"/>
      <c r="OZD1" s="9"/>
      <c r="OZE1" s="9"/>
      <c r="OZF1" s="9"/>
      <c r="OZG1" s="9"/>
      <c r="OZH1" s="9"/>
      <c r="OZI1" s="9"/>
      <c r="OZJ1" s="9"/>
      <c r="OZK1" s="9"/>
      <c r="OZL1" s="9"/>
      <c r="OZM1" s="9"/>
      <c r="OZN1" s="9"/>
      <c r="OZO1" s="9"/>
      <c r="OZP1" s="9"/>
      <c r="OZQ1" s="9"/>
      <c r="OZR1" s="9"/>
      <c r="OZS1" s="9"/>
      <c r="OZT1" s="9"/>
      <c r="OZU1" s="9"/>
      <c r="OZV1" s="9"/>
      <c r="OZW1" s="9"/>
      <c r="OZX1" s="9"/>
      <c r="OZY1" s="9"/>
      <c r="OZZ1" s="9"/>
      <c r="PAA1" s="9"/>
      <c r="PAB1" s="9"/>
      <c r="PAC1" s="9"/>
      <c r="PAD1" s="9"/>
      <c r="PAE1" s="9"/>
      <c r="PAF1" s="9"/>
      <c r="PAG1" s="9"/>
      <c r="PAH1" s="9"/>
      <c r="PAI1" s="9"/>
      <c r="PAJ1" s="9"/>
      <c r="PAK1" s="9"/>
      <c r="PAL1" s="9"/>
      <c r="PAM1" s="9"/>
      <c r="PAN1" s="9"/>
      <c r="PAO1" s="9"/>
      <c r="PAP1" s="9"/>
      <c r="PAQ1" s="9"/>
      <c r="PAR1" s="9"/>
      <c r="PAS1" s="9"/>
      <c r="PAT1" s="9"/>
      <c r="PAU1" s="9"/>
      <c r="PAV1" s="9"/>
      <c r="PAW1" s="9"/>
      <c r="PAX1" s="9"/>
      <c r="PAY1" s="9"/>
      <c r="PAZ1" s="9"/>
      <c r="PBA1" s="9"/>
      <c r="PBB1" s="9"/>
      <c r="PBC1" s="9"/>
      <c r="PBD1" s="9"/>
      <c r="PBE1" s="9"/>
      <c r="PBF1" s="9"/>
      <c r="PBG1" s="9"/>
      <c r="PBH1" s="9"/>
      <c r="PBI1" s="9"/>
      <c r="PBJ1" s="9"/>
      <c r="PBK1" s="9"/>
      <c r="PBL1" s="9"/>
      <c r="PBM1" s="9"/>
      <c r="PBN1" s="9"/>
      <c r="PBO1" s="9"/>
      <c r="PBP1" s="9"/>
      <c r="PBQ1" s="9"/>
      <c r="PBR1" s="9"/>
      <c r="PBS1" s="9"/>
      <c r="PBT1" s="9"/>
      <c r="PBU1" s="9"/>
      <c r="PBV1" s="9"/>
      <c r="PBW1" s="9"/>
      <c r="PBX1" s="9"/>
      <c r="PBY1" s="9"/>
      <c r="PBZ1" s="9"/>
      <c r="PCA1" s="9"/>
      <c r="PCB1" s="9"/>
      <c r="PCC1" s="9"/>
      <c r="PCD1" s="9"/>
      <c r="PCE1" s="9"/>
      <c r="PCF1" s="9"/>
      <c r="PCG1" s="9"/>
      <c r="PCH1" s="9"/>
      <c r="PCI1" s="9"/>
      <c r="PCJ1" s="9"/>
      <c r="PCK1" s="9"/>
      <c r="PCL1" s="9"/>
      <c r="PCM1" s="9"/>
      <c r="PCN1" s="9"/>
      <c r="PCO1" s="9"/>
      <c r="PCP1" s="9"/>
      <c r="PCQ1" s="9"/>
      <c r="PCR1" s="9"/>
      <c r="PCS1" s="9"/>
      <c r="PCT1" s="9"/>
      <c r="PCU1" s="9"/>
      <c r="PCV1" s="9"/>
      <c r="PCW1" s="9"/>
      <c r="PCX1" s="9"/>
      <c r="PCY1" s="9"/>
      <c r="PCZ1" s="9"/>
      <c r="PDA1" s="9"/>
      <c r="PDB1" s="9"/>
      <c r="PDC1" s="9"/>
      <c r="PDD1" s="9"/>
      <c r="PDE1" s="9"/>
      <c r="PDF1" s="9"/>
      <c r="PDG1" s="9"/>
      <c r="PDH1" s="9"/>
      <c r="PDI1" s="9"/>
      <c r="PDJ1" s="9"/>
      <c r="PDK1" s="9"/>
      <c r="PDL1" s="9"/>
      <c r="PDM1" s="9"/>
      <c r="PDN1" s="9"/>
      <c r="PDO1" s="9"/>
      <c r="PDP1" s="9"/>
      <c r="PDQ1" s="9"/>
      <c r="PDR1" s="9"/>
      <c r="PDS1" s="9"/>
      <c r="PDT1" s="9"/>
      <c r="PDU1" s="9"/>
      <c r="PDV1" s="9"/>
      <c r="PDW1" s="9"/>
      <c r="PDX1" s="9"/>
      <c r="PDY1" s="9"/>
      <c r="PDZ1" s="9"/>
      <c r="PEA1" s="9"/>
      <c r="PEB1" s="9"/>
      <c r="PEC1" s="9"/>
      <c r="PED1" s="9"/>
      <c r="PEE1" s="9"/>
      <c r="PEF1" s="9"/>
      <c r="PEG1" s="9"/>
      <c r="PEH1" s="9"/>
      <c r="PEI1" s="9"/>
      <c r="PEJ1" s="9"/>
      <c r="PEK1" s="9"/>
      <c r="PEL1" s="9"/>
      <c r="PEM1" s="9"/>
      <c r="PEN1" s="9"/>
      <c r="PEO1" s="9"/>
      <c r="PEP1" s="9"/>
      <c r="PEQ1" s="9"/>
      <c r="PER1" s="9"/>
      <c r="PES1" s="9"/>
      <c r="PET1" s="9"/>
      <c r="PEU1" s="9"/>
      <c r="PEV1" s="9"/>
      <c r="PEW1" s="9"/>
      <c r="PEX1" s="9"/>
      <c r="PEY1" s="9"/>
      <c r="PEZ1" s="9"/>
      <c r="PFA1" s="9"/>
      <c r="PFB1" s="9"/>
      <c r="PFC1" s="9"/>
      <c r="PFD1" s="9"/>
      <c r="PFE1" s="9"/>
      <c r="PFF1" s="9"/>
      <c r="PFG1" s="9"/>
      <c r="PFH1" s="9"/>
      <c r="PFI1" s="9"/>
      <c r="PFJ1" s="9"/>
      <c r="PFK1" s="9"/>
      <c r="PFL1" s="9"/>
      <c r="PFM1" s="9"/>
      <c r="PFN1" s="9"/>
      <c r="PFO1" s="9"/>
      <c r="PFP1" s="9"/>
      <c r="PFQ1" s="9"/>
      <c r="PFR1" s="9"/>
      <c r="PFS1" s="9"/>
      <c r="PFT1" s="9"/>
      <c r="PFU1" s="9"/>
      <c r="PFV1" s="9"/>
      <c r="PFW1" s="9"/>
      <c r="PFX1" s="9"/>
      <c r="PFY1" s="9"/>
      <c r="PFZ1" s="9"/>
      <c r="PGA1" s="9"/>
      <c r="PGB1" s="9"/>
      <c r="PGC1" s="9"/>
      <c r="PGD1" s="9"/>
      <c r="PGE1" s="9"/>
      <c r="PGF1" s="9"/>
      <c r="PGG1" s="9"/>
      <c r="PGH1" s="9"/>
      <c r="PGI1" s="9"/>
      <c r="PGJ1" s="9"/>
      <c r="PGK1" s="9"/>
      <c r="PGL1" s="9"/>
      <c r="PGM1" s="9"/>
      <c r="PGN1" s="9"/>
      <c r="PGO1" s="9"/>
      <c r="PGP1" s="9"/>
      <c r="PGQ1" s="9"/>
      <c r="PGR1" s="9"/>
      <c r="PGS1" s="9"/>
      <c r="PGT1" s="9"/>
      <c r="PGU1" s="9"/>
      <c r="PGV1" s="9"/>
      <c r="PGW1" s="9"/>
      <c r="PGX1" s="9"/>
      <c r="PGY1" s="9"/>
      <c r="PGZ1" s="9"/>
      <c r="PHA1" s="9"/>
      <c r="PHB1" s="9"/>
      <c r="PHC1" s="9"/>
      <c r="PHD1" s="9"/>
      <c r="PHE1" s="9"/>
      <c r="PHF1" s="9"/>
      <c r="PHG1" s="9"/>
      <c r="PHH1" s="9"/>
      <c r="PHI1" s="9"/>
      <c r="PHJ1" s="9"/>
      <c r="PHK1" s="9"/>
      <c r="PHL1" s="9"/>
      <c r="PHM1" s="9"/>
      <c r="PHN1" s="9"/>
      <c r="PHO1" s="9"/>
      <c r="PHP1" s="9"/>
      <c r="PHQ1" s="9"/>
      <c r="PHR1" s="9"/>
      <c r="PHS1" s="9"/>
      <c r="PHT1" s="9"/>
      <c r="PHU1" s="9"/>
      <c r="PHV1" s="9"/>
      <c r="PHW1" s="9"/>
      <c r="PHX1" s="9"/>
      <c r="PHY1" s="9"/>
      <c r="PHZ1" s="9"/>
      <c r="PIA1" s="9"/>
      <c r="PIB1" s="9"/>
      <c r="PIC1" s="9"/>
      <c r="PID1" s="9"/>
      <c r="PIE1" s="9"/>
      <c r="PIF1" s="9"/>
      <c r="PIG1" s="9"/>
      <c r="PIH1" s="9"/>
      <c r="PII1" s="9"/>
      <c r="PIJ1" s="9"/>
      <c r="PIK1" s="9"/>
      <c r="PIL1" s="9"/>
      <c r="PIM1" s="9"/>
      <c r="PIN1" s="9"/>
      <c r="PIO1" s="9"/>
      <c r="PIP1" s="9"/>
      <c r="PIQ1" s="9"/>
      <c r="PIR1" s="9"/>
      <c r="PIS1" s="9"/>
      <c r="PIT1" s="9"/>
      <c r="PIU1" s="9"/>
      <c r="PIV1" s="9"/>
      <c r="PIW1" s="9"/>
      <c r="PIX1" s="9"/>
      <c r="PIY1" s="9"/>
      <c r="PIZ1" s="9"/>
      <c r="PJA1" s="9"/>
      <c r="PJB1" s="9"/>
      <c r="PJC1" s="9"/>
      <c r="PJD1" s="9"/>
      <c r="PJE1" s="9"/>
      <c r="PJF1" s="9"/>
      <c r="PJG1" s="9"/>
      <c r="PJH1" s="9"/>
      <c r="PJI1" s="9"/>
      <c r="PJJ1" s="9"/>
      <c r="PJK1" s="9"/>
      <c r="PJL1" s="9"/>
      <c r="PJM1" s="9"/>
      <c r="PJN1" s="9"/>
      <c r="PJO1" s="9"/>
      <c r="PJP1" s="9"/>
      <c r="PJQ1" s="9"/>
      <c r="PJR1" s="9"/>
      <c r="PJS1" s="9"/>
      <c r="PJT1" s="9"/>
      <c r="PJU1" s="9"/>
      <c r="PJV1" s="9"/>
      <c r="PJW1" s="9"/>
      <c r="PJX1" s="9"/>
      <c r="PJY1" s="9"/>
      <c r="PJZ1" s="9"/>
      <c r="PKA1" s="9"/>
      <c r="PKB1" s="9"/>
      <c r="PKC1" s="9"/>
      <c r="PKD1" s="9"/>
      <c r="PKE1" s="9"/>
      <c r="PKF1" s="9"/>
      <c r="PKG1" s="9"/>
      <c r="PKH1" s="9"/>
      <c r="PKI1" s="9"/>
      <c r="PKJ1" s="9"/>
      <c r="PKK1" s="9"/>
      <c r="PKL1" s="9"/>
      <c r="PKM1" s="9"/>
      <c r="PKN1" s="9"/>
      <c r="PKO1" s="9"/>
      <c r="PKP1" s="9"/>
      <c r="PKQ1" s="9"/>
      <c r="PKR1" s="9"/>
      <c r="PKS1" s="9"/>
      <c r="PKT1" s="9"/>
      <c r="PKU1" s="9"/>
      <c r="PKV1" s="9"/>
      <c r="PKW1" s="9"/>
      <c r="PKX1" s="9"/>
      <c r="PKY1" s="9"/>
      <c r="PKZ1" s="9"/>
      <c r="PLA1" s="9"/>
      <c r="PLB1" s="9"/>
      <c r="PLC1" s="9"/>
      <c r="PLD1" s="9"/>
      <c r="PLE1" s="9"/>
      <c r="PLF1" s="9"/>
      <c r="PLG1" s="9"/>
      <c r="PLH1" s="9"/>
      <c r="PLI1" s="9"/>
      <c r="PLJ1" s="9"/>
      <c r="PLK1" s="9"/>
      <c r="PLL1" s="9"/>
      <c r="PLM1" s="9"/>
      <c r="PLN1" s="9"/>
      <c r="PLO1" s="9"/>
      <c r="PLP1" s="9"/>
      <c r="PLQ1" s="9"/>
      <c r="PLR1" s="9"/>
      <c r="PLS1" s="9"/>
      <c r="PLT1" s="9"/>
      <c r="PLU1" s="9"/>
      <c r="PLV1" s="9"/>
      <c r="PLW1" s="9"/>
      <c r="PLX1" s="9"/>
      <c r="PLY1" s="9"/>
      <c r="PLZ1" s="9"/>
      <c r="PMA1" s="9"/>
      <c r="PMB1" s="9"/>
      <c r="PMC1" s="9"/>
      <c r="PMD1" s="9"/>
      <c r="PME1" s="9"/>
      <c r="PMF1" s="9"/>
      <c r="PMG1" s="9"/>
      <c r="PMH1" s="9"/>
      <c r="PMI1" s="9"/>
      <c r="PMJ1" s="9"/>
      <c r="PMK1" s="9"/>
      <c r="PML1" s="9"/>
      <c r="PMM1" s="9"/>
      <c r="PMN1" s="9"/>
      <c r="PMO1" s="9"/>
      <c r="PMP1" s="9"/>
      <c r="PMQ1" s="9"/>
      <c r="PMR1" s="9"/>
      <c r="PMS1" s="9"/>
      <c r="PMT1" s="9"/>
      <c r="PMU1" s="9"/>
      <c r="PMV1" s="9"/>
      <c r="PMW1" s="9"/>
      <c r="PMX1" s="9"/>
      <c r="PMY1" s="9"/>
      <c r="PMZ1" s="9"/>
      <c r="PNA1" s="9"/>
      <c r="PNB1" s="9"/>
      <c r="PNC1" s="9"/>
      <c r="PND1" s="9"/>
      <c r="PNE1" s="9"/>
      <c r="PNF1" s="9"/>
      <c r="PNG1" s="9"/>
      <c r="PNH1" s="9"/>
      <c r="PNI1" s="9"/>
      <c r="PNJ1" s="9"/>
      <c r="PNK1" s="9"/>
      <c r="PNL1" s="9"/>
      <c r="PNM1" s="9"/>
      <c r="PNN1" s="9"/>
      <c r="PNO1" s="9"/>
      <c r="PNP1" s="9"/>
      <c r="PNQ1" s="9"/>
      <c r="PNR1" s="9"/>
      <c r="PNS1" s="9"/>
      <c r="PNT1" s="9"/>
      <c r="PNU1" s="9"/>
      <c r="PNV1" s="9"/>
      <c r="PNW1" s="9"/>
      <c r="PNX1" s="9"/>
      <c r="PNY1" s="9"/>
      <c r="PNZ1" s="9"/>
      <c r="POA1" s="9"/>
      <c r="POB1" s="9"/>
      <c r="POC1" s="9"/>
      <c r="POD1" s="9"/>
      <c r="POE1" s="9"/>
      <c r="POF1" s="9"/>
      <c r="POG1" s="9"/>
      <c r="POH1" s="9"/>
      <c r="POI1" s="9"/>
      <c r="POJ1" s="9"/>
      <c r="POK1" s="9"/>
      <c r="POL1" s="9"/>
      <c r="POM1" s="9"/>
      <c r="PON1" s="9"/>
      <c r="POO1" s="9"/>
      <c r="POP1" s="9"/>
      <c r="POQ1" s="9"/>
      <c r="POR1" s="9"/>
      <c r="POS1" s="9"/>
      <c r="POT1" s="9"/>
      <c r="POU1" s="9"/>
      <c r="POV1" s="9"/>
      <c r="POW1" s="9"/>
      <c r="POX1" s="9"/>
      <c r="POY1" s="9"/>
      <c r="POZ1" s="9"/>
      <c r="PPA1" s="9"/>
      <c r="PPB1" s="9"/>
      <c r="PPC1" s="9"/>
      <c r="PPD1" s="9"/>
      <c r="PPE1" s="9"/>
      <c r="PPF1" s="9"/>
      <c r="PPG1" s="9"/>
      <c r="PPH1" s="9"/>
      <c r="PPI1" s="9"/>
      <c r="PPJ1" s="9"/>
      <c r="PPK1" s="9"/>
      <c r="PPL1" s="9"/>
      <c r="PPM1" s="9"/>
      <c r="PPN1" s="9"/>
      <c r="PPO1" s="9"/>
      <c r="PPP1" s="9"/>
      <c r="PPQ1" s="9"/>
      <c r="PPR1" s="9"/>
      <c r="PPS1" s="9"/>
      <c r="PPT1" s="9"/>
      <c r="PPU1" s="9"/>
      <c r="PPV1" s="9"/>
      <c r="PPW1" s="9"/>
      <c r="PPX1" s="9"/>
      <c r="PPY1" s="9"/>
      <c r="PPZ1" s="9"/>
      <c r="PQA1" s="9"/>
      <c r="PQB1" s="9"/>
      <c r="PQC1" s="9"/>
      <c r="PQD1" s="9"/>
      <c r="PQE1" s="9"/>
      <c r="PQF1" s="9"/>
      <c r="PQG1" s="9"/>
      <c r="PQH1" s="9"/>
      <c r="PQI1" s="9"/>
      <c r="PQJ1" s="9"/>
      <c r="PQK1" s="9"/>
      <c r="PQL1" s="9"/>
      <c r="PQM1" s="9"/>
      <c r="PQN1" s="9"/>
      <c r="PQO1" s="9"/>
      <c r="PQP1" s="9"/>
      <c r="PQQ1" s="9"/>
      <c r="PQR1" s="9"/>
      <c r="PQS1" s="9"/>
      <c r="PQT1" s="9"/>
      <c r="PQU1" s="9"/>
      <c r="PQV1" s="9"/>
      <c r="PQW1" s="9"/>
      <c r="PQX1" s="9"/>
      <c r="PQY1" s="9"/>
      <c r="PQZ1" s="9"/>
      <c r="PRA1" s="9"/>
      <c r="PRB1" s="9"/>
      <c r="PRC1" s="9"/>
      <c r="PRD1" s="9"/>
      <c r="PRE1" s="9"/>
      <c r="PRF1" s="9"/>
      <c r="PRG1" s="9"/>
      <c r="PRH1" s="9"/>
      <c r="PRI1" s="9"/>
      <c r="PRJ1" s="9"/>
      <c r="PRK1" s="9"/>
      <c r="PRL1" s="9"/>
      <c r="PRM1" s="9"/>
      <c r="PRN1" s="9"/>
      <c r="PRO1" s="9"/>
      <c r="PRP1" s="9"/>
      <c r="PRQ1" s="9"/>
      <c r="PRR1" s="9"/>
      <c r="PRS1" s="9"/>
      <c r="PRT1" s="9"/>
      <c r="PRU1" s="9"/>
      <c r="PRV1" s="9"/>
      <c r="PRW1" s="9"/>
      <c r="PRX1" s="9"/>
      <c r="PRY1" s="9"/>
      <c r="PRZ1" s="9"/>
      <c r="PSA1" s="9"/>
      <c r="PSB1" s="9"/>
      <c r="PSC1" s="9"/>
      <c r="PSD1" s="9"/>
      <c r="PSE1" s="9"/>
      <c r="PSF1" s="9"/>
      <c r="PSG1" s="9"/>
      <c r="PSH1" s="9"/>
      <c r="PSI1" s="9"/>
      <c r="PSJ1" s="9"/>
      <c r="PSK1" s="9"/>
      <c r="PSL1" s="9"/>
      <c r="PSM1" s="9"/>
      <c r="PSN1" s="9"/>
      <c r="PSO1" s="9"/>
      <c r="PSP1" s="9"/>
      <c r="PSQ1" s="9"/>
      <c r="PSR1" s="9"/>
      <c r="PSS1" s="9"/>
      <c r="PST1" s="9"/>
      <c r="PSU1" s="9"/>
      <c r="PSV1" s="9"/>
      <c r="PSW1" s="9"/>
      <c r="PSX1" s="9"/>
      <c r="PSY1" s="9"/>
      <c r="PSZ1" s="9"/>
      <c r="PTA1" s="9"/>
      <c r="PTB1" s="9"/>
      <c r="PTC1" s="9"/>
      <c r="PTD1" s="9"/>
      <c r="PTE1" s="9"/>
      <c r="PTF1" s="9"/>
      <c r="PTG1" s="9"/>
      <c r="PTH1" s="9"/>
      <c r="PTI1" s="9"/>
      <c r="PTJ1" s="9"/>
      <c r="PTK1" s="9"/>
      <c r="PTL1" s="9"/>
      <c r="PTM1" s="9"/>
      <c r="PTN1" s="9"/>
      <c r="PTO1" s="9"/>
      <c r="PTP1" s="9"/>
      <c r="PTQ1" s="9"/>
      <c r="PTR1" s="9"/>
      <c r="PTS1" s="9"/>
      <c r="PTT1" s="9"/>
      <c r="PTU1" s="9"/>
      <c r="PTV1" s="9"/>
      <c r="PTW1" s="9"/>
      <c r="PTX1" s="9"/>
      <c r="PTY1" s="9"/>
      <c r="PTZ1" s="9"/>
      <c r="PUA1" s="9"/>
      <c r="PUB1" s="9"/>
      <c r="PUC1" s="9"/>
      <c r="PUD1" s="9"/>
      <c r="PUE1" s="9"/>
      <c r="PUF1" s="9"/>
      <c r="PUG1" s="9"/>
      <c r="PUH1" s="9"/>
      <c r="PUI1" s="9"/>
      <c r="PUJ1" s="9"/>
      <c r="PUK1" s="9"/>
      <c r="PUL1" s="9"/>
      <c r="PUM1" s="9"/>
      <c r="PUN1" s="9"/>
      <c r="PUO1" s="9"/>
      <c r="PUP1" s="9"/>
      <c r="PUQ1" s="9"/>
      <c r="PUR1" s="9"/>
      <c r="PUS1" s="9"/>
      <c r="PUT1" s="9"/>
      <c r="PUU1" s="9"/>
      <c r="PUV1" s="9"/>
      <c r="PUW1" s="9"/>
      <c r="PUX1" s="9"/>
      <c r="PUY1" s="9"/>
      <c r="PUZ1" s="9"/>
      <c r="PVA1" s="9"/>
      <c r="PVB1" s="9"/>
      <c r="PVC1" s="9"/>
      <c r="PVD1" s="9"/>
      <c r="PVE1" s="9"/>
      <c r="PVF1" s="9"/>
      <c r="PVG1" s="9"/>
      <c r="PVH1" s="9"/>
      <c r="PVI1" s="9"/>
      <c r="PVJ1" s="9"/>
      <c r="PVK1" s="9"/>
      <c r="PVL1" s="9"/>
      <c r="PVM1" s="9"/>
      <c r="PVN1" s="9"/>
      <c r="PVO1" s="9"/>
      <c r="PVP1" s="9"/>
      <c r="PVQ1" s="9"/>
      <c r="PVR1" s="9"/>
      <c r="PVS1" s="9"/>
      <c r="PVT1" s="9"/>
      <c r="PVU1" s="9"/>
      <c r="PVV1" s="9"/>
      <c r="PVW1" s="9"/>
      <c r="PVX1" s="9"/>
      <c r="PVY1" s="9"/>
      <c r="PVZ1" s="9"/>
      <c r="PWA1" s="9"/>
      <c r="PWB1" s="9"/>
      <c r="PWC1" s="9"/>
      <c r="PWD1" s="9"/>
      <c r="PWE1" s="9"/>
      <c r="PWF1" s="9"/>
      <c r="PWG1" s="9"/>
      <c r="PWH1" s="9"/>
      <c r="PWI1" s="9"/>
      <c r="PWJ1" s="9"/>
      <c r="PWK1" s="9"/>
      <c r="PWL1" s="9"/>
      <c r="PWM1" s="9"/>
      <c r="PWN1" s="9"/>
      <c r="PWO1" s="9"/>
      <c r="PWP1" s="9"/>
      <c r="PWQ1" s="9"/>
      <c r="PWR1" s="9"/>
      <c r="PWS1" s="9"/>
      <c r="PWT1" s="9"/>
      <c r="PWU1" s="9"/>
      <c r="PWV1" s="9"/>
      <c r="PWW1" s="9"/>
      <c r="PWX1" s="9"/>
      <c r="PWY1" s="9"/>
      <c r="PWZ1" s="9"/>
      <c r="PXA1" s="9"/>
      <c r="PXB1" s="9"/>
      <c r="PXC1" s="9"/>
      <c r="PXD1" s="9"/>
      <c r="PXE1" s="9"/>
      <c r="PXF1" s="9"/>
      <c r="PXG1" s="9"/>
      <c r="PXH1" s="9"/>
      <c r="PXI1" s="9"/>
      <c r="PXJ1" s="9"/>
      <c r="PXK1" s="9"/>
      <c r="PXL1" s="9"/>
      <c r="PXM1" s="9"/>
      <c r="PXN1" s="9"/>
      <c r="PXO1" s="9"/>
      <c r="PXP1" s="9"/>
      <c r="PXQ1" s="9"/>
      <c r="PXR1" s="9"/>
      <c r="PXS1" s="9"/>
      <c r="PXT1" s="9"/>
      <c r="PXU1" s="9"/>
      <c r="PXV1" s="9"/>
      <c r="PXW1" s="9"/>
      <c r="PXX1" s="9"/>
      <c r="PXY1" s="9"/>
      <c r="PXZ1" s="9"/>
      <c r="PYA1" s="9"/>
      <c r="PYB1" s="9"/>
      <c r="PYC1" s="9"/>
      <c r="PYD1" s="9"/>
      <c r="PYE1" s="9"/>
      <c r="PYF1" s="9"/>
      <c r="PYG1" s="9"/>
      <c r="PYH1" s="9"/>
      <c r="PYI1" s="9"/>
      <c r="PYJ1" s="9"/>
      <c r="PYK1" s="9"/>
      <c r="PYL1" s="9"/>
      <c r="PYM1" s="9"/>
      <c r="PYN1" s="9"/>
      <c r="PYO1" s="9"/>
      <c r="PYP1" s="9"/>
      <c r="PYQ1" s="9"/>
      <c r="PYR1" s="9"/>
      <c r="PYS1" s="9"/>
      <c r="PYT1" s="9"/>
      <c r="PYU1" s="9"/>
      <c r="PYV1" s="9"/>
      <c r="PYW1" s="9"/>
      <c r="PYX1" s="9"/>
      <c r="PYY1" s="9"/>
      <c r="PYZ1" s="9"/>
      <c r="PZA1" s="9"/>
      <c r="PZB1" s="9"/>
      <c r="PZC1" s="9"/>
      <c r="PZD1" s="9"/>
      <c r="PZE1" s="9"/>
      <c r="PZF1" s="9"/>
      <c r="PZG1" s="9"/>
      <c r="PZH1" s="9"/>
      <c r="PZI1" s="9"/>
      <c r="PZJ1" s="9"/>
      <c r="PZK1" s="9"/>
      <c r="PZL1" s="9"/>
      <c r="PZM1" s="9"/>
      <c r="PZN1" s="9"/>
      <c r="PZO1" s="9"/>
      <c r="PZP1" s="9"/>
      <c r="PZQ1" s="9"/>
      <c r="PZR1" s="9"/>
      <c r="PZS1" s="9"/>
      <c r="PZT1" s="9"/>
      <c r="PZU1" s="9"/>
      <c r="PZV1" s="9"/>
      <c r="PZW1" s="9"/>
      <c r="PZX1" s="9"/>
      <c r="PZY1" s="9"/>
      <c r="PZZ1" s="9"/>
      <c r="QAA1" s="9"/>
      <c r="QAB1" s="9"/>
      <c r="QAC1" s="9"/>
      <c r="QAD1" s="9"/>
      <c r="QAE1" s="9"/>
      <c r="QAF1" s="9"/>
      <c r="QAG1" s="9"/>
      <c r="QAH1" s="9"/>
      <c r="QAI1" s="9"/>
      <c r="QAJ1" s="9"/>
      <c r="QAK1" s="9"/>
      <c r="QAL1" s="9"/>
      <c r="QAM1" s="9"/>
      <c r="QAN1" s="9"/>
      <c r="QAO1" s="9"/>
      <c r="QAP1" s="9"/>
      <c r="QAQ1" s="9"/>
      <c r="QAR1" s="9"/>
      <c r="QAS1" s="9"/>
      <c r="QAT1" s="9"/>
      <c r="QAU1" s="9"/>
      <c r="QAV1" s="9"/>
      <c r="QAW1" s="9"/>
      <c r="QAX1" s="9"/>
      <c r="QAY1" s="9"/>
      <c r="QAZ1" s="9"/>
      <c r="QBA1" s="9"/>
      <c r="QBB1" s="9"/>
      <c r="QBC1" s="9"/>
      <c r="QBD1" s="9"/>
      <c r="QBE1" s="9"/>
      <c r="QBF1" s="9"/>
      <c r="QBG1" s="9"/>
      <c r="QBH1" s="9"/>
      <c r="QBI1" s="9"/>
      <c r="QBJ1" s="9"/>
      <c r="QBK1" s="9"/>
      <c r="QBL1" s="9"/>
      <c r="QBM1" s="9"/>
      <c r="QBN1" s="9"/>
      <c r="QBO1" s="9"/>
      <c r="QBP1" s="9"/>
      <c r="QBQ1" s="9"/>
      <c r="QBR1" s="9"/>
      <c r="QBS1" s="9"/>
      <c r="QBT1" s="9"/>
      <c r="QBU1" s="9"/>
      <c r="QBV1" s="9"/>
      <c r="QBW1" s="9"/>
      <c r="QBX1" s="9"/>
      <c r="QBY1" s="9"/>
      <c r="QBZ1" s="9"/>
      <c r="QCA1" s="9"/>
      <c r="QCB1" s="9"/>
      <c r="QCC1" s="9"/>
      <c r="QCD1" s="9"/>
      <c r="QCE1" s="9"/>
      <c r="QCF1" s="9"/>
      <c r="QCG1" s="9"/>
      <c r="QCH1" s="9"/>
      <c r="QCI1" s="9"/>
      <c r="QCJ1" s="9"/>
      <c r="QCK1" s="9"/>
      <c r="QCL1" s="9"/>
      <c r="QCM1" s="9"/>
      <c r="QCN1" s="9"/>
      <c r="QCO1" s="9"/>
      <c r="QCP1" s="9"/>
      <c r="QCQ1" s="9"/>
      <c r="QCR1" s="9"/>
      <c r="QCS1" s="9"/>
      <c r="QCT1" s="9"/>
      <c r="QCU1" s="9"/>
      <c r="QCV1" s="9"/>
      <c r="QCW1" s="9"/>
      <c r="QCX1" s="9"/>
      <c r="QCY1" s="9"/>
      <c r="QCZ1" s="9"/>
      <c r="QDA1" s="9"/>
      <c r="QDB1" s="9"/>
      <c r="QDC1" s="9"/>
      <c r="QDD1" s="9"/>
      <c r="QDE1" s="9"/>
      <c r="QDF1" s="9"/>
      <c r="QDG1" s="9"/>
      <c r="QDH1" s="9"/>
      <c r="QDI1" s="9"/>
      <c r="QDJ1" s="9"/>
      <c r="QDK1" s="9"/>
      <c r="QDL1" s="9"/>
      <c r="QDM1" s="9"/>
      <c r="QDN1" s="9"/>
      <c r="QDO1" s="9"/>
      <c r="QDP1" s="9"/>
      <c r="QDQ1" s="9"/>
      <c r="QDR1" s="9"/>
      <c r="QDS1" s="9"/>
      <c r="QDT1" s="9"/>
      <c r="QDU1" s="9"/>
      <c r="QDV1" s="9"/>
      <c r="QDW1" s="9"/>
      <c r="QDX1" s="9"/>
      <c r="QDY1" s="9"/>
      <c r="QDZ1" s="9"/>
      <c r="QEA1" s="9"/>
      <c r="QEB1" s="9"/>
      <c r="QEC1" s="9"/>
      <c r="QED1" s="9"/>
      <c r="QEE1" s="9"/>
      <c r="QEF1" s="9"/>
      <c r="QEG1" s="9"/>
      <c r="QEH1" s="9"/>
      <c r="QEI1" s="9"/>
      <c r="QEJ1" s="9"/>
      <c r="QEK1" s="9"/>
      <c r="QEL1" s="9"/>
      <c r="QEM1" s="9"/>
      <c r="QEN1" s="9"/>
      <c r="QEO1" s="9"/>
      <c r="QEP1" s="9"/>
      <c r="QEQ1" s="9"/>
      <c r="QER1" s="9"/>
      <c r="QES1" s="9"/>
      <c r="QET1" s="9"/>
      <c r="QEU1" s="9"/>
      <c r="QEV1" s="9"/>
      <c r="QEW1" s="9"/>
      <c r="QEX1" s="9"/>
      <c r="QEY1" s="9"/>
      <c r="QEZ1" s="9"/>
      <c r="QFA1" s="9"/>
      <c r="QFB1" s="9"/>
      <c r="QFC1" s="9"/>
      <c r="QFD1" s="9"/>
      <c r="QFE1" s="9"/>
      <c r="QFF1" s="9"/>
      <c r="QFG1" s="9"/>
      <c r="QFH1" s="9"/>
      <c r="QFI1" s="9"/>
      <c r="QFJ1" s="9"/>
      <c r="QFK1" s="9"/>
      <c r="QFL1" s="9"/>
      <c r="QFM1" s="9"/>
      <c r="QFN1" s="9"/>
      <c r="QFO1" s="9"/>
      <c r="QFP1" s="9"/>
      <c r="QFQ1" s="9"/>
      <c r="QFR1" s="9"/>
      <c r="QFS1" s="9"/>
      <c r="QFT1" s="9"/>
      <c r="QFU1" s="9"/>
      <c r="QFV1" s="9"/>
      <c r="QFW1" s="9"/>
      <c r="QFX1" s="9"/>
      <c r="QFY1" s="9"/>
      <c r="QFZ1" s="9"/>
      <c r="QGA1" s="9"/>
      <c r="QGB1" s="9"/>
      <c r="QGC1" s="9"/>
      <c r="QGD1" s="9"/>
      <c r="QGE1" s="9"/>
      <c r="QGF1" s="9"/>
      <c r="QGG1" s="9"/>
      <c r="QGH1" s="9"/>
      <c r="QGI1" s="9"/>
      <c r="QGJ1" s="9"/>
      <c r="QGK1" s="9"/>
      <c r="QGL1" s="9"/>
      <c r="QGM1" s="9"/>
      <c r="QGN1" s="9"/>
      <c r="QGO1" s="9"/>
      <c r="QGP1" s="9"/>
      <c r="QGQ1" s="9"/>
      <c r="QGR1" s="9"/>
      <c r="QGS1" s="9"/>
      <c r="QGT1" s="9"/>
      <c r="QGU1" s="9"/>
      <c r="QGV1" s="9"/>
      <c r="QGW1" s="9"/>
      <c r="QGX1" s="9"/>
      <c r="QGY1" s="9"/>
      <c r="QGZ1" s="9"/>
      <c r="QHA1" s="9"/>
      <c r="QHB1" s="9"/>
      <c r="QHC1" s="9"/>
      <c r="QHD1" s="9"/>
      <c r="QHE1" s="9"/>
      <c r="QHF1" s="9"/>
      <c r="QHG1" s="9"/>
      <c r="QHH1" s="9"/>
      <c r="QHI1" s="9"/>
      <c r="QHJ1" s="9"/>
      <c r="QHK1" s="9"/>
      <c r="QHL1" s="9"/>
      <c r="QHM1" s="9"/>
      <c r="QHN1" s="9"/>
      <c r="QHO1" s="9"/>
      <c r="QHP1" s="9"/>
      <c r="QHQ1" s="9"/>
      <c r="QHR1" s="9"/>
      <c r="QHS1" s="9"/>
      <c r="QHT1" s="9"/>
      <c r="QHU1" s="9"/>
      <c r="QHV1" s="9"/>
      <c r="QHW1" s="9"/>
      <c r="QHX1" s="9"/>
      <c r="QHY1" s="9"/>
      <c r="QHZ1" s="9"/>
      <c r="QIA1" s="9"/>
      <c r="QIB1" s="9"/>
      <c r="QIC1" s="9"/>
      <c r="QID1" s="9"/>
      <c r="QIE1" s="9"/>
      <c r="QIF1" s="9"/>
      <c r="QIG1" s="9"/>
      <c r="QIH1" s="9"/>
      <c r="QII1" s="9"/>
      <c r="QIJ1" s="9"/>
      <c r="QIK1" s="9"/>
      <c r="QIL1" s="9"/>
      <c r="QIM1" s="9"/>
      <c r="QIN1" s="9"/>
      <c r="QIO1" s="9"/>
      <c r="QIP1" s="9"/>
      <c r="QIQ1" s="9"/>
      <c r="QIR1" s="9"/>
      <c r="QIS1" s="9"/>
      <c r="QIT1" s="9"/>
      <c r="QIU1" s="9"/>
      <c r="QIV1" s="9"/>
      <c r="QIW1" s="9"/>
      <c r="QIX1" s="9"/>
      <c r="QIY1" s="9"/>
      <c r="QIZ1" s="9"/>
      <c r="QJA1" s="9"/>
      <c r="QJB1" s="9"/>
      <c r="QJC1" s="9"/>
      <c r="QJD1" s="9"/>
      <c r="QJE1" s="9"/>
      <c r="QJF1" s="9"/>
      <c r="QJG1" s="9"/>
      <c r="QJH1" s="9"/>
      <c r="QJI1" s="9"/>
      <c r="QJJ1" s="9"/>
      <c r="QJK1" s="9"/>
      <c r="QJL1" s="9"/>
      <c r="QJM1" s="9"/>
      <c r="QJN1" s="9"/>
      <c r="QJO1" s="9"/>
      <c r="QJP1" s="9"/>
      <c r="QJQ1" s="9"/>
      <c r="QJR1" s="9"/>
      <c r="QJS1" s="9"/>
      <c r="QJT1" s="9"/>
      <c r="QJU1" s="9"/>
      <c r="QJV1" s="9"/>
      <c r="QJW1" s="9"/>
      <c r="QJX1" s="9"/>
      <c r="QJY1" s="9"/>
      <c r="QJZ1" s="9"/>
      <c r="QKA1" s="9"/>
      <c r="QKB1" s="9"/>
      <c r="QKC1" s="9"/>
      <c r="QKD1" s="9"/>
      <c r="QKE1" s="9"/>
      <c r="QKF1" s="9"/>
      <c r="QKG1" s="9"/>
      <c r="QKH1" s="9"/>
      <c r="QKI1" s="9"/>
      <c r="QKJ1" s="9"/>
      <c r="QKK1" s="9"/>
      <c r="QKL1" s="9"/>
      <c r="QKM1" s="9"/>
      <c r="QKN1" s="9"/>
      <c r="QKO1" s="9"/>
      <c r="QKP1" s="9"/>
      <c r="QKQ1" s="9"/>
      <c r="QKR1" s="9"/>
      <c r="QKS1" s="9"/>
      <c r="QKT1" s="9"/>
      <c r="QKU1" s="9"/>
      <c r="QKV1" s="9"/>
      <c r="QKW1" s="9"/>
      <c r="QKX1" s="9"/>
      <c r="QKY1" s="9"/>
      <c r="QKZ1" s="9"/>
      <c r="QLA1" s="9"/>
      <c r="QLB1" s="9"/>
      <c r="QLC1" s="9"/>
      <c r="QLD1" s="9"/>
      <c r="QLE1" s="9"/>
      <c r="QLF1" s="9"/>
      <c r="QLG1" s="9"/>
      <c r="QLH1" s="9"/>
      <c r="QLI1" s="9"/>
      <c r="QLJ1" s="9"/>
      <c r="QLK1" s="9"/>
      <c r="QLL1" s="9"/>
      <c r="QLM1" s="9"/>
      <c r="QLN1" s="9"/>
      <c r="QLO1" s="9"/>
      <c r="QLP1" s="9"/>
      <c r="QLQ1" s="9"/>
      <c r="QLR1" s="9"/>
      <c r="QLS1" s="9"/>
      <c r="QLT1" s="9"/>
      <c r="QLU1" s="9"/>
      <c r="QLV1" s="9"/>
      <c r="QLW1" s="9"/>
      <c r="QLX1" s="9"/>
      <c r="QLY1" s="9"/>
      <c r="QLZ1" s="9"/>
      <c r="QMA1" s="9"/>
      <c r="QMB1" s="9"/>
      <c r="QMC1" s="9"/>
      <c r="QMD1" s="9"/>
      <c r="QME1" s="9"/>
      <c r="QMF1" s="9"/>
      <c r="QMG1" s="9"/>
      <c r="QMH1" s="9"/>
      <c r="QMI1" s="9"/>
      <c r="QMJ1" s="9"/>
      <c r="QMK1" s="9"/>
      <c r="QML1" s="9"/>
      <c r="QMM1" s="9"/>
      <c r="QMN1" s="9"/>
      <c r="QMO1" s="9"/>
      <c r="QMP1" s="9"/>
      <c r="QMQ1" s="9"/>
      <c r="QMR1" s="9"/>
      <c r="QMS1" s="9"/>
      <c r="QMT1" s="9"/>
      <c r="QMU1" s="9"/>
      <c r="QMV1" s="9"/>
      <c r="QMW1" s="9"/>
      <c r="QMX1" s="9"/>
      <c r="QMY1" s="9"/>
      <c r="QMZ1" s="9"/>
      <c r="QNA1" s="9"/>
      <c r="QNB1" s="9"/>
      <c r="QNC1" s="9"/>
      <c r="QND1" s="9"/>
      <c r="QNE1" s="9"/>
      <c r="QNF1" s="9"/>
      <c r="QNG1" s="9"/>
      <c r="QNH1" s="9"/>
      <c r="QNI1" s="9"/>
      <c r="QNJ1" s="9"/>
      <c r="QNK1" s="9"/>
      <c r="QNL1" s="9"/>
      <c r="QNM1" s="9"/>
      <c r="QNN1" s="9"/>
      <c r="QNO1" s="9"/>
      <c r="QNP1" s="9"/>
      <c r="QNQ1" s="9"/>
      <c r="QNR1" s="9"/>
      <c r="QNS1" s="9"/>
      <c r="QNT1" s="9"/>
      <c r="QNU1" s="9"/>
      <c r="QNV1" s="9"/>
      <c r="QNW1" s="9"/>
      <c r="QNX1" s="9"/>
      <c r="QNY1" s="9"/>
      <c r="QNZ1" s="9"/>
      <c r="QOA1" s="9"/>
      <c r="QOB1" s="9"/>
      <c r="QOC1" s="9"/>
      <c r="QOD1" s="9"/>
      <c r="QOE1" s="9"/>
      <c r="QOF1" s="9"/>
      <c r="QOG1" s="9"/>
      <c r="QOH1" s="9"/>
      <c r="QOI1" s="9"/>
      <c r="QOJ1" s="9"/>
      <c r="QOK1" s="9"/>
      <c r="QOL1" s="9"/>
      <c r="QOM1" s="9"/>
      <c r="QON1" s="9"/>
      <c r="QOO1" s="9"/>
      <c r="QOP1" s="9"/>
      <c r="QOQ1" s="9"/>
      <c r="QOR1" s="9"/>
      <c r="QOS1" s="9"/>
      <c r="QOT1" s="9"/>
      <c r="QOU1" s="9"/>
      <c r="QOV1" s="9"/>
      <c r="QOW1" s="9"/>
      <c r="QOX1" s="9"/>
      <c r="QOY1" s="9"/>
      <c r="QOZ1" s="9"/>
      <c r="QPA1" s="9"/>
      <c r="QPB1" s="9"/>
      <c r="QPC1" s="9"/>
      <c r="QPD1" s="9"/>
      <c r="QPE1" s="9"/>
      <c r="QPF1" s="9"/>
      <c r="QPG1" s="9"/>
      <c r="QPH1" s="9"/>
      <c r="QPI1" s="9"/>
      <c r="QPJ1" s="9"/>
      <c r="QPK1" s="9"/>
      <c r="QPL1" s="9"/>
      <c r="QPM1" s="9"/>
      <c r="QPN1" s="9"/>
      <c r="QPO1" s="9"/>
      <c r="QPP1" s="9"/>
      <c r="QPQ1" s="9"/>
      <c r="QPR1" s="9"/>
      <c r="QPS1" s="9"/>
      <c r="QPT1" s="9"/>
      <c r="QPU1" s="9"/>
      <c r="QPV1" s="9"/>
      <c r="QPW1" s="9"/>
      <c r="QPX1" s="9"/>
      <c r="QPY1" s="9"/>
      <c r="QPZ1" s="9"/>
      <c r="QQA1" s="9"/>
      <c r="QQB1" s="9"/>
      <c r="QQC1" s="9"/>
      <c r="QQD1" s="9"/>
      <c r="QQE1" s="9"/>
      <c r="QQF1" s="9"/>
      <c r="QQG1" s="9"/>
      <c r="QQH1" s="9"/>
      <c r="QQI1" s="9"/>
      <c r="QQJ1" s="9"/>
      <c r="QQK1" s="9"/>
      <c r="QQL1" s="9"/>
      <c r="QQM1" s="9"/>
      <c r="QQN1" s="9"/>
      <c r="QQO1" s="9"/>
      <c r="QQP1" s="9"/>
      <c r="QQQ1" s="9"/>
      <c r="QQR1" s="9"/>
      <c r="QQS1" s="9"/>
      <c r="QQT1" s="9"/>
      <c r="QQU1" s="9"/>
      <c r="QQV1" s="9"/>
      <c r="QQW1" s="9"/>
      <c r="QQX1" s="9"/>
      <c r="QQY1" s="9"/>
      <c r="QQZ1" s="9"/>
      <c r="QRA1" s="9"/>
      <c r="QRB1" s="9"/>
      <c r="QRC1" s="9"/>
      <c r="QRD1" s="9"/>
      <c r="QRE1" s="9"/>
      <c r="QRF1" s="9"/>
      <c r="QRG1" s="9"/>
      <c r="QRH1" s="9"/>
      <c r="QRI1" s="9"/>
      <c r="QRJ1" s="9"/>
      <c r="QRK1" s="9"/>
      <c r="QRL1" s="9"/>
      <c r="QRM1" s="9"/>
      <c r="QRN1" s="9"/>
      <c r="QRO1" s="9"/>
      <c r="QRP1" s="9"/>
      <c r="QRQ1" s="9"/>
      <c r="QRR1" s="9"/>
      <c r="QRS1" s="9"/>
      <c r="QRT1" s="9"/>
      <c r="QRU1" s="9"/>
      <c r="QRV1" s="9"/>
      <c r="QRW1" s="9"/>
      <c r="QRX1" s="9"/>
      <c r="QRY1" s="9"/>
      <c r="QRZ1" s="9"/>
      <c r="QSA1" s="9"/>
      <c r="QSB1" s="9"/>
      <c r="QSC1" s="9"/>
      <c r="QSD1" s="9"/>
      <c r="QSE1" s="9"/>
      <c r="QSF1" s="9"/>
      <c r="QSG1" s="9"/>
      <c r="QSH1" s="9"/>
      <c r="QSI1" s="9"/>
      <c r="QSJ1" s="9"/>
      <c r="QSK1" s="9"/>
      <c r="QSL1" s="9"/>
      <c r="QSM1" s="9"/>
      <c r="QSN1" s="9"/>
      <c r="QSO1" s="9"/>
      <c r="QSP1" s="9"/>
      <c r="QSQ1" s="9"/>
      <c r="QSR1" s="9"/>
      <c r="QSS1" s="9"/>
      <c r="QST1" s="9"/>
      <c r="QSU1" s="9"/>
      <c r="QSV1" s="9"/>
      <c r="QSW1" s="9"/>
      <c r="QSX1" s="9"/>
      <c r="QSY1" s="9"/>
      <c r="QSZ1" s="9"/>
      <c r="QTA1" s="9"/>
      <c r="QTB1" s="9"/>
      <c r="QTC1" s="9"/>
      <c r="QTD1" s="9"/>
      <c r="QTE1" s="9"/>
      <c r="QTF1" s="9"/>
      <c r="QTG1" s="9"/>
      <c r="QTH1" s="9"/>
      <c r="QTI1" s="9"/>
      <c r="QTJ1" s="9"/>
      <c r="QTK1" s="9"/>
      <c r="QTL1" s="9"/>
      <c r="QTM1" s="9"/>
      <c r="QTN1" s="9"/>
      <c r="QTO1" s="9"/>
      <c r="QTP1" s="9"/>
      <c r="QTQ1" s="9"/>
      <c r="QTR1" s="9"/>
      <c r="QTS1" s="9"/>
      <c r="QTT1" s="9"/>
      <c r="QTU1" s="9"/>
      <c r="QTV1" s="9"/>
      <c r="QTW1" s="9"/>
      <c r="QTX1" s="9"/>
      <c r="QTY1" s="9"/>
      <c r="QTZ1" s="9"/>
      <c r="QUA1" s="9"/>
      <c r="QUB1" s="9"/>
      <c r="QUC1" s="9"/>
      <c r="QUD1" s="9"/>
      <c r="QUE1" s="9"/>
      <c r="QUF1" s="9"/>
      <c r="QUG1" s="9"/>
      <c r="QUH1" s="9"/>
      <c r="QUI1" s="9"/>
      <c r="QUJ1" s="9"/>
      <c r="QUK1" s="9"/>
      <c r="QUL1" s="9"/>
      <c r="QUM1" s="9"/>
      <c r="QUN1" s="9"/>
      <c r="QUO1" s="9"/>
      <c r="QUP1" s="9"/>
      <c r="QUQ1" s="9"/>
      <c r="QUR1" s="9"/>
      <c r="QUS1" s="9"/>
      <c r="QUT1" s="9"/>
      <c r="QUU1" s="9"/>
      <c r="QUV1" s="9"/>
      <c r="QUW1" s="9"/>
      <c r="QUX1" s="9"/>
      <c r="QUY1" s="9"/>
      <c r="QUZ1" s="9"/>
      <c r="QVA1" s="9"/>
      <c r="QVB1" s="9"/>
      <c r="QVC1" s="9"/>
      <c r="QVD1" s="9"/>
      <c r="QVE1" s="9"/>
      <c r="QVF1" s="9"/>
      <c r="QVG1" s="9"/>
      <c r="QVH1" s="9"/>
      <c r="QVI1" s="9"/>
      <c r="QVJ1" s="9"/>
      <c r="QVK1" s="9"/>
      <c r="QVL1" s="9"/>
      <c r="QVM1" s="9"/>
      <c r="QVN1" s="9"/>
      <c r="QVO1" s="9"/>
      <c r="QVP1" s="9"/>
      <c r="QVQ1" s="9"/>
      <c r="QVR1" s="9"/>
      <c r="QVS1" s="9"/>
      <c r="QVT1" s="9"/>
      <c r="QVU1" s="9"/>
      <c r="QVV1" s="9"/>
      <c r="QVW1" s="9"/>
      <c r="QVX1" s="9"/>
      <c r="QVY1" s="9"/>
      <c r="QVZ1" s="9"/>
      <c r="QWA1" s="9"/>
      <c r="QWB1" s="9"/>
      <c r="QWC1" s="9"/>
      <c r="QWD1" s="9"/>
      <c r="QWE1" s="9"/>
      <c r="QWF1" s="9"/>
      <c r="QWG1" s="9"/>
      <c r="QWH1" s="9"/>
      <c r="QWI1" s="9"/>
      <c r="QWJ1" s="9"/>
      <c r="QWK1" s="9"/>
      <c r="QWL1" s="9"/>
      <c r="QWM1" s="9"/>
      <c r="QWN1" s="9"/>
      <c r="QWO1" s="9"/>
      <c r="QWP1" s="9"/>
      <c r="QWQ1" s="9"/>
      <c r="QWR1" s="9"/>
      <c r="QWS1" s="9"/>
      <c r="QWT1" s="9"/>
      <c r="QWU1" s="9"/>
      <c r="QWV1" s="9"/>
      <c r="QWW1" s="9"/>
      <c r="QWX1" s="9"/>
      <c r="QWY1" s="9"/>
      <c r="QWZ1" s="9"/>
      <c r="QXA1" s="9"/>
      <c r="QXB1" s="9"/>
      <c r="QXC1" s="9"/>
      <c r="QXD1" s="9"/>
      <c r="QXE1" s="9"/>
      <c r="QXF1" s="9"/>
      <c r="QXG1" s="9"/>
      <c r="QXH1" s="9"/>
      <c r="QXI1" s="9"/>
      <c r="QXJ1" s="9"/>
      <c r="QXK1" s="9"/>
      <c r="QXL1" s="9"/>
      <c r="QXM1" s="9"/>
      <c r="QXN1" s="9"/>
      <c r="QXO1" s="9"/>
      <c r="QXP1" s="9"/>
      <c r="QXQ1" s="9"/>
      <c r="QXR1" s="9"/>
      <c r="QXS1" s="9"/>
      <c r="QXT1" s="9"/>
      <c r="QXU1" s="9"/>
      <c r="QXV1" s="9"/>
      <c r="QXW1" s="9"/>
      <c r="QXX1" s="9"/>
      <c r="QXY1" s="9"/>
      <c r="QXZ1" s="9"/>
      <c r="QYA1" s="9"/>
      <c r="QYB1" s="9"/>
      <c r="QYC1" s="9"/>
      <c r="QYD1" s="9"/>
      <c r="QYE1" s="9"/>
      <c r="QYF1" s="9"/>
      <c r="QYG1" s="9"/>
      <c r="QYH1" s="9"/>
      <c r="QYI1" s="9"/>
      <c r="QYJ1" s="9"/>
      <c r="QYK1" s="9"/>
      <c r="QYL1" s="9"/>
      <c r="QYM1" s="9"/>
      <c r="QYN1" s="9"/>
      <c r="QYO1" s="9"/>
      <c r="QYP1" s="9"/>
      <c r="QYQ1" s="9"/>
      <c r="QYR1" s="9"/>
      <c r="QYS1" s="9"/>
      <c r="QYT1" s="9"/>
      <c r="QYU1" s="9"/>
      <c r="QYV1" s="9"/>
      <c r="QYW1" s="9"/>
      <c r="QYX1" s="9"/>
      <c r="QYY1" s="9"/>
      <c r="QYZ1" s="9"/>
      <c r="QZA1" s="9"/>
      <c r="QZB1" s="9"/>
      <c r="QZC1" s="9"/>
      <c r="QZD1" s="9"/>
      <c r="QZE1" s="9"/>
      <c r="QZF1" s="9"/>
      <c r="QZG1" s="9"/>
      <c r="QZH1" s="9"/>
      <c r="QZI1" s="9"/>
      <c r="QZJ1" s="9"/>
      <c r="QZK1" s="9"/>
      <c r="QZL1" s="9"/>
      <c r="QZM1" s="9"/>
      <c r="QZN1" s="9"/>
      <c r="QZO1" s="9"/>
      <c r="QZP1" s="9"/>
      <c r="QZQ1" s="9"/>
      <c r="QZR1" s="9"/>
      <c r="QZS1" s="9"/>
      <c r="QZT1" s="9"/>
      <c r="QZU1" s="9"/>
      <c r="QZV1" s="9"/>
      <c r="QZW1" s="9"/>
      <c r="QZX1" s="9"/>
      <c r="QZY1" s="9"/>
      <c r="QZZ1" s="9"/>
      <c r="RAA1" s="9"/>
      <c r="RAB1" s="9"/>
      <c r="RAC1" s="9"/>
      <c r="RAD1" s="9"/>
      <c r="RAE1" s="9"/>
      <c r="RAF1" s="9"/>
      <c r="RAG1" s="9"/>
      <c r="RAH1" s="9"/>
      <c r="RAI1" s="9"/>
      <c r="RAJ1" s="9"/>
      <c r="RAK1" s="9"/>
      <c r="RAL1" s="9"/>
      <c r="RAM1" s="9"/>
      <c r="RAN1" s="9"/>
      <c r="RAO1" s="9"/>
      <c r="RAP1" s="9"/>
      <c r="RAQ1" s="9"/>
      <c r="RAR1" s="9"/>
      <c r="RAS1" s="9"/>
      <c r="RAT1" s="9"/>
      <c r="RAU1" s="9"/>
      <c r="RAV1" s="9"/>
      <c r="RAW1" s="9"/>
      <c r="RAX1" s="9"/>
      <c r="RAY1" s="9"/>
      <c r="RAZ1" s="9"/>
      <c r="RBA1" s="9"/>
      <c r="RBB1" s="9"/>
      <c r="RBC1" s="9"/>
      <c r="RBD1" s="9"/>
      <c r="RBE1" s="9"/>
      <c r="RBF1" s="9"/>
      <c r="RBG1" s="9"/>
      <c r="RBH1" s="9"/>
      <c r="RBI1" s="9"/>
      <c r="RBJ1" s="9"/>
      <c r="RBK1" s="9"/>
      <c r="RBL1" s="9"/>
      <c r="RBM1" s="9"/>
      <c r="RBN1" s="9"/>
      <c r="RBO1" s="9"/>
      <c r="RBP1" s="9"/>
      <c r="RBQ1" s="9"/>
      <c r="RBR1" s="9"/>
      <c r="RBS1" s="9"/>
      <c r="RBT1" s="9"/>
      <c r="RBU1" s="9"/>
      <c r="RBV1" s="9"/>
      <c r="RBW1" s="9"/>
      <c r="RBX1" s="9"/>
      <c r="RBY1" s="9"/>
      <c r="RBZ1" s="9"/>
      <c r="RCA1" s="9"/>
      <c r="RCB1" s="9"/>
      <c r="RCC1" s="9"/>
      <c r="RCD1" s="9"/>
      <c r="RCE1" s="9"/>
      <c r="RCF1" s="9"/>
      <c r="RCG1" s="9"/>
      <c r="RCH1" s="9"/>
      <c r="RCI1" s="9"/>
      <c r="RCJ1" s="9"/>
      <c r="RCK1" s="9"/>
      <c r="RCL1" s="9"/>
      <c r="RCM1" s="9"/>
      <c r="RCN1" s="9"/>
      <c r="RCO1" s="9"/>
      <c r="RCP1" s="9"/>
      <c r="RCQ1" s="9"/>
      <c r="RCR1" s="9"/>
      <c r="RCS1" s="9"/>
      <c r="RCT1" s="9"/>
      <c r="RCU1" s="9"/>
      <c r="RCV1" s="9"/>
      <c r="RCW1" s="9"/>
      <c r="RCX1" s="9"/>
      <c r="RCY1" s="9"/>
      <c r="RCZ1" s="9"/>
      <c r="RDA1" s="9"/>
      <c r="RDB1" s="9"/>
      <c r="RDC1" s="9"/>
      <c r="RDD1" s="9"/>
      <c r="RDE1" s="9"/>
      <c r="RDF1" s="9"/>
      <c r="RDG1" s="9"/>
      <c r="RDH1" s="9"/>
      <c r="RDI1" s="9"/>
      <c r="RDJ1" s="9"/>
      <c r="RDK1" s="9"/>
      <c r="RDL1" s="9"/>
      <c r="RDM1" s="9"/>
      <c r="RDN1" s="9"/>
      <c r="RDO1" s="9"/>
      <c r="RDP1" s="9"/>
      <c r="RDQ1" s="9"/>
      <c r="RDR1" s="9"/>
      <c r="RDS1" s="9"/>
      <c r="RDT1" s="9"/>
      <c r="RDU1" s="9"/>
      <c r="RDV1" s="9"/>
      <c r="RDW1" s="9"/>
      <c r="RDX1" s="9"/>
      <c r="RDY1" s="9"/>
      <c r="RDZ1" s="9"/>
      <c r="REA1" s="9"/>
      <c r="REB1" s="9"/>
      <c r="REC1" s="9"/>
      <c r="RED1" s="9"/>
      <c r="REE1" s="9"/>
      <c r="REF1" s="9"/>
      <c r="REG1" s="9"/>
      <c r="REH1" s="9"/>
      <c r="REI1" s="9"/>
      <c r="REJ1" s="9"/>
      <c r="REK1" s="9"/>
      <c r="REL1" s="9"/>
      <c r="REM1" s="9"/>
      <c r="REN1" s="9"/>
      <c r="REO1" s="9"/>
      <c r="REP1" s="9"/>
      <c r="REQ1" s="9"/>
      <c r="RER1" s="9"/>
      <c r="RES1" s="9"/>
      <c r="RET1" s="9"/>
      <c r="REU1" s="9"/>
      <c r="REV1" s="9"/>
      <c r="REW1" s="9"/>
      <c r="REX1" s="9"/>
      <c r="REY1" s="9"/>
      <c r="REZ1" s="9"/>
      <c r="RFA1" s="9"/>
      <c r="RFB1" s="9"/>
      <c r="RFC1" s="9"/>
      <c r="RFD1" s="9"/>
      <c r="RFE1" s="9"/>
      <c r="RFF1" s="9"/>
      <c r="RFG1" s="9"/>
      <c r="RFH1" s="9"/>
      <c r="RFI1" s="9"/>
      <c r="RFJ1" s="9"/>
      <c r="RFK1" s="9"/>
      <c r="RFL1" s="9"/>
      <c r="RFM1" s="9"/>
      <c r="RFN1" s="9"/>
      <c r="RFO1" s="9"/>
      <c r="RFP1" s="9"/>
      <c r="RFQ1" s="9"/>
      <c r="RFR1" s="9"/>
      <c r="RFS1" s="9"/>
      <c r="RFT1" s="9"/>
      <c r="RFU1" s="9"/>
      <c r="RFV1" s="9"/>
      <c r="RFW1" s="9"/>
      <c r="RFX1" s="9"/>
      <c r="RFY1" s="9"/>
      <c r="RFZ1" s="9"/>
      <c r="RGA1" s="9"/>
      <c r="RGB1" s="9"/>
      <c r="RGC1" s="9"/>
      <c r="RGD1" s="9"/>
      <c r="RGE1" s="9"/>
      <c r="RGF1" s="9"/>
      <c r="RGG1" s="9"/>
      <c r="RGH1" s="9"/>
      <c r="RGI1" s="9"/>
      <c r="RGJ1" s="9"/>
      <c r="RGK1" s="9"/>
      <c r="RGL1" s="9"/>
      <c r="RGM1" s="9"/>
      <c r="RGN1" s="9"/>
      <c r="RGO1" s="9"/>
      <c r="RGP1" s="9"/>
      <c r="RGQ1" s="9"/>
      <c r="RGR1" s="9"/>
      <c r="RGS1" s="9"/>
      <c r="RGT1" s="9"/>
      <c r="RGU1" s="9"/>
      <c r="RGV1" s="9"/>
      <c r="RGW1" s="9"/>
      <c r="RGX1" s="9"/>
      <c r="RGY1" s="9"/>
      <c r="RGZ1" s="9"/>
      <c r="RHA1" s="9"/>
      <c r="RHB1" s="9"/>
      <c r="RHC1" s="9"/>
      <c r="RHD1" s="9"/>
      <c r="RHE1" s="9"/>
      <c r="RHF1" s="9"/>
      <c r="RHG1" s="9"/>
      <c r="RHH1" s="9"/>
      <c r="RHI1" s="9"/>
      <c r="RHJ1" s="9"/>
      <c r="RHK1" s="9"/>
      <c r="RHL1" s="9"/>
      <c r="RHM1" s="9"/>
      <c r="RHN1" s="9"/>
      <c r="RHO1" s="9"/>
      <c r="RHP1" s="9"/>
      <c r="RHQ1" s="9"/>
      <c r="RHR1" s="9"/>
      <c r="RHS1" s="9"/>
      <c r="RHT1" s="9"/>
      <c r="RHU1" s="9"/>
      <c r="RHV1" s="9"/>
      <c r="RHW1" s="9"/>
      <c r="RHX1" s="9"/>
      <c r="RHY1" s="9"/>
      <c r="RHZ1" s="9"/>
      <c r="RIA1" s="9"/>
      <c r="RIB1" s="9"/>
      <c r="RIC1" s="9"/>
      <c r="RID1" s="9"/>
      <c r="RIE1" s="9"/>
      <c r="RIF1" s="9"/>
      <c r="RIG1" s="9"/>
      <c r="RIH1" s="9"/>
      <c r="RII1" s="9"/>
      <c r="RIJ1" s="9"/>
      <c r="RIK1" s="9"/>
      <c r="RIL1" s="9"/>
      <c r="RIM1" s="9"/>
      <c r="RIN1" s="9"/>
      <c r="RIO1" s="9"/>
      <c r="RIP1" s="9"/>
      <c r="RIQ1" s="9"/>
      <c r="RIR1" s="9"/>
      <c r="RIS1" s="9"/>
      <c r="RIT1" s="9"/>
      <c r="RIU1" s="9"/>
      <c r="RIV1" s="9"/>
      <c r="RIW1" s="9"/>
      <c r="RIX1" s="9"/>
      <c r="RIY1" s="9"/>
      <c r="RIZ1" s="9"/>
      <c r="RJA1" s="9"/>
      <c r="RJB1" s="9"/>
      <c r="RJC1" s="9"/>
      <c r="RJD1" s="9"/>
      <c r="RJE1" s="9"/>
      <c r="RJF1" s="9"/>
      <c r="RJG1" s="9"/>
      <c r="RJH1" s="9"/>
      <c r="RJI1" s="9"/>
      <c r="RJJ1" s="9"/>
      <c r="RJK1" s="9"/>
      <c r="RJL1" s="9"/>
      <c r="RJM1" s="9"/>
      <c r="RJN1" s="9"/>
      <c r="RJO1" s="9"/>
      <c r="RJP1" s="9"/>
      <c r="RJQ1" s="9"/>
      <c r="RJR1" s="9"/>
      <c r="RJS1" s="9"/>
      <c r="RJT1" s="9"/>
      <c r="RJU1" s="9"/>
      <c r="RJV1" s="9"/>
      <c r="RJW1" s="9"/>
      <c r="RJX1" s="9"/>
      <c r="RJY1" s="9"/>
      <c r="RJZ1" s="9"/>
      <c r="RKA1" s="9"/>
      <c r="RKB1" s="9"/>
      <c r="RKC1" s="9"/>
      <c r="RKD1" s="9"/>
      <c r="RKE1" s="9"/>
      <c r="RKF1" s="9"/>
      <c r="RKG1" s="9"/>
      <c r="RKH1" s="9"/>
      <c r="RKI1" s="9"/>
      <c r="RKJ1" s="9"/>
      <c r="RKK1" s="9"/>
      <c r="RKL1" s="9"/>
      <c r="RKM1" s="9"/>
      <c r="RKN1" s="9"/>
      <c r="RKO1" s="9"/>
      <c r="RKP1" s="9"/>
      <c r="RKQ1" s="9"/>
      <c r="RKR1" s="9"/>
      <c r="RKS1" s="9"/>
      <c r="RKT1" s="9"/>
      <c r="RKU1" s="9"/>
      <c r="RKV1" s="9"/>
      <c r="RKW1" s="9"/>
      <c r="RKX1" s="9"/>
      <c r="RKY1" s="9"/>
      <c r="RKZ1" s="9"/>
      <c r="RLA1" s="9"/>
      <c r="RLB1" s="9"/>
      <c r="RLC1" s="9"/>
      <c r="RLD1" s="9"/>
      <c r="RLE1" s="9"/>
      <c r="RLF1" s="9"/>
      <c r="RLG1" s="9"/>
      <c r="RLH1" s="9"/>
      <c r="RLI1" s="9"/>
      <c r="RLJ1" s="9"/>
      <c r="RLK1" s="9"/>
      <c r="RLL1" s="9"/>
      <c r="RLM1" s="9"/>
      <c r="RLN1" s="9"/>
      <c r="RLO1" s="9"/>
      <c r="RLP1" s="9"/>
      <c r="RLQ1" s="9"/>
      <c r="RLR1" s="9"/>
      <c r="RLS1" s="9"/>
      <c r="RLT1" s="9"/>
      <c r="RLU1" s="9"/>
      <c r="RLV1" s="9"/>
      <c r="RLW1" s="9"/>
      <c r="RLX1" s="9"/>
      <c r="RLY1" s="9"/>
      <c r="RLZ1" s="9"/>
      <c r="RMA1" s="9"/>
      <c r="RMB1" s="9"/>
      <c r="RMC1" s="9"/>
      <c r="RMD1" s="9"/>
      <c r="RME1" s="9"/>
      <c r="RMF1" s="9"/>
      <c r="RMG1" s="9"/>
      <c r="RMH1" s="9"/>
      <c r="RMI1" s="9"/>
      <c r="RMJ1" s="9"/>
      <c r="RMK1" s="9"/>
      <c r="RML1" s="9"/>
      <c r="RMM1" s="9"/>
      <c r="RMN1" s="9"/>
      <c r="RMO1" s="9"/>
      <c r="RMP1" s="9"/>
      <c r="RMQ1" s="9"/>
      <c r="RMR1" s="9"/>
      <c r="RMS1" s="9"/>
      <c r="RMT1" s="9"/>
      <c r="RMU1" s="9"/>
      <c r="RMV1" s="9"/>
      <c r="RMW1" s="9"/>
      <c r="RMX1" s="9"/>
      <c r="RMY1" s="9"/>
      <c r="RMZ1" s="9"/>
      <c r="RNA1" s="9"/>
      <c r="RNB1" s="9"/>
      <c r="RNC1" s="9"/>
      <c r="RND1" s="9"/>
      <c r="RNE1" s="9"/>
      <c r="RNF1" s="9"/>
      <c r="RNG1" s="9"/>
      <c r="RNH1" s="9"/>
      <c r="RNI1" s="9"/>
      <c r="RNJ1" s="9"/>
      <c r="RNK1" s="9"/>
      <c r="RNL1" s="9"/>
      <c r="RNM1" s="9"/>
      <c r="RNN1" s="9"/>
      <c r="RNO1" s="9"/>
      <c r="RNP1" s="9"/>
      <c r="RNQ1" s="9"/>
      <c r="RNR1" s="9"/>
      <c r="RNS1" s="9"/>
      <c r="RNT1" s="9"/>
      <c r="RNU1" s="9"/>
      <c r="RNV1" s="9"/>
      <c r="RNW1" s="9"/>
      <c r="RNX1" s="9"/>
      <c r="RNY1" s="9"/>
      <c r="RNZ1" s="9"/>
      <c r="ROA1" s="9"/>
      <c r="ROB1" s="9"/>
      <c r="ROC1" s="9"/>
      <c r="ROD1" s="9"/>
      <c r="ROE1" s="9"/>
      <c r="ROF1" s="9"/>
      <c r="ROG1" s="9"/>
      <c r="ROH1" s="9"/>
      <c r="ROI1" s="9"/>
      <c r="ROJ1" s="9"/>
      <c r="ROK1" s="9"/>
      <c r="ROL1" s="9"/>
      <c r="ROM1" s="9"/>
      <c r="RON1" s="9"/>
      <c r="ROO1" s="9"/>
      <c r="ROP1" s="9"/>
      <c r="ROQ1" s="9"/>
      <c r="ROR1" s="9"/>
      <c r="ROS1" s="9"/>
      <c r="ROT1" s="9"/>
      <c r="ROU1" s="9"/>
      <c r="ROV1" s="9"/>
      <c r="ROW1" s="9"/>
      <c r="ROX1" s="9"/>
      <c r="ROY1" s="9"/>
      <c r="ROZ1" s="9"/>
      <c r="RPA1" s="9"/>
      <c r="RPB1" s="9"/>
      <c r="RPC1" s="9"/>
      <c r="RPD1" s="9"/>
      <c r="RPE1" s="9"/>
      <c r="RPF1" s="9"/>
      <c r="RPG1" s="9"/>
      <c r="RPH1" s="9"/>
      <c r="RPI1" s="9"/>
      <c r="RPJ1" s="9"/>
      <c r="RPK1" s="9"/>
      <c r="RPL1" s="9"/>
      <c r="RPM1" s="9"/>
      <c r="RPN1" s="9"/>
      <c r="RPO1" s="9"/>
      <c r="RPP1" s="9"/>
      <c r="RPQ1" s="9"/>
      <c r="RPR1" s="9"/>
      <c r="RPS1" s="9"/>
      <c r="RPT1" s="9"/>
      <c r="RPU1" s="9"/>
      <c r="RPV1" s="9"/>
      <c r="RPW1" s="9"/>
      <c r="RPX1" s="9"/>
      <c r="RPY1" s="9"/>
      <c r="RPZ1" s="9"/>
      <c r="RQA1" s="9"/>
      <c r="RQB1" s="9"/>
      <c r="RQC1" s="9"/>
      <c r="RQD1" s="9"/>
      <c r="RQE1" s="9"/>
      <c r="RQF1" s="9"/>
      <c r="RQG1" s="9"/>
      <c r="RQH1" s="9"/>
      <c r="RQI1" s="9"/>
      <c r="RQJ1" s="9"/>
      <c r="RQK1" s="9"/>
      <c r="RQL1" s="9"/>
      <c r="RQM1" s="9"/>
      <c r="RQN1" s="9"/>
      <c r="RQO1" s="9"/>
      <c r="RQP1" s="9"/>
      <c r="RQQ1" s="9"/>
      <c r="RQR1" s="9"/>
      <c r="RQS1" s="9"/>
      <c r="RQT1" s="9"/>
      <c r="RQU1" s="9"/>
      <c r="RQV1" s="9"/>
      <c r="RQW1" s="9"/>
      <c r="RQX1" s="9"/>
      <c r="RQY1" s="9"/>
      <c r="RQZ1" s="9"/>
      <c r="RRA1" s="9"/>
      <c r="RRB1" s="9"/>
      <c r="RRC1" s="9"/>
      <c r="RRD1" s="9"/>
      <c r="RRE1" s="9"/>
      <c r="RRF1" s="9"/>
      <c r="RRG1" s="9"/>
      <c r="RRH1" s="9"/>
      <c r="RRI1" s="9"/>
      <c r="RRJ1" s="9"/>
      <c r="RRK1" s="9"/>
      <c r="RRL1" s="9"/>
      <c r="RRM1" s="9"/>
      <c r="RRN1" s="9"/>
      <c r="RRO1" s="9"/>
      <c r="RRP1" s="9"/>
      <c r="RRQ1" s="9"/>
      <c r="RRR1" s="9"/>
      <c r="RRS1" s="9"/>
      <c r="RRT1" s="9"/>
      <c r="RRU1" s="9"/>
      <c r="RRV1" s="9"/>
      <c r="RRW1" s="9"/>
      <c r="RRX1" s="9"/>
      <c r="RRY1" s="9"/>
      <c r="RRZ1" s="9"/>
      <c r="RSA1" s="9"/>
      <c r="RSB1" s="9"/>
      <c r="RSC1" s="9"/>
      <c r="RSD1" s="9"/>
      <c r="RSE1" s="9"/>
      <c r="RSF1" s="9"/>
      <c r="RSG1" s="9"/>
      <c r="RSH1" s="9"/>
      <c r="RSI1" s="9"/>
      <c r="RSJ1" s="9"/>
      <c r="RSK1" s="9"/>
      <c r="RSL1" s="9"/>
      <c r="RSM1" s="9"/>
      <c r="RSN1" s="9"/>
      <c r="RSO1" s="9"/>
      <c r="RSP1" s="9"/>
      <c r="RSQ1" s="9"/>
      <c r="RSR1" s="9"/>
      <c r="RSS1" s="9"/>
      <c r="RST1" s="9"/>
      <c r="RSU1" s="9"/>
      <c r="RSV1" s="9"/>
      <c r="RSW1" s="9"/>
      <c r="RSX1" s="9"/>
      <c r="RSY1" s="9"/>
      <c r="RSZ1" s="9"/>
      <c r="RTA1" s="9"/>
      <c r="RTB1" s="9"/>
      <c r="RTC1" s="9"/>
      <c r="RTD1" s="9"/>
      <c r="RTE1" s="9"/>
      <c r="RTF1" s="9"/>
      <c r="RTG1" s="9"/>
      <c r="RTH1" s="9"/>
      <c r="RTI1" s="9"/>
      <c r="RTJ1" s="9"/>
      <c r="RTK1" s="9"/>
      <c r="RTL1" s="9"/>
      <c r="RTM1" s="9"/>
      <c r="RTN1" s="9"/>
      <c r="RTO1" s="9"/>
      <c r="RTP1" s="9"/>
      <c r="RTQ1" s="9"/>
      <c r="RTR1" s="9"/>
      <c r="RTS1" s="9"/>
      <c r="RTT1" s="9"/>
      <c r="RTU1" s="9"/>
      <c r="RTV1" s="9"/>
      <c r="RTW1" s="9"/>
      <c r="RTX1" s="9"/>
      <c r="RTY1" s="9"/>
      <c r="RTZ1" s="9"/>
      <c r="RUA1" s="9"/>
      <c r="RUB1" s="9"/>
      <c r="RUC1" s="9"/>
      <c r="RUD1" s="9"/>
      <c r="RUE1" s="9"/>
      <c r="RUF1" s="9"/>
      <c r="RUG1" s="9"/>
      <c r="RUH1" s="9"/>
      <c r="RUI1" s="9"/>
      <c r="RUJ1" s="9"/>
      <c r="RUK1" s="9"/>
      <c r="RUL1" s="9"/>
      <c r="RUM1" s="9"/>
      <c r="RUN1" s="9"/>
      <c r="RUO1" s="9"/>
      <c r="RUP1" s="9"/>
      <c r="RUQ1" s="9"/>
      <c r="RUR1" s="9"/>
      <c r="RUS1" s="9"/>
      <c r="RUT1" s="9"/>
      <c r="RUU1" s="9"/>
      <c r="RUV1" s="9"/>
      <c r="RUW1" s="9"/>
      <c r="RUX1" s="9"/>
      <c r="RUY1" s="9"/>
      <c r="RUZ1" s="9"/>
      <c r="RVA1" s="9"/>
      <c r="RVB1" s="9"/>
      <c r="RVC1" s="9"/>
      <c r="RVD1" s="9"/>
      <c r="RVE1" s="9"/>
      <c r="RVF1" s="9"/>
      <c r="RVG1" s="9"/>
      <c r="RVH1" s="9"/>
      <c r="RVI1" s="9"/>
      <c r="RVJ1" s="9"/>
      <c r="RVK1" s="9"/>
      <c r="RVL1" s="9"/>
      <c r="RVM1" s="9"/>
      <c r="RVN1" s="9"/>
      <c r="RVO1" s="9"/>
      <c r="RVP1" s="9"/>
      <c r="RVQ1" s="9"/>
      <c r="RVR1" s="9"/>
      <c r="RVS1" s="9"/>
      <c r="RVT1" s="9"/>
      <c r="RVU1" s="9"/>
      <c r="RVV1" s="9"/>
      <c r="RVW1" s="9"/>
      <c r="RVX1" s="9"/>
      <c r="RVY1" s="9"/>
      <c r="RVZ1" s="9"/>
      <c r="RWA1" s="9"/>
      <c r="RWB1" s="9"/>
      <c r="RWC1" s="9"/>
      <c r="RWD1" s="9"/>
      <c r="RWE1" s="9"/>
      <c r="RWF1" s="9"/>
      <c r="RWG1" s="9"/>
      <c r="RWH1" s="9"/>
      <c r="RWI1" s="9"/>
      <c r="RWJ1" s="9"/>
      <c r="RWK1" s="9"/>
      <c r="RWL1" s="9"/>
      <c r="RWM1" s="9"/>
      <c r="RWN1" s="9"/>
      <c r="RWO1" s="9"/>
      <c r="RWP1" s="9"/>
      <c r="RWQ1" s="9"/>
      <c r="RWR1" s="9"/>
      <c r="RWS1" s="9"/>
      <c r="RWT1" s="9"/>
      <c r="RWU1" s="9"/>
      <c r="RWV1" s="9"/>
      <c r="RWW1" s="9"/>
      <c r="RWX1" s="9"/>
      <c r="RWY1" s="9"/>
      <c r="RWZ1" s="9"/>
      <c r="RXA1" s="9"/>
      <c r="RXB1" s="9"/>
      <c r="RXC1" s="9"/>
      <c r="RXD1" s="9"/>
      <c r="RXE1" s="9"/>
      <c r="RXF1" s="9"/>
      <c r="RXG1" s="9"/>
      <c r="RXH1" s="9"/>
      <c r="RXI1" s="9"/>
      <c r="RXJ1" s="9"/>
      <c r="RXK1" s="9"/>
      <c r="RXL1" s="9"/>
      <c r="RXM1" s="9"/>
      <c r="RXN1" s="9"/>
      <c r="RXO1" s="9"/>
      <c r="RXP1" s="9"/>
      <c r="RXQ1" s="9"/>
      <c r="RXR1" s="9"/>
      <c r="RXS1" s="9"/>
      <c r="RXT1" s="9"/>
      <c r="RXU1" s="9"/>
      <c r="RXV1" s="9"/>
      <c r="RXW1" s="9"/>
      <c r="RXX1" s="9"/>
      <c r="RXY1" s="9"/>
      <c r="RXZ1" s="9"/>
      <c r="RYA1" s="9"/>
      <c r="RYB1" s="9"/>
      <c r="RYC1" s="9"/>
      <c r="RYD1" s="9"/>
      <c r="RYE1" s="9"/>
      <c r="RYF1" s="9"/>
      <c r="RYG1" s="9"/>
      <c r="RYH1" s="9"/>
      <c r="RYI1" s="9"/>
      <c r="RYJ1" s="9"/>
      <c r="RYK1" s="9"/>
      <c r="RYL1" s="9"/>
      <c r="RYM1" s="9"/>
      <c r="RYN1" s="9"/>
      <c r="RYO1" s="9"/>
      <c r="RYP1" s="9"/>
      <c r="RYQ1" s="9"/>
      <c r="RYR1" s="9"/>
      <c r="RYS1" s="9"/>
      <c r="RYT1" s="9"/>
      <c r="RYU1" s="9"/>
      <c r="RYV1" s="9"/>
      <c r="RYW1" s="9"/>
      <c r="RYX1" s="9"/>
      <c r="RYY1" s="9"/>
      <c r="RYZ1" s="9"/>
      <c r="RZA1" s="9"/>
      <c r="RZB1" s="9"/>
      <c r="RZC1" s="9"/>
      <c r="RZD1" s="9"/>
      <c r="RZE1" s="9"/>
      <c r="RZF1" s="9"/>
      <c r="RZG1" s="9"/>
      <c r="RZH1" s="9"/>
      <c r="RZI1" s="9"/>
      <c r="RZJ1" s="9"/>
      <c r="RZK1" s="9"/>
      <c r="RZL1" s="9"/>
      <c r="RZM1" s="9"/>
      <c r="RZN1" s="9"/>
      <c r="RZO1" s="9"/>
      <c r="RZP1" s="9"/>
      <c r="RZQ1" s="9"/>
      <c r="RZR1" s="9"/>
      <c r="RZS1" s="9"/>
      <c r="RZT1" s="9"/>
      <c r="RZU1" s="9"/>
      <c r="RZV1" s="9"/>
      <c r="RZW1" s="9"/>
      <c r="RZX1" s="9"/>
      <c r="RZY1" s="9"/>
      <c r="RZZ1" s="9"/>
      <c r="SAA1" s="9"/>
      <c r="SAB1" s="9"/>
      <c r="SAC1" s="9"/>
      <c r="SAD1" s="9"/>
      <c r="SAE1" s="9"/>
      <c r="SAF1" s="9"/>
      <c r="SAG1" s="9"/>
      <c r="SAH1" s="9"/>
      <c r="SAI1" s="9"/>
      <c r="SAJ1" s="9"/>
      <c r="SAK1" s="9"/>
      <c r="SAL1" s="9"/>
      <c r="SAM1" s="9"/>
      <c r="SAN1" s="9"/>
      <c r="SAO1" s="9"/>
      <c r="SAP1" s="9"/>
      <c r="SAQ1" s="9"/>
      <c r="SAR1" s="9"/>
      <c r="SAS1" s="9"/>
      <c r="SAT1" s="9"/>
      <c r="SAU1" s="9"/>
      <c r="SAV1" s="9"/>
      <c r="SAW1" s="9"/>
      <c r="SAX1" s="9"/>
      <c r="SAY1" s="9"/>
      <c r="SAZ1" s="9"/>
      <c r="SBA1" s="9"/>
      <c r="SBB1" s="9"/>
      <c r="SBC1" s="9"/>
      <c r="SBD1" s="9"/>
      <c r="SBE1" s="9"/>
      <c r="SBF1" s="9"/>
      <c r="SBG1" s="9"/>
      <c r="SBH1" s="9"/>
      <c r="SBI1" s="9"/>
      <c r="SBJ1" s="9"/>
      <c r="SBK1" s="9"/>
      <c r="SBL1" s="9"/>
      <c r="SBM1" s="9"/>
      <c r="SBN1" s="9"/>
      <c r="SBO1" s="9"/>
      <c r="SBP1" s="9"/>
      <c r="SBQ1" s="9"/>
      <c r="SBR1" s="9"/>
      <c r="SBS1" s="9"/>
      <c r="SBT1" s="9"/>
      <c r="SBU1" s="9"/>
      <c r="SBV1" s="9"/>
      <c r="SBW1" s="9"/>
      <c r="SBX1" s="9"/>
      <c r="SBY1" s="9"/>
      <c r="SBZ1" s="9"/>
      <c r="SCA1" s="9"/>
      <c r="SCB1" s="9"/>
      <c r="SCC1" s="9"/>
      <c r="SCD1" s="9"/>
      <c r="SCE1" s="9"/>
      <c r="SCF1" s="9"/>
      <c r="SCG1" s="9"/>
      <c r="SCH1" s="9"/>
      <c r="SCI1" s="9"/>
      <c r="SCJ1" s="9"/>
      <c r="SCK1" s="9"/>
      <c r="SCL1" s="9"/>
      <c r="SCM1" s="9"/>
      <c r="SCN1" s="9"/>
      <c r="SCO1" s="9"/>
      <c r="SCP1" s="9"/>
      <c r="SCQ1" s="9"/>
      <c r="SCR1" s="9"/>
      <c r="SCS1" s="9"/>
      <c r="SCT1" s="9"/>
      <c r="SCU1" s="9"/>
      <c r="SCV1" s="9"/>
      <c r="SCW1" s="9"/>
      <c r="SCX1" s="9"/>
      <c r="SCY1" s="9"/>
      <c r="SCZ1" s="9"/>
      <c r="SDA1" s="9"/>
      <c r="SDB1" s="9"/>
      <c r="SDC1" s="9"/>
      <c r="SDD1" s="9"/>
      <c r="SDE1" s="9"/>
      <c r="SDF1" s="9"/>
      <c r="SDG1" s="9"/>
      <c r="SDH1" s="9"/>
      <c r="SDI1" s="9"/>
      <c r="SDJ1" s="9"/>
      <c r="SDK1" s="9"/>
      <c r="SDL1" s="9"/>
      <c r="SDM1" s="9"/>
      <c r="SDN1" s="9"/>
      <c r="SDO1" s="9"/>
      <c r="SDP1" s="9"/>
      <c r="SDQ1" s="9"/>
      <c r="SDR1" s="9"/>
      <c r="SDS1" s="9"/>
      <c r="SDT1" s="9"/>
      <c r="SDU1" s="9"/>
      <c r="SDV1" s="9"/>
      <c r="SDW1" s="9"/>
      <c r="SDX1" s="9"/>
      <c r="SDY1" s="9"/>
      <c r="SDZ1" s="9"/>
      <c r="SEA1" s="9"/>
      <c r="SEB1" s="9"/>
      <c r="SEC1" s="9"/>
      <c r="SED1" s="9"/>
      <c r="SEE1" s="9"/>
      <c r="SEF1" s="9"/>
      <c r="SEG1" s="9"/>
      <c r="SEH1" s="9"/>
      <c r="SEI1" s="9"/>
      <c r="SEJ1" s="9"/>
      <c r="SEK1" s="9"/>
      <c r="SEL1" s="9"/>
      <c r="SEM1" s="9"/>
      <c r="SEN1" s="9"/>
      <c r="SEO1" s="9"/>
      <c r="SEP1" s="9"/>
      <c r="SEQ1" s="9"/>
      <c r="SER1" s="9"/>
      <c r="SES1" s="9"/>
      <c r="SET1" s="9"/>
      <c r="SEU1" s="9"/>
      <c r="SEV1" s="9"/>
      <c r="SEW1" s="9"/>
      <c r="SEX1" s="9"/>
      <c r="SEY1" s="9"/>
      <c r="SEZ1" s="9"/>
      <c r="SFA1" s="9"/>
      <c r="SFB1" s="9"/>
      <c r="SFC1" s="9"/>
      <c r="SFD1" s="9"/>
      <c r="SFE1" s="9"/>
      <c r="SFF1" s="9"/>
      <c r="SFG1" s="9"/>
      <c r="SFH1" s="9"/>
      <c r="SFI1" s="9"/>
      <c r="SFJ1" s="9"/>
      <c r="SFK1" s="9"/>
      <c r="SFL1" s="9"/>
      <c r="SFM1" s="9"/>
      <c r="SFN1" s="9"/>
      <c r="SFO1" s="9"/>
      <c r="SFP1" s="9"/>
      <c r="SFQ1" s="9"/>
      <c r="SFR1" s="9"/>
      <c r="SFS1" s="9"/>
      <c r="SFT1" s="9"/>
      <c r="SFU1" s="9"/>
      <c r="SFV1" s="9"/>
      <c r="SFW1" s="9"/>
      <c r="SFX1" s="9"/>
      <c r="SFY1" s="9"/>
      <c r="SFZ1" s="9"/>
      <c r="SGA1" s="9"/>
      <c r="SGB1" s="9"/>
      <c r="SGC1" s="9"/>
      <c r="SGD1" s="9"/>
      <c r="SGE1" s="9"/>
      <c r="SGF1" s="9"/>
      <c r="SGG1" s="9"/>
      <c r="SGH1" s="9"/>
      <c r="SGI1" s="9"/>
      <c r="SGJ1" s="9"/>
      <c r="SGK1" s="9"/>
      <c r="SGL1" s="9"/>
      <c r="SGM1" s="9"/>
      <c r="SGN1" s="9"/>
      <c r="SGO1" s="9"/>
      <c r="SGP1" s="9"/>
      <c r="SGQ1" s="9"/>
      <c r="SGR1" s="9"/>
      <c r="SGS1" s="9"/>
      <c r="SGT1" s="9"/>
      <c r="SGU1" s="9"/>
      <c r="SGV1" s="9"/>
      <c r="SGW1" s="9"/>
      <c r="SGX1" s="9"/>
      <c r="SGY1" s="9"/>
      <c r="SGZ1" s="9"/>
      <c r="SHA1" s="9"/>
      <c r="SHB1" s="9"/>
      <c r="SHC1" s="9"/>
      <c r="SHD1" s="9"/>
      <c r="SHE1" s="9"/>
      <c r="SHF1" s="9"/>
      <c r="SHG1" s="9"/>
      <c r="SHH1" s="9"/>
      <c r="SHI1" s="9"/>
      <c r="SHJ1" s="9"/>
      <c r="SHK1" s="9"/>
      <c r="SHL1" s="9"/>
      <c r="SHM1" s="9"/>
      <c r="SHN1" s="9"/>
      <c r="SHO1" s="9"/>
      <c r="SHP1" s="9"/>
      <c r="SHQ1" s="9"/>
      <c r="SHR1" s="9"/>
      <c r="SHS1" s="9"/>
      <c r="SHT1" s="9"/>
      <c r="SHU1" s="9"/>
      <c r="SHV1" s="9"/>
      <c r="SHW1" s="9"/>
      <c r="SHX1" s="9"/>
      <c r="SHY1" s="9"/>
      <c r="SHZ1" s="9"/>
      <c r="SIA1" s="9"/>
      <c r="SIB1" s="9"/>
      <c r="SIC1" s="9"/>
      <c r="SID1" s="9"/>
      <c r="SIE1" s="9"/>
      <c r="SIF1" s="9"/>
      <c r="SIG1" s="9"/>
      <c r="SIH1" s="9"/>
      <c r="SII1" s="9"/>
      <c r="SIJ1" s="9"/>
      <c r="SIK1" s="9"/>
      <c r="SIL1" s="9"/>
      <c r="SIM1" s="9"/>
      <c r="SIN1" s="9"/>
      <c r="SIO1" s="9"/>
      <c r="SIP1" s="9"/>
      <c r="SIQ1" s="9"/>
      <c r="SIR1" s="9"/>
      <c r="SIS1" s="9"/>
      <c r="SIT1" s="9"/>
      <c r="SIU1" s="9"/>
      <c r="SIV1" s="9"/>
      <c r="SIW1" s="9"/>
      <c r="SIX1" s="9"/>
      <c r="SIY1" s="9"/>
      <c r="SIZ1" s="9"/>
      <c r="SJA1" s="9"/>
      <c r="SJB1" s="9"/>
      <c r="SJC1" s="9"/>
      <c r="SJD1" s="9"/>
      <c r="SJE1" s="9"/>
      <c r="SJF1" s="9"/>
      <c r="SJG1" s="9"/>
      <c r="SJH1" s="9"/>
      <c r="SJI1" s="9"/>
      <c r="SJJ1" s="9"/>
      <c r="SJK1" s="9"/>
      <c r="SJL1" s="9"/>
      <c r="SJM1" s="9"/>
      <c r="SJN1" s="9"/>
      <c r="SJO1" s="9"/>
      <c r="SJP1" s="9"/>
      <c r="SJQ1" s="9"/>
      <c r="SJR1" s="9"/>
      <c r="SJS1" s="9"/>
      <c r="SJT1" s="9"/>
      <c r="SJU1" s="9"/>
      <c r="SJV1" s="9"/>
      <c r="SJW1" s="9"/>
      <c r="SJX1" s="9"/>
      <c r="SJY1" s="9"/>
      <c r="SJZ1" s="9"/>
      <c r="SKA1" s="9"/>
      <c r="SKB1" s="9"/>
      <c r="SKC1" s="9"/>
      <c r="SKD1" s="9"/>
      <c r="SKE1" s="9"/>
      <c r="SKF1" s="9"/>
      <c r="SKG1" s="9"/>
      <c r="SKH1" s="9"/>
      <c r="SKI1" s="9"/>
      <c r="SKJ1" s="9"/>
      <c r="SKK1" s="9"/>
      <c r="SKL1" s="9"/>
      <c r="SKM1" s="9"/>
      <c r="SKN1" s="9"/>
      <c r="SKO1" s="9"/>
      <c r="SKP1" s="9"/>
      <c r="SKQ1" s="9"/>
      <c r="SKR1" s="9"/>
      <c r="SKS1" s="9"/>
      <c r="SKT1" s="9"/>
      <c r="SKU1" s="9"/>
      <c r="SKV1" s="9"/>
      <c r="SKW1" s="9"/>
      <c r="SKX1" s="9"/>
      <c r="SKY1" s="9"/>
      <c r="SKZ1" s="9"/>
      <c r="SLA1" s="9"/>
      <c r="SLB1" s="9"/>
      <c r="SLC1" s="9"/>
      <c r="SLD1" s="9"/>
      <c r="SLE1" s="9"/>
      <c r="SLF1" s="9"/>
      <c r="SLG1" s="9"/>
      <c r="SLH1" s="9"/>
      <c r="SLI1" s="9"/>
      <c r="SLJ1" s="9"/>
      <c r="SLK1" s="9"/>
      <c r="SLL1" s="9"/>
      <c r="SLM1" s="9"/>
      <c r="SLN1" s="9"/>
      <c r="SLO1" s="9"/>
      <c r="SLP1" s="9"/>
      <c r="SLQ1" s="9"/>
      <c r="SLR1" s="9"/>
      <c r="SLS1" s="9"/>
      <c r="SLT1" s="9"/>
      <c r="SLU1" s="9"/>
      <c r="SLV1" s="9"/>
      <c r="SLW1" s="9"/>
      <c r="SLX1" s="9"/>
      <c r="SLY1" s="9"/>
      <c r="SLZ1" s="9"/>
      <c r="SMA1" s="9"/>
      <c r="SMB1" s="9"/>
      <c r="SMC1" s="9"/>
      <c r="SMD1" s="9"/>
      <c r="SME1" s="9"/>
      <c r="SMF1" s="9"/>
      <c r="SMG1" s="9"/>
      <c r="SMH1" s="9"/>
      <c r="SMI1" s="9"/>
      <c r="SMJ1" s="9"/>
      <c r="SMK1" s="9"/>
      <c r="SML1" s="9"/>
      <c r="SMM1" s="9"/>
      <c r="SMN1" s="9"/>
      <c r="SMO1" s="9"/>
      <c r="SMP1" s="9"/>
      <c r="SMQ1" s="9"/>
      <c r="SMR1" s="9"/>
      <c r="SMS1" s="9"/>
      <c r="SMT1" s="9"/>
      <c r="SMU1" s="9"/>
      <c r="SMV1" s="9"/>
      <c r="SMW1" s="9"/>
      <c r="SMX1" s="9"/>
      <c r="SMY1" s="9"/>
      <c r="SMZ1" s="9"/>
      <c r="SNA1" s="9"/>
      <c r="SNB1" s="9"/>
      <c r="SNC1" s="9"/>
      <c r="SND1" s="9"/>
      <c r="SNE1" s="9"/>
      <c r="SNF1" s="9"/>
      <c r="SNG1" s="9"/>
      <c r="SNH1" s="9"/>
      <c r="SNI1" s="9"/>
      <c r="SNJ1" s="9"/>
      <c r="SNK1" s="9"/>
      <c r="SNL1" s="9"/>
      <c r="SNM1" s="9"/>
      <c r="SNN1" s="9"/>
      <c r="SNO1" s="9"/>
      <c r="SNP1" s="9"/>
      <c r="SNQ1" s="9"/>
      <c r="SNR1" s="9"/>
      <c r="SNS1" s="9"/>
      <c r="SNT1" s="9"/>
      <c r="SNU1" s="9"/>
      <c r="SNV1" s="9"/>
      <c r="SNW1" s="9"/>
      <c r="SNX1" s="9"/>
      <c r="SNY1" s="9"/>
      <c r="SNZ1" s="9"/>
      <c r="SOA1" s="9"/>
      <c r="SOB1" s="9"/>
      <c r="SOC1" s="9"/>
      <c r="SOD1" s="9"/>
      <c r="SOE1" s="9"/>
      <c r="SOF1" s="9"/>
      <c r="SOG1" s="9"/>
      <c r="SOH1" s="9"/>
      <c r="SOI1" s="9"/>
      <c r="SOJ1" s="9"/>
      <c r="SOK1" s="9"/>
      <c r="SOL1" s="9"/>
      <c r="SOM1" s="9"/>
      <c r="SON1" s="9"/>
      <c r="SOO1" s="9"/>
      <c r="SOP1" s="9"/>
      <c r="SOQ1" s="9"/>
      <c r="SOR1" s="9"/>
      <c r="SOS1" s="9"/>
      <c r="SOT1" s="9"/>
      <c r="SOU1" s="9"/>
      <c r="SOV1" s="9"/>
      <c r="SOW1" s="9"/>
      <c r="SOX1" s="9"/>
      <c r="SOY1" s="9"/>
      <c r="SOZ1" s="9"/>
      <c r="SPA1" s="9"/>
      <c r="SPB1" s="9"/>
      <c r="SPC1" s="9"/>
      <c r="SPD1" s="9"/>
      <c r="SPE1" s="9"/>
      <c r="SPF1" s="9"/>
      <c r="SPG1" s="9"/>
      <c r="SPH1" s="9"/>
      <c r="SPI1" s="9"/>
      <c r="SPJ1" s="9"/>
      <c r="SPK1" s="9"/>
      <c r="SPL1" s="9"/>
      <c r="SPM1" s="9"/>
      <c r="SPN1" s="9"/>
      <c r="SPO1" s="9"/>
      <c r="SPP1" s="9"/>
      <c r="SPQ1" s="9"/>
      <c r="SPR1" s="9"/>
      <c r="SPS1" s="9"/>
      <c r="SPT1" s="9"/>
      <c r="SPU1" s="9"/>
      <c r="SPV1" s="9"/>
      <c r="SPW1" s="9"/>
      <c r="SPX1" s="9"/>
      <c r="SPY1" s="9"/>
      <c r="SPZ1" s="9"/>
      <c r="SQA1" s="9"/>
      <c r="SQB1" s="9"/>
      <c r="SQC1" s="9"/>
      <c r="SQD1" s="9"/>
      <c r="SQE1" s="9"/>
      <c r="SQF1" s="9"/>
      <c r="SQG1" s="9"/>
      <c r="SQH1" s="9"/>
      <c r="SQI1" s="9"/>
      <c r="SQJ1" s="9"/>
      <c r="SQK1" s="9"/>
      <c r="SQL1" s="9"/>
      <c r="SQM1" s="9"/>
      <c r="SQN1" s="9"/>
      <c r="SQO1" s="9"/>
      <c r="SQP1" s="9"/>
      <c r="SQQ1" s="9"/>
      <c r="SQR1" s="9"/>
      <c r="SQS1" s="9"/>
      <c r="SQT1" s="9"/>
      <c r="SQU1" s="9"/>
      <c r="SQV1" s="9"/>
      <c r="SQW1" s="9"/>
      <c r="SQX1" s="9"/>
      <c r="SQY1" s="9"/>
      <c r="SQZ1" s="9"/>
      <c r="SRA1" s="9"/>
      <c r="SRB1" s="9"/>
      <c r="SRC1" s="9"/>
      <c r="SRD1" s="9"/>
      <c r="SRE1" s="9"/>
      <c r="SRF1" s="9"/>
      <c r="SRG1" s="9"/>
      <c r="SRH1" s="9"/>
      <c r="SRI1" s="9"/>
      <c r="SRJ1" s="9"/>
      <c r="SRK1" s="9"/>
      <c r="SRL1" s="9"/>
      <c r="SRM1" s="9"/>
      <c r="SRN1" s="9"/>
      <c r="SRO1" s="9"/>
      <c r="SRP1" s="9"/>
      <c r="SRQ1" s="9"/>
      <c r="SRR1" s="9"/>
      <c r="SRS1" s="9"/>
      <c r="SRT1" s="9"/>
      <c r="SRU1" s="9"/>
      <c r="SRV1" s="9"/>
      <c r="SRW1" s="9"/>
      <c r="SRX1" s="9"/>
      <c r="SRY1" s="9"/>
      <c r="SRZ1" s="9"/>
      <c r="SSA1" s="9"/>
      <c r="SSB1" s="9"/>
      <c r="SSC1" s="9"/>
      <c r="SSD1" s="9"/>
      <c r="SSE1" s="9"/>
      <c r="SSF1" s="9"/>
      <c r="SSG1" s="9"/>
      <c r="SSH1" s="9"/>
      <c r="SSI1" s="9"/>
      <c r="SSJ1" s="9"/>
      <c r="SSK1" s="9"/>
      <c r="SSL1" s="9"/>
      <c r="SSM1" s="9"/>
      <c r="SSN1" s="9"/>
      <c r="SSO1" s="9"/>
      <c r="SSP1" s="9"/>
      <c r="SSQ1" s="9"/>
      <c r="SSR1" s="9"/>
      <c r="SSS1" s="9"/>
      <c r="SST1" s="9"/>
      <c r="SSU1" s="9"/>
      <c r="SSV1" s="9"/>
      <c r="SSW1" s="9"/>
      <c r="SSX1" s="9"/>
      <c r="SSY1" s="9"/>
      <c r="SSZ1" s="9"/>
      <c r="STA1" s="9"/>
      <c r="STB1" s="9"/>
      <c r="STC1" s="9"/>
      <c r="STD1" s="9"/>
      <c r="STE1" s="9"/>
      <c r="STF1" s="9"/>
      <c r="STG1" s="9"/>
      <c r="STH1" s="9"/>
      <c r="STI1" s="9"/>
      <c r="STJ1" s="9"/>
      <c r="STK1" s="9"/>
      <c r="STL1" s="9"/>
      <c r="STM1" s="9"/>
      <c r="STN1" s="9"/>
      <c r="STO1" s="9"/>
      <c r="STP1" s="9"/>
      <c r="STQ1" s="9"/>
      <c r="STR1" s="9"/>
      <c r="STS1" s="9"/>
      <c r="STT1" s="9"/>
      <c r="STU1" s="9"/>
      <c r="STV1" s="9"/>
      <c r="STW1" s="9"/>
      <c r="STX1" s="9"/>
      <c r="STY1" s="9"/>
      <c r="STZ1" s="9"/>
      <c r="SUA1" s="9"/>
      <c r="SUB1" s="9"/>
      <c r="SUC1" s="9"/>
      <c r="SUD1" s="9"/>
      <c r="SUE1" s="9"/>
      <c r="SUF1" s="9"/>
      <c r="SUG1" s="9"/>
      <c r="SUH1" s="9"/>
      <c r="SUI1" s="9"/>
      <c r="SUJ1" s="9"/>
      <c r="SUK1" s="9"/>
      <c r="SUL1" s="9"/>
      <c r="SUM1" s="9"/>
      <c r="SUN1" s="9"/>
      <c r="SUO1" s="9"/>
      <c r="SUP1" s="9"/>
      <c r="SUQ1" s="9"/>
      <c r="SUR1" s="9"/>
      <c r="SUS1" s="9"/>
      <c r="SUT1" s="9"/>
      <c r="SUU1" s="9"/>
      <c r="SUV1" s="9"/>
      <c r="SUW1" s="9"/>
      <c r="SUX1" s="9"/>
      <c r="SUY1" s="9"/>
      <c r="SUZ1" s="9"/>
      <c r="SVA1" s="9"/>
      <c r="SVB1" s="9"/>
      <c r="SVC1" s="9"/>
      <c r="SVD1" s="9"/>
      <c r="SVE1" s="9"/>
      <c r="SVF1" s="9"/>
      <c r="SVG1" s="9"/>
      <c r="SVH1" s="9"/>
      <c r="SVI1" s="9"/>
      <c r="SVJ1" s="9"/>
      <c r="SVK1" s="9"/>
      <c r="SVL1" s="9"/>
      <c r="SVM1" s="9"/>
      <c r="SVN1" s="9"/>
      <c r="SVO1" s="9"/>
      <c r="SVP1" s="9"/>
      <c r="SVQ1" s="9"/>
      <c r="SVR1" s="9"/>
      <c r="SVS1" s="9"/>
      <c r="SVT1" s="9"/>
      <c r="SVU1" s="9"/>
      <c r="SVV1" s="9"/>
      <c r="SVW1" s="9"/>
      <c r="SVX1" s="9"/>
      <c r="SVY1" s="9"/>
      <c r="SVZ1" s="9"/>
      <c r="SWA1" s="9"/>
      <c r="SWB1" s="9"/>
      <c r="SWC1" s="9"/>
      <c r="SWD1" s="9"/>
      <c r="SWE1" s="9"/>
      <c r="SWF1" s="9"/>
      <c r="SWG1" s="9"/>
      <c r="SWH1" s="9"/>
      <c r="SWI1" s="9"/>
      <c r="SWJ1" s="9"/>
      <c r="SWK1" s="9"/>
      <c r="SWL1" s="9"/>
      <c r="SWM1" s="9"/>
      <c r="SWN1" s="9"/>
      <c r="SWO1" s="9"/>
      <c r="SWP1" s="9"/>
      <c r="SWQ1" s="9"/>
      <c r="SWR1" s="9"/>
      <c r="SWS1" s="9"/>
      <c r="SWT1" s="9"/>
      <c r="SWU1" s="9"/>
      <c r="SWV1" s="9"/>
      <c r="SWW1" s="9"/>
      <c r="SWX1" s="9"/>
      <c r="SWY1" s="9"/>
      <c r="SWZ1" s="9"/>
      <c r="SXA1" s="9"/>
      <c r="SXB1" s="9"/>
      <c r="SXC1" s="9"/>
      <c r="SXD1" s="9"/>
      <c r="SXE1" s="9"/>
      <c r="SXF1" s="9"/>
      <c r="SXG1" s="9"/>
      <c r="SXH1" s="9"/>
      <c r="SXI1" s="9"/>
      <c r="SXJ1" s="9"/>
      <c r="SXK1" s="9"/>
      <c r="SXL1" s="9"/>
      <c r="SXM1" s="9"/>
      <c r="SXN1" s="9"/>
      <c r="SXO1" s="9"/>
      <c r="SXP1" s="9"/>
      <c r="SXQ1" s="9"/>
      <c r="SXR1" s="9"/>
      <c r="SXS1" s="9"/>
      <c r="SXT1" s="9"/>
      <c r="SXU1" s="9"/>
      <c r="SXV1" s="9"/>
      <c r="SXW1" s="9"/>
      <c r="SXX1" s="9"/>
      <c r="SXY1" s="9"/>
      <c r="SXZ1" s="9"/>
      <c r="SYA1" s="9"/>
      <c r="SYB1" s="9"/>
      <c r="SYC1" s="9"/>
      <c r="SYD1" s="9"/>
      <c r="SYE1" s="9"/>
      <c r="SYF1" s="9"/>
      <c r="SYG1" s="9"/>
      <c r="SYH1" s="9"/>
      <c r="SYI1" s="9"/>
      <c r="SYJ1" s="9"/>
      <c r="SYK1" s="9"/>
      <c r="SYL1" s="9"/>
      <c r="SYM1" s="9"/>
      <c r="SYN1" s="9"/>
      <c r="SYO1" s="9"/>
      <c r="SYP1" s="9"/>
      <c r="SYQ1" s="9"/>
      <c r="SYR1" s="9"/>
      <c r="SYS1" s="9"/>
      <c r="SYT1" s="9"/>
      <c r="SYU1" s="9"/>
      <c r="SYV1" s="9"/>
      <c r="SYW1" s="9"/>
      <c r="SYX1" s="9"/>
      <c r="SYY1" s="9"/>
      <c r="SYZ1" s="9"/>
      <c r="SZA1" s="9"/>
      <c r="SZB1" s="9"/>
      <c r="SZC1" s="9"/>
      <c r="SZD1" s="9"/>
      <c r="SZE1" s="9"/>
      <c r="SZF1" s="9"/>
      <c r="SZG1" s="9"/>
      <c r="SZH1" s="9"/>
      <c r="SZI1" s="9"/>
      <c r="SZJ1" s="9"/>
      <c r="SZK1" s="9"/>
      <c r="SZL1" s="9"/>
      <c r="SZM1" s="9"/>
      <c r="SZN1" s="9"/>
      <c r="SZO1" s="9"/>
      <c r="SZP1" s="9"/>
      <c r="SZQ1" s="9"/>
      <c r="SZR1" s="9"/>
      <c r="SZS1" s="9"/>
      <c r="SZT1" s="9"/>
      <c r="SZU1" s="9"/>
      <c r="SZV1" s="9"/>
      <c r="SZW1" s="9"/>
      <c r="SZX1" s="9"/>
      <c r="SZY1" s="9"/>
      <c r="SZZ1" s="9"/>
      <c r="TAA1" s="9"/>
      <c r="TAB1" s="9"/>
      <c r="TAC1" s="9"/>
      <c r="TAD1" s="9"/>
      <c r="TAE1" s="9"/>
      <c r="TAF1" s="9"/>
      <c r="TAG1" s="9"/>
      <c r="TAH1" s="9"/>
      <c r="TAI1" s="9"/>
      <c r="TAJ1" s="9"/>
      <c r="TAK1" s="9"/>
      <c r="TAL1" s="9"/>
      <c r="TAM1" s="9"/>
      <c r="TAN1" s="9"/>
      <c r="TAO1" s="9"/>
      <c r="TAP1" s="9"/>
      <c r="TAQ1" s="9"/>
      <c r="TAR1" s="9"/>
      <c r="TAS1" s="9"/>
      <c r="TAT1" s="9"/>
      <c r="TAU1" s="9"/>
      <c r="TAV1" s="9"/>
      <c r="TAW1" s="9"/>
      <c r="TAX1" s="9"/>
      <c r="TAY1" s="9"/>
      <c r="TAZ1" s="9"/>
      <c r="TBA1" s="9"/>
      <c r="TBB1" s="9"/>
      <c r="TBC1" s="9"/>
      <c r="TBD1" s="9"/>
      <c r="TBE1" s="9"/>
      <c r="TBF1" s="9"/>
      <c r="TBG1" s="9"/>
      <c r="TBH1" s="9"/>
      <c r="TBI1" s="9"/>
      <c r="TBJ1" s="9"/>
      <c r="TBK1" s="9"/>
      <c r="TBL1" s="9"/>
      <c r="TBM1" s="9"/>
      <c r="TBN1" s="9"/>
      <c r="TBO1" s="9"/>
      <c r="TBP1" s="9"/>
      <c r="TBQ1" s="9"/>
      <c r="TBR1" s="9"/>
      <c r="TBS1" s="9"/>
      <c r="TBT1" s="9"/>
      <c r="TBU1" s="9"/>
      <c r="TBV1" s="9"/>
      <c r="TBW1" s="9"/>
      <c r="TBX1" s="9"/>
      <c r="TBY1" s="9"/>
      <c r="TBZ1" s="9"/>
      <c r="TCA1" s="9"/>
      <c r="TCB1" s="9"/>
      <c r="TCC1" s="9"/>
      <c r="TCD1" s="9"/>
      <c r="TCE1" s="9"/>
      <c r="TCF1" s="9"/>
      <c r="TCG1" s="9"/>
      <c r="TCH1" s="9"/>
      <c r="TCI1" s="9"/>
      <c r="TCJ1" s="9"/>
      <c r="TCK1" s="9"/>
      <c r="TCL1" s="9"/>
      <c r="TCM1" s="9"/>
      <c r="TCN1" s="9"/>
      <c r="TCO1" s="9"/>
      <c r="TCP1" s="9"/>
      <c r="TCQ1" s="9"/>
      <c r="TCR1" s="9"/>
      <c r="TCS1" s="9"/>
      <c r="TCT1" s="9"/>
      <c r="TCU1" s="9"/>
      <c r="TCV1" s="9"/>
      <c r="TCW1" s="9"/>
      <c r="TCX1" s="9"/>
      <c r="TCY1" s="9"/>
      <c r="TCZ1" s="9"/>
      <c r="TDA1" s="9"/>
      <c r="TDB1" s="9"/>
      <c r="TDC1" s="9"/>
      <c r="TDD1" s="9"/>
      <c r="TDE1" s="9"/>
      <c r="TDF1" s="9"/>
      <c r="TDG1" s="9"/>
      <c r="TDH1" s="9"/>
      <c r="TDI1" s="9"/>
      <c r="TDJ1" s="9"/>
      <c r="TDK1" s="9"/>
      <c r="TDL1" s="9"/>
      <c r="TDM1" s="9"/>
      <c r="TDN1" s="9"/>
      <c r="TDO1" s="9"/>
      <c r="TDP1" s="9"/>
      <c r="TDQ1" s="9"/>
      <c r="TDR1" s="9"/>
      <c r="TDS1" s="9"/>
      <c r="TDT1" s="9"/>
      <c r="TDU1" s="9"/>
      <c r="TDV1" s="9"/>
      <c r="TDW1" s="9"/>
      <c r="TDX1" s="9"/>
      <c r="TDY1" s="9"/>
      <c r="TDZ1" s="9"/>
      <c r="TEA1" s="9"/>
      <c r="TEB1" s="9"/>
      <c r="TEC1" s="9"/>
      <c r="TED1" s="9"/>
      <c r="TEE1" s="9"/>
      <c r="TEF1" s="9"/>
      <c r="TEG1" s="9"/>
      <c r="TEH1" s="9"/>
      <c r="TEI1" s="9"/>
      <c r="TEJ1" s="9"/>
      <c r="TEK1" s="9"/>
      <c r="TEL1" s="9"/>
      <c r="TEM1" s="9"/>
      <c r="TEN1" s="9"/>
      <c r="TEO1" s="9"/>
      <c r="TEP1" s="9"/>
      <c r="TEQ1" s="9"/>
      <c r="TER1" s="9"/>
      <c r="TES1" s="9"/>
      <c r="TET1" s="9"/>
      <c r="TEU1" s="9"/>
      <c r="TEV1" s="9"/>
      <c r="TEW1" s="9"/>
      <c r="TEX1" s="9"/>
      <c r="TEY1" s="9"/>
      <c r="TEZ1" s="9"/>
      <c r="TFA1" s="9"/>
      <c r="TFB1" s="9"/>
      <c r="TFC1" s="9"/>
      <c r="TFD1" s="9"/>
      <c r="TFE1" s="9"/>
      <c r="TFF1" s="9"/>
      <c r="TFG1" s="9"/>
      <c r="TFH1" s="9"/>
      <c r="TFI1" s="9"/>
      <c r="TFJ1" s="9"/>
      <c r="TFK1" s="9"/>
      <c r="TFL1" s="9"/>
      <c r="TFM1" s="9"/>
      <c r="TFN1" s="9"/>
      <c r="TFO1" s="9"/>
      <c r="TFP1" s="9"/>
      <c r="TFQ1" s="9"/>
      <c r="TFR1" s="9"/>
      <c r="TFS1" s="9"/>
      <c r="TFT1" s="9"/>
      <c r="TFU1" s="9"/>
      <c r="TFV1" s="9"/>
      <c r="TFW1" s="9"/>
      <c r="TFX1" s="9"/>
      <c r="TFY1" s="9"/>
      <c r="TFZ1" s="9"/>
      <c r="TGA1" s="9"/>
      <c r="TGB1" s="9"/>
      <c r="TGC1" s="9"/>
      <c r="TGD1" s="9"/>
      <c r="TGE1" s="9"/>
      <c r="TGF1" s="9"/>
      <c r="TGG1" s="9"/>
      <c r="TGH1" s="9"/>
      <c r="TGI1" s="9"/>
      <c r="TGJ1" s="9"/>
      <c r="TGK1" s="9"/>
      <c r="TGL1" s="9"/>
      <c r="TGM1" s="9"/>
      <c r="TGN1" s="9"/>
      <c r="TGO1" s="9"/>
      <c r="TGP1" s="9"/>
      <c r="TGQ1" s="9"/>
      <c r="TGR1" s="9"/>
      <c r="TGS1" s="9"/>
      <c r="TGT1" s="9"/>
      <c r="TGU1" s="9"/>
      <c r="TGV1" s="9"/>
      <c r="TGW1" s="9"/>
      <c r="TGX1" s="9"/>
      <c r="TGY1" s="9"/>
      <c r="TGZ1" s="9"/>
      <c r="THA1" s="9"/>
      <c r="THB1" s="9"/>
      <c r="THC1" s="9"/>
      <c r="THD1" s="9"/>
      <c r="THE1" s="9"/>
      <c r="THF1" s="9"/>
      <c r="THG1" s="9"/>
      <c r="THH1" s="9"/>
      <c r="THI1" s="9"/>
      <c r="THJ1" s="9"/>
      <c r="THK1" s="9"/>
      <c r="THL1" s="9"/>
      <c r="THM1" s="9"/>
      <c r="THN1" s="9"/>
      <c r="THO1" s="9"/>
      <c r="THP1" s="9"/>
      <c r="THQ1" s="9"/>
      <c r="THR1" s="9"/>
      <c r="THS1" s="9"/>
      <c r="THT1" s="9"/>
      <c r="THU1" s="9"/>
      <c r="THV1" s="9"/>
      <c r="THW1" s="9"/>
      <c r="THX1" s="9"/>
      <c r="THY1" s="9"/>
      <c r="THZ1" s="9"/>
      <c r="TIA1" s="9"/>
      <c r="TIB1" s="9"/>
      <c r="TIC1" s="9"/>
      <c r="TID1" s="9"/>
      <c r="TIE1" s="9"/>
      <c r="TIF1" s="9"/>
      <c r="TIG1" s="9"/>
      <c r="TIH1" s="9"/>
      <c r="TII1" s="9"/>
      <c r="TIJ1" s="9"/>
      <c r="TIK1" s="9"/>
      <c r="TIL1" s="9"/>
      <c r="TIM1" s="9"/>
      <c r="TIN1" s="9"/>
      <c r="TIO1" s="9"/>
      <c r="TIP1" s="9"/>
      <c r="TIQ1" s="9"/>
      <c r="TIR1" s="9"/>
      <c r="TIS1" s="9"/>
      <c r="TIT1" s="9"/>
      <c r="TIU1" s="9"/>
      <c r="TIV1" s="9"/>
      <c r="TIW1" s="9"/>
      <c r="TIX1" s="9"/>
      <c r="TIY1" s="9"/>
      <c r="TIZ1" s="9"/>
      <c r="TJA1" s="9"/>
      <c r="TJB1" s="9"/>
      <c r="TJC1" s="9"/>
      <c r="TJD1" s="9"/>
      <c r="TJE1" s="9"/>
      <c r="TJF1" s="9"/>
      <c r="TJG1" s="9"/>
      <c r="TJH1" s="9"/>
      <c r="TJI1" s="9"/>
      <c r="TJJ1" s="9"/>
      <c r="TJK1" s="9"/>
      <c r="TJL1" s="9"/>
      <c r="TJM1" s="9"/>
      <c r="TJN1" s="9"/>
      <c r="TJO1" s="9"/>
      <c r="TJP1" s="9"/>
      <c r="TJQ1" s="9"/>
      <c r="TJR1" s="9"/>
      <c r="TJS1" s="9"/>
      <c r="TJT1" s="9"/>
      <c r="TJU1" s="9"/>
      <c r="TJV1" s="9"/>
      <c r="TJW1" s="9"/>
      <c r="TJX1" s="9"/>
      <c r="TJY1" s="9"/>
      <c r="TJZ1" s="9"/>
      <c r="TKA1" s="9"/>
      <c r="TKB1" s="9"/>
      <c r="TKC1" s="9"/>
      <c r="TKD1" s="9"/>
      <c r="TKE1" s="9"/>
      <c r="TKF1" s="9"/>
      <c r="TKG1" s="9"/>
      <c r="TKH1" s="9"/>
      <c r="TKI1" s="9"/>
      <c r="TKJ1" s="9"/>
      <c r="TKK1" s="9"/>
      <c r="TKL1" s="9"/>
      <c r="TKM1" s="9"/>
      <c r="TKN1" s="9"/>
      <c r="TKO1" s="9"/>
      <c r="TKP1" s="9"/>
      <c r="TKQ1" s="9"/>
      <c r="TKR1" s="9"/>
      <c r="TKS1" s="9"/>
      <c r="TKT1" s="9"/>
      <c r="TKU1" s="9"/>
      <c r="TKV1" s="9"/>
      <c r="TKW1" s="9"/>
      <c r="TKX1" s="9"/>
      <c r="TKY1" s="9"/>
      <c r="TKZ1" s="9"/>
      <c r="TLA1" s="9"/>
      <c r="TLB1" s="9"/>
      <c r="TLC1" s="9"/>
      <c r="TLD1" s="9"/>
      <c r="TLE1" s="9"/>
      <c r="TLF1" s="9"/>
      <c r="TLG1" s="9"/>
      <c r="TLH1" s="9"/>
      <c r="TLI1" s="9"/>
      <c r="TLJ1" s="9"/>
      <c r="TLK1" s="9"/>
      <c r="TLL1" s="9"/>
      <c r="TLM1" s="9"/>
      <c r="TLN1" s="9"/>
      <c r="TLO1" s="9"/>
      <c r="TLP1" s="9"/>
      <c r="TLQ1" s="9"/>
      <c r="TLR1" s="9"/>
      <c r="TLS1" s="9"/>
      <c r="TLT1" s="9"/>
      <c r="TLU1" s="9"/>
      <c r="TLV1" s="9"/>
      <c r="TLW1" s="9"/>
      <c r="TLX1" s="9"/>
      <c r="TLY1" s="9"/>
      <c r="TLZ1" s="9"/>
      <c r="TMA1" s="9"/>
      <c r="TMB1" s="9"/>
      <c r="TMC1" s="9"/>
      <c r="TMD1" s="9"/>
      <c r="TME1" s="9"/>
      <c r="TMF1" s="9"/>
      <c r="TMG1" s="9"/>
      <c r="TMH1" s="9"/>
      <c r="TMI1" s="9"/>
      <c r="TMJ1" s="9"/>
      <c r="TMK1" s="9"/>
      <c r="TML1" s="9"/>
      <c r="TMM1" s="9"/>
      <c r="TMN1" s="9"/>
      <c r="TMO1" s="9"/>
      <c r="TMP1" s="9"/>
      <c r="TMQ1" s="9"/>
      <c r="TMR1" s="9"/>
      <c r="TMS1" s="9"/>
      <c r="TMT1" s="9"/>
      <c r="TMU1" s="9"/>
      <c r="TMV1" s="9"/>
      <c r="TMW1" s="9"/>
      <c r="TMX1" s="9"/>
      <c r="TMY1" s="9"/>
      <c r="TMZ1" s="9"/>
      <c r="TNA1" s="9"/>
      <c r="TNB1" s="9"/>
      <c r="TNC1" s="9"/>
      <c r="TND1" s="9"/>
      <c r="TNE1" s="9"/>
      <c r="TNF1" s="9"/>
      <c r="TNG1" s="9"/>
      <c r="TNH1" s="9"/>
      <c r="TNI1" s="9"/>
      <c r="TNJ1" s="9"/>
      <c r="TNK1" s="9"/>
      <c r="TNL1" s="9"/>
      <c r="TNM1" s="9"/>
      <c r="TNN1" s="9"/>
      <c r="TNO1" s="9"/>
      <c r="TNP1" s="9"/>
      <c r="TNQ1" s="9"/>
      <c r="TNR1" s="9"/>
      <c r="TNS1" s="9"/>
      <c r="TNT1" s="9"/>
      <c r="TNU1" s="9"/>
      <c r="TNV1" s="9"/>
      <c r="TNW1" s="9"/>
      <c r="TNX1" s="9"/>
      <c r="TNY1" s="9"/>
      <c r="TNZ1" s="9"/>
      <c r="TOA1" s="9"/>
      <c r="TOB1" s="9"/>
      <c r="TOC1" s="9"/>
      <c r="TOD1" s="9"/>
      <c r="TOE1" s="9"/>
      <c r="TOF1" s="9"/>
      <c r="TOG1" s="9"/>
      <c r="TOH1" s="9"/>
      <c r="TOI1" s="9"/>
      <c r="TOJ1" s="9"/>
      <c r="TOK1" s="9"/>
      <c r="TOL1" s="9"/>
      <c r="TOM1" s="9"/>
      <c r="TON1" s="9"/>
      <c r="TOO1" s="9"/>
      <c r="TOP1" s="9"/>
      <c r="TOQ1" s="9"/>
      <c r="TOR1" s="9"/>
      <c r="TOS1" s="9"/>
      <c r="TOT1" s="9"/>
      <c r="TOU1" s="9"/>
      <c r="TOV1" s="9"/>
      <c r="TOW1" s="9"/>
      <c r="TOX1" s="9"/>
      <c r="TOY1" s="9"/>
      <c r="TOZ1" s="9"/>
      <c r="TPA1" s="9"/>
      <c r="TPB1" s="9"/>
      <c r="TPC1" s="9"/>
      <c r="TPD1" s="9"/>
      <c r="TPE1" s="9"/>
      <c r="TPF1" s="9"/>
      <c r="TPG1" s="9"/>
      <c r="TPH1" s="9"/>
      <c r="TPI1" s="9"/>
      <c r="TPJ1" s="9"/>
      <c r="TPK1" s="9"/>
      <c r="TPL1" s="9"/>
      <c r="TPM1" s="9"/>
      <c r="TPN1" s="9"/>
      <c r="TPO1" s="9"/>
      <c r="TPP1" s="9"/>
      <c r="TPQ1" s="9"/>
      <c r="TPR1" s="9"/>
      <c r="TPS1" s="9"/>
      <c r="TPT1" s="9"/>
      <c r="TPU1" s="9"/>
      <c r="TPV1" s="9"/>
      <c r="TPW1" s="9"/>
      <c r="TPX1" s="9"/>
      <c r="TPY1" s="9"/>
      <c r="TPZ1" s="9"/>
      <c r="TQA1" s="9"/>
      <c r="TQB1" s="9"/>
      <c r="TQC1" s="9"/>
      <c r="TQD1" s="9"/>
      <c r="TQE1" s="9"/>
      <c r="TQF1" s="9"/>
      <c r="TQG1" s="9"/>
      <c r="TQH1" s="9"/>
      <c r="TQI1" s="9"/>
      <c r="TQJ1" s="9"/>
      <c r="TQK1" s="9"/>
      <c r="TQL1" s="9"/>
      <c r="TQM1" s="9"/>
      <c r="TQN1" s="9"/>
      <c r="TQO1" s="9"/>
      <c r="TQP1" s="9"/>
      <c r="TQQ1" s="9"/>
      <c r="TQR1" s="9"/>
      <c r="TQS1" s="9"/>
      <c r="TQT1" s="9"/>
      <c r="TQU1" s="9"/>
      <c r="TQV1" s="9"/>
      <c r="TQW1" s="9"/>
      <c r="TQX1" s="9"/>
      <c r="TQY1" s="9"/>
      <c r="TQZ1" s="9"/>
      <c r="TRA1" s="9"/>
      <c r="TRB1" s="9"/>
      <c r="TRC1" s="9"/>
      <c r="TRD1" s="9"/>
      <c r="TRE1" s="9"/>
      <c r="TRF1" s="9"/>
      <c r="TRG1" s="9"/>
      <c r="TRH1" s="9"/>
      <c r="TRI1" s="9"/>
      <c r="TRJ1" s="9"/>
      <c r="TRK1" s="9"/>
      <c r="TRL1" s="9"/>
      <c r="TRM1" s="9"/>
      <c r="TRN1" s="9"/>
      <c r="TRO1" s="9"/>
      <c r="TRP1" s="9"/>
      <c r="TRQ1" s="9"/>
      <c r="TRR1" s="9"/>
      <c r="TRS1" s="9"/>
      <c r="TRT1" s="9"/>
      <c r="TRU1" s="9"/>
      <c r="TRV1" s="9"/>
      <c r="TRW1" s="9"/>
      <c r="TRX1" s="9"/>
      <c r="TRY1" s="9"/>
      <c r="TRZ1" s="9"/>
      <c r="TSA1" s="9"/>
      <c r="TSB1" s="9"/>
      <c r="TSC1" s="9"/>
      <c r="TSD1" s="9"/>
      <c r="TSE1" s="9"/>
      <c r="TSF1" s="9"/>
      <c r="TSG1" s="9"/>
      <c r="TSH1" s="9"/>
      <c r="TSI1" s="9"/>
      <c r="TSJ1" s="9"/>
      <c r="TSK1" s="9"/>
      <c r="TSL1" s="9"/>
      <c r="TSM1" s="9"/>
      <c r="TSN1" s="9"/>
      <c r="TSO1" s="9"/>
      <c r="TSP1" s="9"/>
      <c r="TSQ1" s="9"/>
      <c r="TSR1" s="9"/>
      <c r="TSS1" s="9"/>
      <c r="TST1" s="9"/>
      <c r="TSU1" s="9"/>
      <c r="TSV1" s="9"/>
      <c r="TSW1" s="9"/>
      <c r="TSX1" s="9"/>
      <c r="TSY1" s="9"/>
      <c r="TSZ1" s="9"/>
      <c r="TTA1" s="9"/>
      <c r="TTB1" s="9"/>
      <c r="TTC1" s="9"/>
      <c r="TTD1" s="9"/>
      <c r="TTE1" s="9"/>
      <c r="TTF1" s="9"/>
      <c r="TTG1" s="9"/>
      <c r="TTH1" s="9"/>
      <c r="TTI1" s="9"/>
      <c r="TTJ1" s="9"/>
      <c r="TTK1" s="9"/>
      <c r="TTL1" s="9"/>
      <c r="TTM1" s="9"/>
      <c r="TTN1" s="9"/>
      <c r="TTO1" s="9"/>
      <c r="TTP1" s="9"/>
      <c r="TTQ1" s="9"/>
      <c r="TTR1" s="9"/>
      <c r="TTS1" s="9"/>
      <c r="TTT1" s="9"/>
      <c r="TTU1" s="9"/>
      <c r="TTV1" s="9"/>
      <c r="TTW1" s="9"/>
      <c r="TTX1" s="9"/>
      <c r="TTY1" s="9"/>
      <c r="TTZ1" s="9"/>
      <c r="TUA1" s="9"/>
      <c r="TUB1" s="9"/>
      <c r="TUC1" s="9"/>
      <c r="TUD1" s="9"/>
      <c r="TUE1" s="9"/>
      <c r="TUF1" s="9"/>
      <c r="TUG1" s="9"/>
      <c r="TUH1" s="9"/>
      <c r="TUI1" s="9"/>
      <c r="TUJ1" s="9"/>
      <c r="TUK1" s="9"/>
      <c r="TUL1" s="9"/>
      <c r="TUM1" s="9"/>
      <c r="TUN1" s="9"/>
      <c r="TUO1" s="9"/>
      <c r="TUP1" s="9"/>
      <c r="TUQ1" s="9"/>
      <c r="TUR1" s="9"/>
      <c r="TUS1" s="9"/>
      <c r="TUT1" s="9"/>
      <c r="TUU1" s="9"/>
      <c r="TUV1" s="9"/>
      <c r="TUW1" s="9"/>
      <c r="TUX1" s="9"/>
      <c r="TUY1" s="9"/>
      <c r="TUZ1" s="9"/>
      <c r="TVA1" s="9"/>
      <c r="TVB1" s="9"/>
      <c r="TVC1" s="9"/>
      <c r="TVD1" s="9"/>
      <c r="TVE1" s="9"/>
      <c r="TVF1" s="9"/>
      <c r="TVG1" s="9"/>
      <c r="TVH1" s="9"/>
      <c r="TVI1" s="9"/>
      <c r="TVJ1" s="9"/>
      <c r="TVK1" s="9"/>
      <c r="TVL1" s="9"/>
      <c r="TVM1" s="9"/>
      <c r="TVN1" s="9"/>
      <c r="TVO1" s="9"/>
      <c r="TVP1" s="9"/>
      <c r="TVQ1" s="9"/>
      <c r="TVR1" s="9"/>
      <c r="TVS1" s="9"/>
      <c r="TVT1" s="9"/>
      <c r="TVU1" s="9"/>
      <c r="TVV1" s="9"/>
      <c r="TVW1" s="9"/>
      <c r="TVX1" s="9"/>
      <c r="TVY1" s="9"/>
      <c r="TVZ1" s="9"/>
      <c r="TWA1" s="9"/>
      <c r="TWB1" s="9"/>
      <c r="TWC1" s="9"/>
      <c r="TWD1" s="9"/>
      <c r="TWE1" s="9"/>
      <c r="TWF1" s="9"/>
      <c r="TWG1" s="9"/>
      <c r="TWH1" s="9"/>
      <c r="TWI1" s="9"/>
      <c r="TWJ1" s="9"/>
      <c r="TWK1" s="9"/>
      <c r="TWL1" s="9"/>
      <c r="TWM1" s="9"/>
      <c r="TWN1" s="9"/>
      <c r="TWO1" s="9"/>
      <c r="TWP1" s="9"/>
      <c r="TWQ1" s="9"/>
      <c r="TWR1" s="9"/>
      <c r="TWS1" s="9"/>
      <c r="TWT1" s="9"/>
      <c r="TWU1" s="9"/>
      <c r="TWV1" s="9"/>
      <c r="TWW1" s="9"/>
      <c r="TWX1" s="9"/>
      <c r="TWY1" s="9"/>
      <c r="TWZ1" s="9"/>
      <c r="TXA1" s="9"/>
      <c r="TXB1" s="9"/>
      <c r="TXC1" s="9"/>
      <c r="TXD1" s="9"/>
      <c r="TXE1" s="9"/>
      <c r="TXF1" s="9"/>
      <c r="TXG1" s="9"/>
      <c r="TXH1" s="9"/>
      <c r="TXI1" s="9"/>
      <c r="TXJ1" s="9"/>
      <c r="TXK1" s="9"/>
      <c r="TXL1" s="9"/>
      <c r="TXM1" s="9"/>
      <c r="TXN1" s="9"/>
      <c r="TXO1" s="9"/>
      <c r="TXP1" s="9"/>
      <c r="TXQ1" s="9"/>
      <c r="TXR1" s="9"/>
      <c r="TXS1" s="9"/>
      <c r="TXT1" s="9"/>
      <c r="TXU1" s="9"/>
      <c r="TXV1" s="9"/>
      <c r="TXW1" s="9"/>
      <c r="TXX1" s="9"/>
      <c r="TXY1" s="9"/>
      <c r="TXZ1" s="9"/>
      <c r="TYA1" s="9"/>
      <c r="TYB1" s="9"/>
      <c r="TYC1" s="9"/>
      <c r="TYD1" s="9"/>
      <c r="TYE1" s="9"/>
      <c r="TYF1" s="9"/>
      <c r="TYG1" s="9"/>
      <c r="TYH1" s="9"/>
      <c r="TYI1" s="9"/>
      <c r="TYJ1" s="9"/>
      <c r="TYK1" s="9"/>
      <c r="TYL1" s="9"/>
      <c r="TYM1" s="9"/>
      <c r="TYN1" s="9"/>
      <c r="TYO1" s="9"/>
      <c r="TYP1" s="9"/>
      <c r="TYQ1" s="9"/>
      <c r="TYR1" s="9"/>
      <c r="TYS1" s="9"/>
      <c r="TYT1" s="9"/>
      <c r="TYU1" s="9"/>
      <c r="TYV1" s="9"/>
      <c r="TYW1" s="9"/>
      <c r="TYX1" s="9"/>
      <c r="TYY1" s="9"/>
      <c r="TYZ1" s="9"/>
      <c r="TZA1" s="9"/>
      <c r="TZB1" s="9"/>
      <c r="TZC1" s="9"/>
      <c r="TZD1" s="9"/>
      <c r="TZE1" s="9"/>
      <c r="TZF1" s="9"/>
      <c r="TZG1" s="9"/>
      <c r="TZH1" s="9"/>
      <c r="TZI1" s="9"/>
      <c r="TZJ1" s="9"/>
      <c r="TZK1" s="9"/>
      <c r="TZL1" s="9"/>
      <c r="TZM1" s="9"/>
      <c r="TZN1" s="9"/>
      <c r="TZO1" s="9"/>
      <c r="TZP1" s="9"/>
      <c r="TZQ1" s="9"/>
      <c r="TZR1" s="9"/>
      <c r="TZS1" s="9"/>
      <c r="TZT1" s="9"/>
      <c r="TZU1" s="9"/>
      <c r="TZV1" s="9"/>
      <c r="TZW1" s="9"/>
      <c r="TZX1" s="9"/>
      <c r="TZY1" s="9"/>
      <c r="TZZ1" s="9"/>
      <c r="UAA1" s="9"/>
      <c r="UAB1" s="9"/>
      <c r="UAC1" s="9"/>
      <c r="UAD1" s="9"/>
      <c r="UAE1" s="9"/>
      <c r="UAF1" s="9"/>
      <c r="UAG1" s="9"/>
      <c r="UAH1" s="9"/>
      <c r="UAI1" s="9"/>
      <c r="UAJ1" s="9"/>
      <c r="UAK1" s="9"/>
      <c r="UAL1" s="9"/>
      <c r="UAM1" s="9"/>
      <c r="UAN1" s="9"/>
      <c r="UAO1" s="9"/>
      <c r="UAP1" s="9"/>
      <c r="UAQ1" s="9"/>
      <c r="UAR1" s="9"/>
      <c r="UAS1" s="9"/>
      <c r="UAT1" s="9"/>
      <c r="UAU1" s="9"/>
      <c r="UAV1" s="9"/>
      <c r="UAW1" s="9"/>
      <c r="UAX1" s="9"/>
      <c r="UAY1" s="9"/>
      <c r="UAZ1" s="9"/>
      <c r="UBA1" s="9"/>
      <c r="UBB1" s="9"/>
      <c r="UBC1" s="9"/>
      <c r="UBD1" s="9"/>
      <c r="UBE1" s="9"/>
      <c r="UBF1" s="9"/>
      <c r="UBG1" s="9"/>
      <c r="UBH1" s="9"/>
      <c r="UBI1" s="9"/>
      <c r="UBJ1" s="9"/>
      <c r="UBK1" s="9"/>
      <c r="UBL1" s="9"/>
      <c r="UBM1" s="9"/>
      <c r="UBN1" s="9"/>
      <c r="UBO1" s="9"/>
      <c r="UBP1" s="9"/>
      <c r="UBQ1" s="9"/>
      <c r="UBR1" s="9"/>
      <c r="UBS1" s="9"/>
      <c r="UBT1" s="9"/>
      <c r="UBU1" s="9"/>
      <c r="UBV1" s="9"/>
      <c r="UBW1" s="9"/>
      <c r="UBX1" s="9"/>
      <c r="UBY1" s="9"/>
      <c r="UBZ1" s="9"/>
      <c r="UCA1" s="9"/>
      <c r="UCB1" s="9"/>
      <c r="UCC1" s="9"/>
      <c r="UCD1" s="9"/>
      <c r="UCE1" s="9"/>
      <c r="UCF1" s="9"/>
      <c r="UCG1" s="9"/>
      <c r="UCH1" s="9"/>
      <c r="UCI1" s="9"/>
      <c r="UCJ1" s="9"/>
      <c r="UCK1" s="9"/>
      <c r="UCL1" s="9"/>
      <c r="UCM1" s="9"/>
      <c r="UCN1" s="9"/>
      <c r="UCO1" s="9"/>
      <c r="UCP1" s="9"/>
      <c r="UCQ1" s="9"/>
      <c r="UCR1" s="9"/>
      <c r="UCS1" s="9"/>
      <c r="UCT1" s="9"/>
      <c r="UCU1" s="9"/>
      <c r="UCV1" s="9"/>
      <c r="UCW1" s="9"/>
      <c r="UCX1" s="9"/>
      <c r="UCY1" s="9"/>
      <c r="UCZ1" s="9"/>
      <c r="UDA1" s="9"/>
      <c r="UDB1" s="9"/>
      <c r="UDC1" s="9"/>
      <c r="UDD1" s="9"/>
      <c r="UDE1" s="9"/>
      <c r="UDF1" s="9"/>
      <c r="UDG1" s="9"/>
      <c r="UDH1" s="9"/>
      <c r="UDI1" s="9"/>
      <c r="UDJ1" s="9"/>
      <c r="UDK1" s="9"/>
      <c r="UDL1" s="9"/>
      <c r="UDM1" s="9"/>
      <c r="UDN1" s="9"/>
      <c r="UDO1" s="9"/>
      <c r="UDP1" s="9"/>
      <c r="UDQ1" s="9"/>
      <c r="UDR1" s="9"/>
      <c r="UDS1" s="9"/>
      <c r="UDT1" s="9"/>
      <c r="UDU1" s="9"/>
      <c r="UDV1" s="9"/>
      <c r="UDW1" s="9"/>
      <c r="UDX1" s="9"/>
      <c r="UDY1" s="9"/>
      <c r="UDZ1" s="9"/>
      <c r="UEA1" s="9"/>
      <c r="UEB1" s="9"/>
      <c r="UEC1" s="9"/>
      <c r="UED1" s="9"/>
      <c r="UEE1" s="9"/>
      <c r="UEF1" s="9"/>
      <c r="UEG1" s="9"/>
      <c r="UEH1" s="9"/>
      <c r="UEI1" s="9"/>
      <c r="UEJ1" s="9"/>
      <c r="UEK1" s="9"/>
      <c r="UEL1" s="9"/>
      <c r="UEM1" s="9"/>
      <c r="UEN1" s="9"/>
      <c r="UEO1" s="9"/>
      <c r="UEP1" s="9"/>
      <c r="UEQ1" s="9"/>
      <c r="UER1" s="9"/>
      <c r="UES1" s="9"/>
      <c r="UET1" s="9"/>
      <c r="UEU1" s="9"/>
      <c r="UEV1" s="9"/>
      <c r="UEW1" s="9"/>
      <c r="UEX1" s="9"/>
      <c r="UEY1" s="9"/>
      <c r="UEZ1" s="9"/>
      <c r="UFA1" s="9"/>
      <c r="UFB1" s="9"/>
      <c r="UFC1" s="9"/>
      <c r="UFD1" s="9"/>
      <c r="UFE1" s="9"/>
      <c r="UFF1" s="9"/>
      <c r="UFG1" s="9"/>
      <c r="UFH1" s="9"/>
      <c r="UFI1" s="9"/>
      <c r="UFJ1" s="9"/>
      <c r="UFK1" s="9"/>
      <c r="UFL1" s="9"/>
      <c r="UFM1" s="9"/>
      <c r="UFN1" s="9"/>
      <c r="UFO1" s="9"/>
      <c r="UFP1" s="9"/>
      <c r="UFQ1" s="9"/>
      <c r="UFR1" s="9"/>
      <c r="UFS1" s="9"/>
      <c r="UFT1" s="9"/>
      <c r="UFU1" s="9"/>
      <c r="UFV1" s="9"/>
      <c r="UFW1" s="9"/>
      <c r="UFX1" s="9"/>
      <c r="UFY1" s="9"/>
      <c r="UFZ1" s="9"/>
      <c r="UGA1" s="9"/>
      <c r="UGB1" s="9"/>
      <c r="UGC1" s="9"/>
      <c r="UGD1" s="9"/>
      <c r="UGE1" s="9"/>
      <c r="UGF1" s="9"/>
      <c r="UGG1" s="9"/>
      <c r="UGH1" s="9"/>
      <c r="UGI1" s="9"/>
      <c r="UGJ1" s="9"/>
      <c r="UGK1" s="9"/>
      <c r="UGL1" s="9"/>
      <c r="UGM1" s="9"/>
      <c r="UGN1" s="9"/>
      <c r="UGO1" s="9"/>
      <c r="UGP1" s="9"/>
      <c r="UGQ1" s="9"/>
      <c r="UGR1" s="9"/>
      <c r="UGS1" s="9"/>
      <c r="UGT1" s="9"/>
      <c r="UGU1" s="9"/>
      <c r="UGV1" s="9"/>
      <c r="UGW1" s="9"/>
      <c r="UGX1" s="9"/>
      <c r="UGY1" s="9"/>
      <c r="UGZ1" s="9"/>
      <c r="UHA1" s="9"/>
      <c r="UHB1" s="9"/>
      <c r="UHC1" s="9"/>
      <c r="UHD1" s="9"/>
      <c r="UHE1" s="9"/>
      <c r="UHF1" s="9"/>
      <c r="UHG1" s="9"/>
      <c r="UHH1" s="9"/>
      <c r="UHI1" s="9"/>
      <c r="UHJ1" s="9"/>
      <c r="UHK1" s="9"/>
      <c r="UHL1" s="9"/>
      <c r="UHM1" s="9"/>
      <c r="UHN1" s="9"/>
      <c r="UHO1" s="9"/>
      <c r="UHP1" s="9"/>
      <c r="UHQ1" s="9"/>
      <c r="UHR1" s="9"/>
      <c r="UHS1" s="9"/>
      <c r="UHT1" s="9"/>
      <c r="UHU1" s="9"/>
      <c r="UHV1" s="9"/>
      <c r="UHW1" s="9"/>
      <c r="UHX1" s="9"/>
      <c r="UHY1" s="9"/>
      <c r="UHZ1" s="9"/>
      <c r="UIA1" s="9"/>
      <c r="UIB1" s="9"/>
      <c r="UIC1" s="9"/>
      <c r="UID1" s="9"/>
      <c r="UIE1" s="9"/>
      <c r="UIF1" s="9"/>
      <c r="UIG1" s="9"/>
      <c r="UIH1" s="9"/>
      <c r="UII1" s="9"/>
      <c r="UIJ1" s="9"/>
      <c r="UIK1" s="9"/>
      <c r="UIL1" s="9"/>
      <c r="UIM1" s="9"/>
      <c r="UIN1" s="9"/>
      <c r="UIO1" s="9"/>
      <c r="UIP1" s="9"/>
      <c r="UIQ1" s="9"/>
      <c r="UIR1" s="9"/>
      <c r="UIS1" s="9"/>
      <c r="UIT1" s="9"/>
      <c r="UIU1" s="9"/>
      <c r="UIV1" s="9"/>
      <c r="UIW1" s="9"/>
      <c r="UIX1" s="9"/>
      <c r="UIY1" s="9"/>
      <c r="UIZ1" s="9"/>
      <c r="UJA1" s="9"/>
      <c r="UJB1" s="9"/>
      <c r="UJC1" s="9"/>
      <c r="UJD1" s="9"/>
      <c r="UJE1" s="9"/>
      <c r="UJF1" s="9"/>
      <c r="UJG1" s="9"/>
      <c r="UJH1" s="9"/>
      <c r="UJI1" s="9"/>
      <c r="UJJ1" s="9"/>
      <c r="UJK1" s="9"/>
      <c r="UJL1" s="9"/>
      <c r="UJM1" s="9"/>
      <c r="UJN1" s="9"/>
      <c r="UJO1" s="9"/>
      <c r="UJP1" s="9"/>
      <c r="UJQ1" s="9"/>
      <c r="UJR1" s="9"/>
      <c r="UJS1" s="9"/>
      <c r="UJT1" s="9"/>
      <c r="UJU1" s="9"/>
      <c r="UJV1" s="9"/>
      <c r="UJW1" s="9"/>
      <c r="UJX1" s="9"/>
      <c r="UJY1" s="9"/>
      <c r="UJZ1" s="9"/>
      <c r="UKA1" s="9"/>
      <c r="UKB1" s="9"/>
      <c r="UKC1" s="9"/>
      <c r="UKD1" s="9"/>
      <c r="UKE1" s="9"/>
      <c r="UKF1" s="9"/>
      <c r="UKG1" s="9"/>
      <c r="UKH1" s="9"/>
      <c r="UKI1" s="9"/>
      <c r="UKJ1" s="9"/>
      <c r="UKK1" s="9"/>
      <c r="UKL1" s="9"/>
      <c r="UKM1" s="9"/>
      <c r="UKN1" s="9"/>
      <c r="UKO1" s="9"/>
      <c r="UKP1" s="9"/>
      <c r="UKQ1" s="9"/>
      <c r="UKR1" s="9"/>
      <c r="UKS1" s="9"/>
      <c r="UKT1" s="9"/>
      <c r="UKU1" s="9"/>
      <c r="UKV1" s="9"/>
      <c r="UKW1" s="9"/>
      <c r="UKX1" s="9"/>
      <c r="UKY1" s="9"/>
      <c r="UKZ1" s="9"/>
      <c r="ULA1" s="9"/>
      <c r="ULB1" s="9"/>
      <c r="ULC1" s="9"/>
      <c r="ULD1" s="9"/>
      <c r="ULE1" s="9"/>
      <c r="ULF1" s="9"/>
      <c r="ULG1" s="9"/>
      <c r="ULH1" s="9"/>
      <c r="ULI1" s="9"/>
      <c r="ULJ1" s="9"/>
      <c r="ULK1" s="9"/>
      <c r="ULL1" s="9"/>
      <c r="ULM1" s="9"/>
      <c r="ULN1" s="9"/>
      <c r="ULO1" s="9"/>
      <c r="ULP1" s="9"/>
      <c r="ULQ1" s="9"/>
      <c r="ULR1" s="9"/>
      <c r="ULS1" s="9"/>
      <c r="ULT1" s="9"/>
      <c r="ULU1" s="9"/>
      <c r="ULV1" s="9"/>
      <c r="ULW1" s="9"/>
      <c r="ULX1" s="9"/>
      <c r="ULY1" s="9"/>
      <c r="ULZ1" s="9"/>
      <c r="UMA1" s="9"/>
      <c r="UMB1" s="9"/>
      <c r="UMC1" s="9"/>
      <c r="UMD1" s="9"/>
      <c r="UME1" s="9"/>
      <c r="UMF1" s="9"/>
      <c r="UMG1" s="9"/>
      <c r="UMH1" s="9"/>
      <c r="UMI1" s="9"/>
      <c r="UMJ1" s="9"/>
      <c r="UMK1" s="9"/>
      <c r="UML1" s="9"/>
      <c r="UMM1" s="9"/>
      <c r="UMN1" s="9"/>
      <c r="UMO1" s="9"/>
      <c r="UMP1" s="9"/>
      <c r="UMQ1" s="9"/>
      <c r="UMR1" s="9"/>
      <c r="UMS1" s="9"/>
      <c r="UMT1" s="9"/>
      <c r="UMU1" s="9"/>
      <c r="UMV1" s="9"/>
      <c r="UMW1" s="9"/>
      <c r="UMX1" s="9"/>
      <c r="UMY1" s="9"/>
      <c r="UMZ1" s="9"/>
      <c r="UNA1" s="9"/>
      <c r="UNB1" s="9"/>
      <c r="UNC1" s="9"/>
      <c r="UND1" s="9"/>
      <c r="UNE1" s="9"/>
      <c r="UNF1" s="9"/>
      <c r="UNG1" s="9"/>
      <c r="UNH1" s="9"/>
      <c r="UNI1" s="9"/>
      <c r="UNJ1" s="9"/>
      <c r="UNK1" s="9"/>
      <c r="UNL1" s="9"/>
      <c r="UNM1" s="9"/>
      <c r="UNN1" s="9"/>
      <c r="UNO1" s="9"/>
      <c r="UNP1" s="9"/>
      <c r="UNQ1" s="9"/>
      <c r="UNR1" s="9"/>
      <c r="UNS1" s="9"/>
      <c r="UNT1" s="9"/>
      <c r="UNU1" s="9"/>
      <c r="UNV1" s="9"/>
      <c r="UNW1" s="9"/>
      <c r="UNX1" s="9"/>
      <c r="UNY1" s="9"/>
      <c r="UNZ1" s="9"/>
      <c r="UOA1" s="9"/>
      <c r="UOB1" s="9"/>
      <c r="UOC1" s="9"/>
      <c r="UOD1" s="9"/>
      <c r="UOE1" s="9"/>
      <c r="UOF1" s="9"/>
      <c r="UOG1" s="9"/>
      <c r="UOH1" s="9"/>
      <c r="UOI1" s="9"/>
      <c r="UOJ1" s="9"/>
      <c r="UOK1" s="9"/>
      <c r="UOL1" s="9"/>
      <c r="UOM1" s="9"/>
      <c r="UON1" s="9"/>
      <c r="UOO1" s="9"/>
      <c r="UOP1" s="9"/>
      <c r="UOQ1" s="9"/>
      <c r="UOR1" s="9"/>
      <c r="UOS1" s="9"/>
      <c r="UOT1" s="9"/>
      <c r="UOU1" s="9"/>
      <c r="UOV1" s="9"/>
      <c r="UOW1" s="9"/>
      <c r="UOX1" s="9"/>
      <c r="UOY1" s="9"/>
      <c r="UOZ1" s="9"/>
      <c r="UPA1" s="9"/>
      <c r="UPB1" s="9"/>
      <c r="UPC1" s="9"/>
      <c r="UPD1" s="9"/>
      <c r="UPE1" s="9"/>
      <c r="UPF1" s="9"/>
      <c r="UPG1" s="9"/>
      <c r="UPH1" s="9"/>
      <c r="UPI1" s="9"/>
      <c r="UPJ1" s="9"/>
      <c r="UPK1" s="9"/>
      <c r="UPL1" s="9"/>
      <c r="UPM1" s="9"/>
      <c r="UPN1" s="9"/>
      <c r="UPO1" s="9"/>
      <c r="UPP1" s="9"/>
      <c r="UPQ1" s="9"/>
      <c r="UPR1" s="9"/>
      <c r="UPS1" s="9"/>
      <c r="UPT1" s="9"/>
      <c r="UPU1" s="9"/>
      <c r="UPV1" s="9"/>
      <c r="UPW1" s="9"/>
      <c r="UPX1" s="9"/>
      <c r="UPY1" s="9"/>
      <c r="UPZ1" s="9"/>
      <c r="UQA1" s="9"/>
      <c r="UQB1" s="9"/>
      <c r="UQC1" s="9"/>
      <c r="UQD1" s="9"/>
      <c r="UQE1" s="9"/>
      <c r="UQF1" s="9"/>
      <c r="UQG1" s="9"/>
      <c r="UQH1" s="9"/>
      <c r="UQI1" s="9"/>
      <c r="UQJ1" s="9"/>
      <c r="UQK1" s="9"/>
      <c r="UQL1" s="9"/>
      <c r="UQM1" s="9"/>
      <c r="UQN1" s="9"/>
      <c r="UQO1" s="9"/>
      <c r="UQP1" s="9"/>
      <c r="UQQ1" s="9"/>
      <c r="UQR1" s="9"/>
      <c r="UQS1" s="9"/>
      <c r="UQT1" s="9"/>
      <c r="UQU1" s="9"/>
      <c r="UQV1" s="9"/>
      <c r="UQW1" s="9"/>
      <c r="UQX1" s="9"/>
      <c r="UQY1" s="9"/>
      <c r="UQZ1" s="9"/>
      <c r="URA1" s="9"/>
      <c r="URB1" s="9"/>
      <c r="URC1" s="9"/>
      <c r="URD1" s="9"/>
      <c r="URE1" s="9"/>
      <c r="URF1" s="9"/>
      <c r="URG1" s="9"/>
      <c r="URH1" s="9"/>
      <c r="URI1" s="9"/>
      <c r="URJ1" s="9"/>
      <c r="URK1" s="9"/>
      <c r="URL1" s="9"/>
      <c r="URM1" s="9"/>
      <c r="URN1" s="9"/>
      <c r="URO1" s="9"/>
      <c r="URP1" s="9"/>
      <c r="URQ1" s="9"/>
      <c r="URR1" s="9"/>
      <c r="URS1" s="9"/>
      <c r="URT1" s="9"/>
      <c r="URU1" s="9"/>
      <c r="URV1" s="9"/>
      <c r="URW1" s="9"/>
      <c r="URX1" s="9"/>
      <c r="URY1" s="9"/>
      <c r="URZ1" s="9"/>
      <c r="USA1" s="9"/>
      <c r="USB1" s="9"/>
      <c r="USC1" s="9"/>
      <c r="USD1" s="9"/>
      <c r="USE1" s="9"/>
      <c r="USF1" s="9"/>
      <c r="USG1" s="9"/>
      <c r="USH1" s="9"/>
      <c r="USI1" s="9"/>
      <c r="USJ1" s="9"/>
      <c r="USK1" s="9"/>
      <c r="USL1" s="9"/>
      <c r="USM1" s="9"/>
      <c r="USN1" s="9"/>
      <c r="USO1" s="9"/>
      <c r="USP1" s="9"/>
      <c r="USQ1" s="9"/>
      <c r="USR1" s="9"/>
      <c r="USS1" s="9"/>
      <c r="UST1" s="9"/>
      <c r="USU1" s="9"/>
      <c r="USV1" s="9"/>
      <c r="USW1" s="9"/>
      <c r="USX1" s="9"/>
      <c r="USY1" s="9"/>
      <c r="USZ1" s="9"/>
      <c r="UTA1" s="9"/>
      <c r="UTB1" s="9"/>
      <c r="UTC1" s="9"/>
      <c r="UTD1" s="9"/>
      <c r="UTE1" s="9"/>
      <c r="UTF1" s="9"/>
      <c r="UTG1" s="9"/>
      <c r="UTH1" s="9"/>
      <c r="UTI1" s="9"/>
      <c r="UTJ1" s="9"/>
      <c r="UTK1" s="9"/>
      <c r="UTL1" s="9"/>
      <c r="UTM1" s="9"/>
      <c r="UTN1" s="9"/>
      <c r="UTO1" s="9"/>
      <c r="UTP1" s="9"/>
      <c r="UTQ1" s="9"/>
      <c r="UTR1" s="9"/>
      <c r="UTS1" s="9"/>
      <c r="UTT1" s="9"/>
      <c r="UTU1" s="9"/>
      <c r="UTV1" s="9"/>
      <c r="UTW1" s="9"/>
      <c r="UTX1" s="9"/>
      <c r="UTY1" s="9"/>
      <c r="UTZ1" s="9"/>
      <c r="UUA1" s="9"/>
      <c r="UUB1" s="9"/>
      <c r="UUC1" s="9"/>
      <c r="UUD1" s="9"/>
      <c r="UUE1" s="9"/>
      <c r="UUF1" s="9"/>
      <c r="UUG1" s="9"/>
      <c r="UUH1" s="9"/>
      <c r="UUI1" s="9"/>
      <c r="UUJ1" s="9"/>
      <c r="UUK1" s="9"/>
      <c r="UUL1" s="9"/>
      <c r="UUM1" s="9"/>
      <c r="UUN1" s="9"/>
      <c r="UUO1" s="9"/>
      <c r="UUP1" s="9"/>
      <c r="UUQ1" s="9"/>
      <c r="UUR1" s="9"/>
      <c r="UUS1" s="9"/>
      <c r="UUT1" s="9"/>
      <c r="UUU1" s="9"/>
      <c r="UUV1" s="9"/>
      <c r="UUW1" s="9"/>
      <c r="UUX1" s="9"/>
      <c r="UUY1" s="9"/>
      <c r="UUZ1" s="9"/>
      <c r="UVA1" s="9"/>
      <c r="UVB1" s="9"/>
      <c r="UVC1" s="9"/>
      <c r="UVD1" s="9"/>
      <c r="UVE1" s="9"/>
      <c r="UVF1" s="9"/>
      <c r="UVG1" s="9"/>
      <c r="UVH1" s="9"/>
      <c r="UVI1" s="9"/>
      <c r="UVJ1" s="9"/>
      <c r="UVK1" s="9"/>
      <c r="UVL1" s="9"/>
      <c r="UVM1" s="9"/>
      <c r="UVN1" s="9"/>
      <c r="UVO1" s="9"/>
      <c r="UVP1" s="9"/>
      <c r="UVQ1" s="9"/>
      <c r="UVR1" s="9"/>
      <c r="UVS1" s="9"/>
      <c r="UVT1" s="9"/>
      <c r="UVU1" s="9"/>
      <c r="UVV1" s="9"/>
      <c r="UVW1" s="9"/>
      <c r="UVX1" s="9"/>
      <c r="UVY1" s="9"/>
      <c r="UVZ1" s="9"/>
      <c r="UWA1" s="9"/>
      <c r="UWB1" s="9"/>
      <c r="UWC1" s="9"/>
      <c r="UWD1" s="9"/>
      <c r="UWE1" s="9"/>
      <c r="UWF1" s="9"/>
      <c r="UWG1" s="9"/>
      <c r="UWH1" s="9"/>
      <c r="UWI1" s="9"/>
      <c r="UWJ1" s="9"/>
      <c r="UWK1" s="9"/>
      <c r="UWL1" s="9"/>
      <c r="UWM1" s="9"/>
      <c r="UWN1" s="9"/>
      <c r="UWO1" s="9"/>
      <c r="UWP1" s="9"/>
      <c r="UWQ1" s="9"/>
      <c r="UWR1" s="9"/>
      <c r="UWS1" s="9"/>
      <c r="UWT1" s="9"/>
      <c r="UWU1" s="9"/>
      <c r="UWV1" s="9"/>
      <c r="UWW1" s="9"/>
      <c r="UWX1" s="9"/>
      <c r="UWY1" s="9"/>
      <c r="UWZ1" s="9"/>
      <c r="UXA1" s="9"/>
      <c r="UXB1" s="9"/>
      <c r="UXC1" s="9"/>
      <c r="UXD1" s="9"/>
      <c r="UXE1" s="9"/>
      <c r="UXF1" s="9"/>
      <c r="UXG1" s="9"/>
      <c r="UXH1" s="9"/>
      <c r="UXI1" s="9"/>
      <c r="UXJ1" s="9"/>
      <c r="UXK1" s="9"/>
      <c r="UXL1" s="9"/>
      <c r="UXM1" s="9"/>
      <c r="UXN1" s="9"/>
      <c r="UXO1" s="9"/>
      <c r="UXP1" s="9"/>
      <c r="UXQ1" s="9"/>
      <c r="UXR1" s="9"/>
      <c r="UXS1" s="9"/>
      <c r="UXT1" s="9"/>
      <c r="UXU1" s="9"/>
      <c r="UXV1" s="9"/>
      <c r="UXW1" s="9"/>
      <c r="UXX1" s="9"/>
      <c r="UXY1" s="9"/>
      <c r="UXZ1" s="9"/>
      <c r="UYA1" s="9"/>
      <c r="UYB1" s="9"/>
      <c r="UYC1" s="9"/>
      <c r="UYD1" s="9"/>
      <c r="UYE1" s="9"/>
      <c r="UYF1" s="9"/>
      <c r="UYG1" s="9"/>
      <c r="UYH1" s="9"/>
      <c r="UYI1" s="9"/>
      <c r="UYJ1" s="9"/>
      <c r="UYK1" s="9"/>
      <c r="UYL1" s="9"/>
      <c r="UYM1" s="9"/>
      <c r="UYN1" s="9"/>
      <c r="UYO1" s="9"/>
      <c r="UYP1" s="9"/>
      <c r="UYQ1" s="9"/>
      <c r="UYR1" s="9"/>
      <c r="UYS1" s="9"/>
      <c r="UYT1" s="9"/>
      <c r="UYU1" s="9"/>
      <c r="UYV1" s="9"/>
      <c r="UYW1" s="9"/>
      <c r="UYX1" s="9"/>
      <c r="UYY1" s="9"/>
      <c r="UYZ1" s="9"/>
      <c r="UZA1" s="9"/>
      <c r="UZB1" s="9"/>
      <c r="UZC1" s="9"/>
      <c r="UZD1" s="9"/>
      <c r="UZE1" s="9"/>
      <c r="UZF1" s="9"/>
      <c r="UZG1" s="9"/>
      <c r="UZH1" s="9"/>
      <c r="UZI1" s="9"/>
      <c r="UZJ1" s="9"/>
      <c r="UZK1" s="9"/>
      <c r="UZL1" s="9"/>
      <c r="UZM1" s="9"/>
      <c r="UZN1" s="9"/>
      <c r="UZO1" s="9"/>
      <c r="UZP1" s="9"/>
      <c r="UZQ1" s="9"/>
      <c r="UZR1" s="9"/>
      <c r="UZS1" s="9"/>
      <c r="UZT1" s="9"/>
      <c r="UZU1" s="9"/>
      <c r="UZV1" s="9"/>
      <c r="UZW1" s="9"/>
      <c r="UZX1" s="9"/>
      <c r="UZY1" s="9"/>
      <c r="UZZ1" s="9"/>
      <c r="VAA1" s="9"/>
      <c r="VAB1" s="9"/>
      <c r="VAC1" s="9"/>
      <c r="VAD1" s="9"/>
      <c r="VAE1" s="9"/>
      <c r="VAF1" s="9"/>
      <c r="VAG1" s="9"/>
      <c r="VAH1" s="9"/>
      <c r="VAI1" s="9"/>
      <c r="VAJ1" s="9"/>
      <c r="VAK1" s="9"/>
      <c r="VAL1" s="9"/>
      <c r="VAM1" s="9"/>
      <c r="VAN1" s="9"/>
      <c r="VAO1" s="9"/>
      <c r="VAP1" s="9"/>
      <c r="VAQ1" s="9"/>
      <c r="VAR1" s="9"/>
      <c r="VAS1" s="9"/>
      <c r="VAT1" s="9"/>
      <c r="VAU1" s="9"/>
      <c r="VAV1" s="9"/>
      <c r="VAW1" s="9"/>
      <c r="VAX1" s="9"/>
      <c r="VAY1" s="9"/>
      <c r="VAZ1" s="9"/>
      <c r="VBA1" s="9"/>
      <c r="VBB1" s="9"/>
      <c r="VBC1" s="9"/>
      <c r="VBD1" s="9"/>
      <c r="VBE1" s="9"/>
      <c r="VBF1" s="9"/>
      <c r="VBG1" s="9"/>
      <c r="VBH1" s="9"/>
      <c r="VBI1" s="9"/>
      <c r="VBJ1" s="9"/>
      <c r="VBK1" s="9"/>
      <c r="VBL1" s="9"/>
      <c r="VBM1" s="9"/>
      <c r="VBN1" s="9"/>
      <c r="VBO1" s="9"/>
      <c r="VBP1" s="9"/>
      <c r="VBQ1" s="9"/>
      <c r="VBR1" s="9"/>
      <c r="VBS1" s="9"/>
      <c r="VBT1" s="9"/>
      <c r="VBU1" s="9"/>
      <c r="VBV1" s="9"/>
      <c r="VBW1" s="9"/>
      <c r="VBX1" s="9"/>
      <c r="VBY1" s="9"/>
      <c r="VBZ1" s="9"/>
      <c r="VCA1" s="9"/>
      <c r="VCB1" s="9"/>
      <c r="VCC1" s="9"/>
      <c r="VCD1" s="9"/>
      <c r="VCE1" s="9"/>
      <c r="VCF1" s="9"/>
      <c r="VCG1" s="9"/>
      <c r="VCH1" s="9"/>
      <c r="VCI1" s="9"/>
      <c r="VCJ1" s="9"/>
      <c r="VCK1" s="9"/>
      <c r="VCL1" s="9"/>
      <c r="VCM1" s="9"/>
      <c r="VCN1" s="9"/>
      <c r="VCO1" s="9"/>
      <c r="VCP1" s="9"/>
      <c r="VCQ1" s="9"/>
      <c r="VCR1" s="9"/>
      <c r="VCS1" s="9"/>
      <c r="VCT1" s="9"/>
      <c r="VCU1" s="9"/>
      <c r="VCV1" s="9"/>
      <c r="VCW1" s="9"/>
      <c r="VCX1" s="9"/>
      <c r="VCY1" s="9"/>
      <c r="VCZ1" s="9"/>
      <c r="VDA1" s="9"/>
      <c r="VDB1" s="9"/>
      <c r="VDC1" s="9"/>
      <c r="VDD1" s="9"/>
      <c r="VDE1" s="9"/>
      <c r="VDF1" s="9"/>
      <c r="VDG1" s="9"/>
      <c r="VDH1" s="9"/>
      <c r="VDI1" s="9"/>
      <c r="VDJ1" s="9"/>
      <c r="VDK1" s="9"/>
      <c r="VDL1" s="9"/>
      <c r="VDM1" s="9"/>
      <c r="VDN1" s="9"/>
      <c r="VDO1" s="9"/>
      <c r="VDP1" s="9"/>
      <c r="VDQ1" s="9"/>
      <c r="VDR1" s="9"/>
      <c r="VDS1" s="9"/>
      <c r="VDT1" s="9"/>
      <c r="VDU1" s="9"/>
      <c r="VDV1" s="9"/>
      <c r="VDW1" s="9"/>
      <c r="VDX1" s="9"/>
      <c r="VDY1" s="9"/>
      <c r="VDZ1" s="9"/>
      <c r="VEA1" s="9"/>
      <c r="VEB1" s="9"/>
      <c r="VEC1" s="9"/>
      <c r="VED1" s="9"/>
      <c r="VEE1" s="9"/>
      <c r="VEF1" s="9"/>
      <c r="VEG1" s="9"/>
      <c r="VEH1" s="9"/>
      <c r="VEI1" s="9"/>
      <c r="VEJ1" s="9"/>
      <c r="VEK1" s="9"/>
      <c r="VEL1" s="9"/>
      <c r="VEM1" s="9"/>
      <c r="VEN1" s="9"/>
      <c r="VEO1" s="9"/>
      <c r="VEP1" s="9"/>
      <c r="VEQ1" s="9"/>
      <c r="VER1" s="9"/>
      <c r="VES1" s="9"/>
      <c r="VET1" s="9"/>
      <c r="VEU1" s="9"/>
      <c r="VEV1" s="9"/>
      <c r="VEW1" s="9"/>
      <c r="VEX1" s="9"/>
      <c r="VEY1" s="9"/>
      <c r="VEZ1" s="9"/>
      <c r="VFA1" s="9"/>
      <c r="VFB1" s="9"/>
      <c r="VFC1" s="9"/>
      <c r="VFD1" s="9"/>
      <c r="VFE1" s="9"/>
      <c r="VFF1" s="9"/>
      <c r="VFG1" s="9"/>
      <c r="VFH1" s="9"/>
      <c r="VFI1" s="9"/>
      <c r="VFJ1" s="9"/>
      <c r="VFK1" s="9"/>
      <c r="VFL1" s="9"/>
      <c r="VFM1" s="9"/>
      <c r="VFN1" s="9"/>
      <c r="VFO1" s="9"/>
      <c r="VFP1" s="9"/>
      <c r="VFQ1" s="9"/>
      <c r="VFR1" s="9"/>
      <c r="VFS1" s="9"/>
      <c r="VFT1" s="9"/>
      <c r="VFU1" s="9"/>
      <c r="VFV1" s="9"/>
      <c r="VFW1" s="9"/>
      <c r="VFX1" s="9"/>
      <c r="VFY1" s="9"/>
      <c r="VFZ1" s="9"/>
      <c r="VGA1" s="9"/>
      <c r="VGB1" s="9"/>
      <c r="VGC1" s="9"/>
      <c r="VGD1" s="9"/>
      <c r="VGE1" s="9"/>
      <c r="VGF1" s="9"/>
      <c r="VGG1" s="9"/>
      <c r="VGH1" s="9"/>
      <c r="VGI1" s="9"/>
      <c r="VGJ1" s="9"/>
      <c r="VGK1" s="9"/>
      <c r="VGL1" s="9"/>
      <c r="VGM1" s="9"/>
      <c r="VGN1" s="9"/>
      <c r="VGO1" s="9"/>
      <c r="VGP1" s="9"/>
      <c r="VGQ1" s="9"/>
      <c r="VGR1" s="9"/>
      <c r="VGS1" s="9"/>
      <c r="VGT1" s="9"/>
      <c r="VGU1" s="9"/>
      <c r="VGV1" s="9"/>
      <c r="VGW1" s="9"/>
      <c r="VGX1" s="9"/>
      <c r="VGY1" s="9"/>
      <c r="VGZ1" s="9"/>
      <c r="VHA1" s="9"/>
      <c r="VHB1" s="9"/>
      <c r="VHC1" s="9"/>
      <c r="VHD1" s="9"/>
      <c r="VHE1" s="9"/>
      <c r="VHF1" s="9"/>
      <c r="VHG1" s="9"/>
      <c r="VHH1" s="9"/>
      <c r="VHI1" s="9"/>
      <c r="VHJ1" s="9"/>
      <c r="VHK1" s="9"/>
      <c r="VHL1" s="9"/>
      <c r="VHM1" s="9"/>
      <c r="VHN1" s="9"/>
      <c r="VHO1" s="9"/>
      <c r="VHP1" s="9"/>
      <c r="VHQ1" s="9"/>
      <c r="VHR1" s="9"/>
      <c r="VHS1" s="9"/>
      <c r="VHT1" s="9"/>
      <c r="VHU1" s="9"/>
      <c r="VHV1" s="9"/>
      <c r="VHW1" s="9"/>
      <c r="VHX1" s="9"/>
      <c r="VHY1" s="9"/>
      <c r="VHZ1" s="9"/>
      <c r="VIA1" s="9"/>
      <c r="VIB1" s="9"/>
      <c r="VIC1" s="9"/>
      <c r="VID1" s="9"/>
      <c r="VIE1" s="9"/>
      <c r="VIF1" s="9"/>
      <c r="VIG1" s="9"/>
      <c r="VIH1" s="9"/>
      <c r="VII1" s="9"/>
      <c r="VIJ1" s="9"/>
      <c r="VIK1" s="9"/>
      <c r="VIL1" s="9"/>
      <c r="VIM1" s="9"/>
      <c r="VIN1" s="9"/>
      <c r="VIO1" s="9"/>
      <c r="VIP1" s="9"/>
      <c r="VIQ1" s="9"/>
      <c r="VIR1" s="9"/>
      <c r="VIS1" s="9"/>
      <c r="VIT1" s="9"/>
      <c r="VIU1" s="9"/>
      <c r="VIV1" s="9"/>
      <c r="VIW1" s="9"/>
      <c r="VIX1" s="9"/>
      <c r="VIY1" s="9"/>
      <c r="VIZ1" s="9"/>
      <c r="VJA1" s="9"/>
      <c r="VJB1" s="9"/>
      <c r="VJC1" s="9"/>
      <c r="VJD1" s="9"/>
      <c r="VJE1" s="9"/>
      <c r="VJF1" s="9"/>
      <c r="VJG1" s="9"/>
      <c r="VJH1" s="9"/>
      <c r="VJI1" s="9"/>
      <c r="VJJ1" s="9"/>
      <c r="VJK1" s="9"/>
      <c r="VJL1" s="9"/>
      <c r="VJM1" s="9"/>
      <c r="VJN1" s="9"/>
      <c r="VJO1" s="9"/>
      <c r="VJP1" s="9"/>
      <c r="VJQ1" s="9"/>
      <c r="VJR1" s="9"/>
      <c r="VJS1" s="9"/>
      <c r="VJT1" s="9"/>
      <c r="VJU1" s="9"/>
      <c r="VJV1" s="9"/>
      <c r="VJW1" s="9"/>
      <c r="VJX1" s="9"/>
      <c r="VJY1" s="9"/>
      <c r="VJZ1" s="9"/>
      <c r="VKA1" s="9"/>
      <c r="VKB1" s="9"/>
      <c r="VKC1" s="9"/>
      <c r="VKD1" s="9"/>
      <c r="VKE1" s="9"/>
      <c r="VKF1" s="9"/>
      <c r="VKG1" s="9"/>
      <c r="VKH1" s="9"/>
      <c r="VKI1" s="9"/>
      <c r="VKJ1" s="9"/>
      <c r="VKK1" s="9"/>
      <c r="VKL1" s="9"/>
      <c r="VKM1" s="9"/>
      <c r="VKN1" s="9"/>
      <c r="VKO1" s="9"/>
      <c r="VKP1" s="9"/>
      <c r="VKQ1" s="9"/>
      <c r="VKR1" s="9"/>
      <c r="VKS1" s="9"/>
      <c r="VKT1" s="9"/>
      <c r="VKU1" s="9"/>
      <c r="VKV1" s="9"/>
      <c r="VKW1" s="9"/>
      <c r="VKX1" s="9"/>
      <c r="VKY1" s="9"/>
      <c r="VKZ1" s="9"/>
      <c r="VLA1" s="9"/>
      <c r="VLB1" s="9"/>
      <c r="VLC1" s="9"/>
      <c r="VLD1" s="9"/>
      <c r="VLE1" s="9"/>
      <c r="VLF1" s="9"/>
      <c r="VLG1" s="9"/>
      <c r="VLH1" s="9"/>
      <c r="VLI1" s="9"/>
      <c r="VLJ1" s="9"/>
      <c r="VLK1" s="9"/>
      <c r="VLL1" s="9"/>
      <c r="VLM1" s="9"/>
      <c r="VLN1" s="9"/>
      <c r="VLO1" s="9"/>
      <c r="VLP1" s="9"/>
      <c r="VLQ1" s="9"/>
      <c r="VLR1" s="9"/>
      <c r="VLS1" s="9"/>
      <c r="VLT1" s="9"/>
      <c r="VLU1" s="9"/>
      <c r="VLV1" s="9"/>
      <c r="VLW1" s="9"/>
      <c r="VLX1" s="9"/>
      <c r="VLY1" s="9"/>
      <c r="VLZ1" s="9"/>
      <c r="VMA1" s="9"/>
      <c r="VMB1" s="9"/>
      <c r="VMC1" s="9"/>
      <c r="VMD1" s="9"/>
      <c r="VME1" s="9"/>
      <c r="VMF1" s="9"/>
      <c r="VMG1" s="9"/>
      <c r="VMH1" s="9"/>
      <c r="VMI1" s="9"/>
      <c r="VMJ1" s="9"/>
      <c r="VMK1" s="9"/>
      <c r="VML1" s="9"/>
      <c r="VMM1" s="9"/>
      <c r="VMN1" s="9"/>
      <c r="VMO1" s="9"/>
      <c r="VMP1" s="9"/>
      <c r="VMQ1" s="9"/>
      <c r="VMR1" s="9"/>
      <c r="VMS1" s="9"/>
      <c r="VMT1" s="9"/>
      <c r="VMU1" s="9"/>
      <c r="VMV1" s="9"/>
      <c r="VMW1" s="9"/>
      <c r="VMX1" s="9"/>
      <c r="VMY1" s="9"/>
      <c r="VMZ1" s="9"/>
      <c r="VNA1" s="9"/>
      <c r="VNB1" s="9"/>
      <c r="VNC1" s="9"/>
      <c r="VND1" s="9"/>
      <c r="VNE1" s="9"/>
      <c r="VNF1" s="9"/>
      <c r="VNG1" s="9"/>
      <c r="VNH1" s="9"/>
      <c r="VNI1" s="9"/>
      <c r="VNJ1" s="9"/>
      <c r="VNK1" s="9"/>
      <c r="VNL1" s="9"/>
      <c r="VNM1" s="9"/>
      <c r="VNN1" s="9"/>
      <c r="VNO1" s="9"/>
      <c r="VNP1" s="9"/>
      <c r="VNQ1" s="9"/>
      <c r="VNR1" s="9"/>
      <c r="VNS1" s="9"/>
      <c r="VNT1" s="9"/>
      <c r="VNU1" s="9"/>
      <c r="VNV1" s="9"/>
      <c r="VNW1" s="9"/>
      <c r="VNX1" s="9"/>
      <c r="VNY1" s="9"/>
      <c r="VNZ1" s="9"/>
      <c r="VOA1" s="9"/>
      <c r="VOB1" s="9"/>
      <c r="VOC1" s="9"/>
      <c r="VOD1" s="9"/>
      <c r="VOE1" s="9"/>
      <c r="VOF1" s="9"/>
      <c r="VOG1" s="9"/>
      <c r="VOH1" s="9"/>
      <c r="VOI1" s="9"/>
      <c r="VOJ1" s="9"/>
      <c r="VOK1" s="9"/>
      <c r="VOL1" s="9"/>
      <c r="VOM1" s="9"/>
      <c r="VON1" s="9"/>
      <c r="VOO1" s="9"/>
      <c r="VOP1" s="9"/>
      <c r="VOQ1" s="9"/>
      <c r="VOR1" s="9"/>
      <c r="VOS1" s="9"/>
      <c r="VOT1" s="9"/>
      <c r="VOU1" s="9"/>
      <c r="VOV1" s="9"/>
      <c r="VOW1" s="9"/>
      <c r="VOX1" s="9"/>
      <c r="VOY1" s="9"/>
      <c r="VOZ1" s="9"/>
      <c r="VPA1" s="9"/>
      <c r="VPB1" s="9"/>
      <c r="VPC1" s="9"/>
      <c r="VPD1" s="9"/>
      <c r="VPE1" s="9"/>
      <c r="VPF1" s="9"/>
      <c r="VPG1" s="9"/>
      <c r="VPH1" s="9"/>
      <c r="VPI1" s="9"/>
      <c r="VPJ1" s="9"/>
      <c r="VPK1" s="9"/>
      <c r="VPL1" s="9"/>
      <c r="VPM1" s="9"/>
      <c r="VPN1" s="9"/>
      <c r="VPO1" s="9"/>
      <c r="VPP1" s="9"/>
      <c r="VPQ1" s="9"/>
      <c r="VPR1" s="9"/>
      <c r="VPS1" s="9"/>
      <c r="VPT1" s="9"/>
      <c r="VPU1" s="9"/>
      <c r="VPV1" s="9"/>
      <c r="VPW1" s="9"/>
      <c r="VPX1" s="9"/>
      <c r="VPY1" s="9"/>
      <c r="VPZ1" s="9"/>
      <c r="VQA1" s="9"/>
      <c r="VQB1" s="9"/>
      <c r="VQC1" s="9"/>
      <c r="VQD1" s="9"/>
      <c r="VQE1" s="9"/>
      <c r="VQF1" s="9"/>
      <c r="VQG1" s="9"/>
      <c r="VQH1" s="9"/>
      <c r="VQI1" s="9"/>
      <c r="VQJ1" s="9"/>
      <c r="VQK1" s="9"/>
      <c r="VQL1" s="9"/>
      <c r="VQM1" s="9"/>
      <c r="VQN1" s="9"/>
      <c r="VQO1" s="9"/>
      <c r="VQP1" s="9"/>
      <c r="VQQ1" s="9"/>
      <c r="VQR1" s="9"/>
      <c r="VQS1" s="9"/>
      <c r="VQT1" s="9"/>
      <c r="VQU1" s="9"/>
      <c r="VQV1" s="9"/>
      <c r="VQW1" s="9"/>
      <c r="VQX1" s="9"/>
      <c r="VQY1" s="9"/>
      <c r="VQZ1" s="9"/>
      <c r="VRA1" s="9"/>
      <c r="VRB1" s="9"/>
      <c r="VRC1" s="9"/>
      <c r="VRD1" s="9"/>
      <c r="VRE1" s="9"/>
      <c r="VRF1" s="9"/>
      <c r="VRG1" s="9"/>
      <c r="VRH1" s="9"/>
      <c r="VRI1" s="9"/>
      <c r="VRJ1" s="9"/>
      <c r="VRK1" s="9"/>
      <c r="VRL1" s="9"/>
      <c r="VRM1" s="9"/>
      <c r="VRN1" s="9"/>
      <c r="VRO1" s="9"/>
      <c r="VRP1" s="9"/>
      <c r="VRQ1" s="9"/>
      <c r="VRR1" s="9"/>
      <c r="VRS1" s="9"/>
      <c r="VRT1" s="9"/>
      <c r="VRU1" s="9"/>
      <c r="VRV1" s="9"/>
      <c r="VRW1" s="9"/>
      <c r="VRX1" s="9"/>
      <c r="VRY1" s="9"/>
      <c r="VRZ1" s="9"/>
      <c r="VSA1" s="9"/>
      <c r="VSB1" s="9"/>
      <c r="VSC1" s="9"/>
      <c r="VSD1" s="9"/>
      <c r="VSE1" s="9"/>
      <c r="VSF1" s="9"/>
      <c r="VSG1" s="9"/>
      <c r="VSH1" s="9"/>
      <c r="VSI1" s="9"/>
      <c r="VSJ1" s="9"/>
      <c r="VSK1" s="9"/>
      <c r="VSL1" s="9"/>
      <c r="VSM1" s="9"/>
      <c r="VSN1" s="9"/>
      <c r="VSO1" s="9"/>
      <c r="VSP1" s="9"/>
      <c r="VSQ1" s="9"/>
      <c r="VSR1" s="9"/>
      <c r="VSS1" s="9"/>
      <c r="VST1" s="9"/>
      <c r="VSU1" s="9"/>
      <c r="VSV1" s="9"/>
      <c r="VSW1" s="9"/>
      <c r="VSX1" s="9"/>
      <c r="VSY1" s="9"/>
      <c r="VSZ1" s="9"/>
      <c r="VTA1" s="9"/>
      <c r="VTB1" s="9"/>
      <c r="VTC1" s="9"/>
      <c r="VTD1" s="9"/>
      <c r="VTE1" s="9"/>
      <c r="VTF1" s="9"/>
      <c r="VTG1" s="9"/>
      <c r="VTH1" s="9"/>
      <c r="VTI1" s="9"/>
      <c r="VTJ1" s="9"/>
      <c r="VTK1" s="9"/>
      <c r="VTL1" s="9"/>
      <c r="VTM1" s="9"/>
      <c r="VTN1" s="9"/>
      <c r="VTO1" s="9"/>
      <c r="VTP1" s="9"/>
      <c r="VTQ1" s="9"/>
      <c r="VTR1" s="9"/>
      <c r="VTS1" s="9"/>
      <c r="VTT1" s="9"/>
      <c r="VTU1" s="9"/>
      <c r="VTV1" s="9"/>
      <c r="VTW1" s="9"/>
      <c r="VTX1" s="9"/>
      <c r="VTY1" s="9"/>
      <c r="VTZ1" s="9"/>
      <c r="VUA1" s="9"/>
      <c r="VUB1" s="9"/>
      <c r="VUC1" s="9"/>
      <c r="VUD1" s="9"/>
      <c r="VUE1" s="9"/>
      <c r="VUF1" s="9"/>
      <c r="VUG1" s="9"/>
      <c r="VUH1" s="9"/>
      <c r="VUI1" s="9"/>
      <c r="VUJ1" s="9"/>
      <c r="VUK1" s="9"/>
      <c r="VUL1" s="9"/>
      <c r="VUM1" s="9"/>
      <c r="VUN1" s="9"/>
      <c r="VUO1" s="9"/>
      <c r="VUP1" s="9"/>
      <c r="VUQ1" s="9"/>
      <c r="VUR1" s="9"/>
      <c r="VUS1" s="9"/>
      <c r="VUT1" s="9"/>
      <c r="VUU1" s="9"/>
      <c r="VUV1" s="9"/>
      <c r="VUW1" s="9"/>
      <c r="VUX1" s="9"/>
      <c r="VUY1" s="9"/>
      <c r="VUZ1" s="9"/>
      <c r="VVA1" s="9"/>
      <c r="VVB1" s="9"/>
      <c r="VVC1" s="9"/>
      <c r="VVD1" s="9"/>
      <c r="VVE1" s="9"/>
      <c r="VVF1" s="9"/>
      <c r="VVG1" s="9"/>
      <c r="VVH1" s="9"/>
      <c r="VVI1" s="9"/>
      <c r="VVJ1" s="9"/>
      <c r="VVK1" s="9"/>
      <c r="VVL1" s="9"/>
      <c r="VVM1" s="9"/>
      <c r="VVN1" s="9"/>
      <c r="VVO1" s="9"/>
      <c r="VVP1" s="9"/>
      <c r="VVQ1" s="9"/>
      <c r="VVR1" s="9"/>
      <c r="VVS1" s="9"/>
      <c r="VVT1" s="9"/>
      <c r="VVU1" s="9"/>
      <c r="VVV1" s="9"/>
      <c r="VVW1" s="9"/>
      <c r="VVX1" s="9"/>
      <c r="VVY1" s="9"/>
      <c r="VVZ1" s="9"/>
      <c r="VWA1" s="9"/>
      <c r="VWB1" s="9"/>
      <c r="VWC1" s="9"/>
      <c r="VWD1" s="9"/>
      <c r="VWE1" s="9"/>
      <c r="VWF1" s="9"/>
      <c r="VWG1" s="9"/>
      <c r="VWH1" s="9"/>
      <c r="VWI1" s="9"/>
      <c r="VWJ1" s="9"/>
      <c r="VWK1" s="9"/>
      <c r="VWL1" s="9"/>
      <c r="VWM1" s="9"/>
      <c r="VWN1" s="9"/>
      <c r="VWO1" s="9"/>
      <c r="VWP1" s="9"/>
      <c r="VWQ1" s="9"/>
      <c r="VWR1" s="9"/>
      <c r="VWS1" s="9"/>
      <c r="VWT1" s="9"/>
      <c r="VWU1" s="9"/>
      <c r="VWV1" s="9"/>
      <c r="VWW1" s="9"/>
      <c r="VWX1" s="9"/>
      <c r="VWY1" s="9"/>
      <c r="VWZ1" s="9"/>
      <c r="VXA1" s="9"/>
      <c r="VXB1" s="9"/>
      <c r="VXC1" s="9"/>
      <c r="VXD1" s="9"/>
      <c r="VXE1" s="9"/>
      <c r="VXF1" s="9"/>
      <c r="VXG1" s="9"/>
      <c r="VXH1" s="9"/>
      <c r="VXI1" s="9"/>
      <c r="VXJ1" s="9"/>
      <c r="VXK1" s="9"/>
      <c r="VXL1" s="9"/>
      <c r="VXM1" s="9"/>
      <c r="VXN1" s="9"/>
      <c r="VXO1" s="9"/>
      <c r="VXP1" s="9"/>
      <c r="VXQ1" s="9"/>
      <c r="VXR1" s="9"/>
      <c r="VXS1" s="9"/>
      <c r="VXT1" s="9"/>
      <c r="VXU1" s="9"/>
      <c r="VXV1" s="9"/>
      <c r="VXW1" s="9"/>
      <c r="VXX1" s="9"/>
      <c r="VXY1" s="9"/>
      <c r="VXZ1" s="9"/>
      <c r="VYA1" s="9"/>
      <c r="VYB1" s="9"/>
      <c r="VYC1" s="9"/>
      <c r="VYD1" s="9"/>
      <c r="VYE1" s="9"/>
      <c r="VYF1" s="9"/>
      <c r="VYG1" s="9"/>
      <c r="VYH1" s="9"/>
      <c r="VYI1" s="9"/>
      <c r="VYJ1" s="9"/>
      <c r="VYK1" s="9"/>
      <c r="VYL1" s="9"/>
      <c r="VYM1" s="9"/>
      <c r="VYN1" s="9"/>
      <c r="VYO1" s="9"/>
      <c r="VYP1" s="9"/>
      <c r="VYQ1" s="9"/>
      <c r="VYR1" s="9"/>
      <c r="VYS1" s="9"/>
      <c r="VYT1" s="9"/>
      <c r="VYU1" s="9"/>
      <c r="VYV1" s="9"/>
      <c r="VYW1" s="9"/>
      <c r="VYX1" s="9"/>
      <c r="VYY1" s="9"/>
      <c r="VYZ1" s="9"/>
      <c r="VZA1" s="9"/>
      <c r="VZB1" s="9"/>
      <c r="VZC1" s="9"/>
      <c r="VZD1" s="9"/>
      <c r="VZE1" s="9"/>
      <c r="VZF1" s="9"/>
      <c r="VZG1" s="9"/>
      <c r="VZH1" s="9"/>
      <c r="VZI1" s="9"/>
      <c r="VZJ1" s="9"/>
      <c r="VZK1" s="9"/>
      <c r="VZL1" s="9"/>
      <c r="VZM1" s="9"/>
      <c r="VZN1" s="9"/>
      <c r="VZO1" s="9"/>
      <c r="VZP1" s="9"/>
      <c r="VZQ1" s="9"/>
      <c r="VZR1" s="9"/>
      <c r="VZS1" s="9"/>
      <c r="VZT1" s="9"/>
      <c r="VZU1" s="9"/>
      <c r="VZV1" s="9"/>
      <c r="VZW1" s="9"/>
      <c r="VZX1" s="9"/>
      <c r="VZY1" s="9"/>
      <c r="VZZ1" s="9"/>
      <c r="WAA1" s="9"/>
      <c r="WAB1" s="9"/>
      <c r="WAC1" s="9"/>
      <c r="WAD1" s="9"/>
      <c r="WAE1" s="9"/>
      <c r="WAF1" s="9"/>
      <c r="WAG1" s="9"/>
      <c r="WAH1" s="9"/>
      <c r="WAI1" s="9"/>
      <c r="WAJ1" s="9"/>
      <c r="WAK1" s="9"/>
      <c r="WAL1" s="9"/>
      <c r="WAM1" s="9"/>
      <c r="WAN1" s="9"/>
      <c r="WAO1" s="9"/>
      <c r="WAP1" s="9"/>
      <c r="WAQ1" s="9"/>
      <c r="WAR1" s="9"/>
      <c r="WAS1" s="9"/>
      <c r="WAT1" s="9"/>
      <c r="WAU1" s="9"/>
      <c r="WAV1" s="9"/>
      <c r="WAW1" s="9"/>
      <c r="WAX1" s="9"/>
      <c r="WAY1" s="9"/>
      <c r="WAZ1" s="9"/>
      <c r="WBA1" s="9"/>
      <c r="WBB1" s="9"/>
      <c r="WBC1" s="9"/>
      <c r="WBD1" s="9"/>
      <c r="WBE1" s="9"/>
      <c r="WBF1" s="9"/>
      <c r="WBG1" s="9"/>
      <c r="WBH1" s="9"/>
      <c r="WBI1" s="9"/>
      <c r="WBJ1" s="9"/>
      <c r="WBK1" s="9"/>
      <c r="WBL1" s="9"/>
      <c r="WBM1" s="9"/>
      <c r="WBN1" s="9"/>
      <c r="WBO1" s="9"/>
      <c r="WBP1" s="9"/>
      <c r="WBQ1" s="9"/>
      <c r="WBR1" s="9"/>
      <c r="WBS1" s="9"/>
      <c r="WBT1" s="9"/>
      <c r="WBU1" s="9"/>
      <c r="WBV1" s="9"/>
      <c r="WBW1" s="9"/>
      <c r="WBX1" s="9"/>
      <c r="WBY1" s="9"/>
      <c r="WBZ1" s="9"/>
      <c r="WCA1" s="9"/>
      <c r="WCB1" s="9"/>
      <c r="WCC1" s="9"/>
      <c r="WCD1" s="9"/>
      <c r="WCE1" s="9"/>
      <c r="WCF1" s="9"/>
      <c r="WCG1" s="9"/>
      <c r="WCH1" s="9"/>
      <c r="WCI1" s="9"/>
      <c r="WCJ1" s="9"/>
      <c r="WCK1" s="9"/>
      <c r="WCL1" s="9"/>
      <c r="WCM1" s="9"/>
      <c r="WCN1" s="9"/>
      <c r="WCO1" s="9"/>
      <c r="WCP1" s="9"/>
      <c r="WCQ1" s="9"/>
      <c r="WCR1" s="9"/>
      <c r="WCS1" s="9"/>
      <c r="WCT1" s="9"/>
      <c r="WCU1" s="9"/>
      <c r="WCV1" s="9"/>
      <c r="WCW1" s="9"/>
      <c r="WCX1" s="9"/>
      <c r="WCY1" s="9"/>
      <c r="WCZ1" s="9"/>
      <c r="WDA1" s="9"/>
      <c r="WDB1" s="9"/>
      <c r="WDC1" s="9"/>
      <c r="WDD1" s="9"/>
      <c r="WDE1" s="9"/>
      <c r="WDF1" s="9"/>
      <c r="WDG1" s="9"/>
      <c r="WDH1" s="9"/>
      <c r="WDI1" s="9"/>
      <c r="WDJ1" s="9"/>
      <c r="WDK1" s="9"/>
      <c r="WDL1" s="9"/>
      <c r="WDM1" s="9"/>
      <c r="WDN1" s="9"/>
      <c r="WDO1" s="9"/>
      <c r="WDP1" s="9"/>
      <c r="WDQ1" s="9"/>
      <c r="WDR1" s="9"/>
      <c r="WDS1" s="9"/>
      <c r="WDT1" s="9"/>
      <c r="WDU1" s="9"/>
      <c r="WDV1" s="9"/>
      <c r="WDW1" s="9"/>
      <c r="WDX1" s="9"/>
      <c r="WDY1" s="9"/>
      <c r="WDZ1" s="9"/>
      <c r="WEA1" s="9"/>
      <c r="WEB1" s="9"/>
      <c r="WEC1" s="9"/>
      <c r="WED1" s="9"/>
      <c r="WEE1" s="9"/>
      <c r="WEF1" s="9"/>
      <c r="WEG1" s="9"/>
      <c r="WEH1" s="9"/>
      <c r="WEI1" s="9"/>
      <c r="WEJ1" s="9"/>
      <c r="WEK1" s="9"/>
      <c r="WEL1" s="9"/>
      <c r="WEM1" s="9"/>
      <c r="WEN1" s="9"/>
      <c r="WEO1" s="9"/>
      <c r="WEP1" s="9"/>
      <c r="WEQ1" s="9"/>
      <c r="WER1" s="9"/>
      <c r="WES1" s="9"/>
      <c r="WET1" s="9"/>
      <c r="WEU1" s="9"/>
      <c r="WEV1" s="9"/>
      <c r="WEW1" s="9"/>
      <c r="WEX1" s="9"/>
      <c r="WEY1" s="9"/>
      <c r="WEZ1" s="9"/>
      <c r="WFA1" s="9"/>
      <c r="WFB1" s="9"/>
      <c r="WFC1" s="9"/>
      <c r="WFD1" s="9"/>
      <c r="WFE1" s="9"/>
      <c r="WFF1" s="9"/>
      <c r="WFG1" s="9"/>
      <c r="WFH1" s="9"/>
      <c r="WFI1" s="9"/>
      <c r="WFJ1" s="9"/>
      <c r="WFK1" s="9"/>
      <c r="WFL1" s="9"/>
      <c r="WFM1" s="9"/>
      <c r="WFN1" s="9"/>
      <c r="WFO1" s="9"/>
      <c r="WFP1" s="9"/>
      <c r="WFQ1" s="9"/>
      <c r="WFR1" s="9"/>
      <c r="WFS1" s="9"/>
      <c r="WFT1" s="9"/>
      <c r="WFU1" s="9"/>
      <c r="WFV1" s="9"/>
      <c r="WFW1" s="9"/>
      <c r="WFX1" s="9"/>
      <c r="WFY1" s="9"/>
      <c r="WFZ1" s="9"/>
      <c r="WGA1" s="9"/>
      <c r="WGB1" s="9"/>
      <c r="WGC1" s="9"/>
      <c r="WGD1" s="9"/>
      <c r="WGE1" s="9"/>
      <c r="WGF1" s="9"/>
      <c r="WGG1" s="9"/>
      <c r="WGH1" s="9"/>
      <c r="WGI1" s="9"/>
      <c r="WGJ1" s="9"/>
      <c r="WGK1" s="9"/>
      <c r="WGL1" s="9"/>
      <c r="WGM1" s="9"/>
      <c r="WGN1" s="9"/>
      <c r="WGO1" s="9"/>
      <c r="WGP1" s="9"/>
      <c r="WGQ1" s="9"/>
      <c r="WGR1" s="9"/>
      <c r="WGS1" s="9"/>
      <c r="WGT1" s="9"/>
      <c r="WGU1" s="9"/>
      <c r="WGV1" s="9"/>
      <c r="WGW1" s="9"/>
      <c r="WGX1" s="9"/>
      <c r="WGY1" s="9"/>
      <c r="WGZ1" s="9"/>
      <c r="WHA1" s="9"/>
      <c r="WHB1" s="9"/>
      <c r="WHC1" s="9"/>
      <c r="WHD1" s="9"/>
      <c r="WHE1" s="9"/>
      <c r="WHF1" s="9"/>
      <c r="WHG1" s="9"/>
      <c r="WHH1" s="9"/>
      <c r="WHI1" s="9"/>
      <c r="WHJ1" s="9"/>
      <c r="WHK1" s="9"/>
      <c r="WHL1" s="9"/>
      <c r="WHM1" s="9"/>
      <c r="WHN1" s="9"/>
      <c r="WHO1" s="9"/>
      <c r="WHP1" s="9"/>
      <c r="WHQ1" s="9"/>
      <c r="WHR1" s="9"/>
      <c r="WHS1" s="9"/>
      <c r="WHT1" s="9"/>
      <c r="WHU1" s="9"/>
      <c r="WHV1" s="9"/>
      <c r="WHW1" s="9"/>
      <c r="WHX1" s="9"/>
      <c r="WHY1" s="9"/>
      <c r="WHZ1" s="9"/>
      <c r="WIA1" s="9"/>
      <c r="WIB1" s="9"/>
      <c r="WIC1" s="9"/>
      <c r="WID1" s="9"/>
      <c r="WIE1" s="9"/>
      <c r="WIF1" s="9"/>
      <c r="WIG1" s="9"/>
      <c r="WIH1" s="9"/>
      <c r="WII1" s="9"/>
      <c r="WIJ1" s="9"/>
      <c r="WIK1" s="9"/>
      <c r="WIL1" s="9"/>
      <c r="WIM1" s="9"/>
      <c r="WIN1" s="9"/>
      <c r="WIO1" s="9"/>
      <c r="WIP1" s="9"/>
      <c r="WIQ1" s="9"/>
      <c r="WIR1" s="9"/>
      <c r="WIS1" s="9"/>
      <c r="WIT1" s="9"/>
      <c r="WIU1" s="9"/>
      <c r="WIV1" s="9"/>
      <c r="WIW1" s="9"/>
      <c r="WIX1" s="9"/>
      <c r="WIY1" s="9"/>
      <c r="WIZ1" s="9"/>
      <c r="WJA1" s="9"/>
      <c r="WJB1" s="9"/>
      <c r="WJC1" s="9"/>
      <c r="WJD1" s="9"/>
      <c r="WJE1" s="9"/>
      <c r="WJF1" s="9"/>
      <c r="WJG1" s="9"/>
      <c r="WJH1" s="9"/>
      <c r="WJI1" s="9"/>
      <c r="WJJ1" s="9"/>
      <c r="WJK1" s="9"/>
      <c r="WJL1" s="9"/>
      <c r="WJM1" s="9"/>
      <c r="WJN1" s="9"/>
      <c r="WJO1" s="9"/>
      <c r="WJP1" s="9"/>
      <c r="WJQ1" s="9"/>
      <c r="WJR1" s="9"/>
      <c r="WJS1" s="9"/>
      <c r="WJT1" s="9"/>
      <c r="WJU1" s="9"/>
      <c r="WJV1" s="9"/>
      <c r="WJW1" s="9"/>
      <c r="WJX1" s="9"/>
      <c r="WJY1" s="9"/>
      <c r="WJZ1" s="9"/>
      <c r="WKA1" s="9"/>
      <c r="WKB1" s="9"/>
      <c r="WKC1" s="9"/>
      <c r="WKD1" s="9"/>
      <c r="WKE1" s="9"/>
      <c r="WKF1" s="9"/>
      <c r="WKG1" s="9"/>
      <c r="WKH1" s="9"/>
      <c r="WKI1" s="9"/>
      <c r="WKJ1" s="9"/>
      <c r="WKK1" s="9"/>
      <c r="WKL1" s="9"/>
      <c r="WKM1" s="9"/>
      <c r="WKN1" s="9"/>
      <c r="WKO1" s="9"/>
      <c r="WKP1" s="9"/>
      <c r="WKQ1" s="9"/>
      <c r="WKR1" s="9"/>
      <c r="WKS1" s="9"/>
      <c r="WKT1" s="9"/>
      <c r="WKU1" s="9"/>
      <c r="WKV1" s="9"/>
      <c r="WKW1" s="9"/>
      <c r="WKX1" s="9"/>
      <c r="WKY1" s="9"/>
      <c r="WKZ1" s="9"/>
      <c r="WLA1" s="9"/>
      <c r="WLB1" s="9"/>
      <c r="WLC1" s="9"/>
      <c r="WLD1" s="9"/>
      <c r="WLE1" s="9"/>
      <c r="WLF1" s="9"/>
      <c r="WLG1" s="9"/>
      <c r="WLH1" s="9"/>
      <c r="WLI1" s="9"/>
      <c r="WLJ1" s="9"/>
      <c r="WLK1" s="9"/>
      <c r="WLL1" s="9"/>
      <c r="WLM1" s="9"/>
      <c r="WLN1" s="9"/>
      <c r="WLO1" s="9"/>
      <c r="WLP1" s="9"/>
      <c r="WLQ1" s="9"/>
      <c r="WLR1" s="9"/>
      <c r="WLS1" s="9"/>
      <c r="WLT1" s="9"/>
      <c r="WLU1" s="9"/>
      <c r="WLV1" s="9"/>
      <c r="WLW1" s="9"/>
      <c r="WLX1" s="9"/>
      <c r="WLY1" s="9"/>
      <c r="WLZ1" s="9"/>
      <c r="WMA1" s="9"/>
      <c r="WMB1" s="9"/>
      <c r="WMC1" s="9"/>
      <c r="WMD1" s="9"/>
      <c r="WME1" s="9"/>
      <c r="WMF1" s="9"/>
      <c r="WMG1" s="9"/>
      <c r="WMH1" s="9"/>
      <c r="WMI1" s="9"/>
      <c r="WMJ1" s="9"/>
      <c r="WMK1" s="9"/>
      <c r="WML1" s="9"/>
      <c r="WMM1" s="9"/>
      <c r="WMN1" s="9"/>
      <c r="WMO1" s="9"/>
      <c r="WMP1" s="9"/>
      <c r="WMQ1" s="9"/>
      <c r="WMR1" s="9"/>
      <c r="WMS1" s="9"/>
      <c r="WMT1" s="9"/>
      <c r="WMU1" s="9"/>
      <c r="WMV1" s="9"/>
      <c r="WMW1" s="9"/>
      <c r="WMX1" s="9"/>
      <c r="WMY1" s="9"/>
      <c r="WMZ1" s="9"/>
      <c r="WNA1" s="9"/>
      <c r="WNB1" s="9"/>
      <c r="WNC1" s="9"/>
      <c r="WND1" s="9"/>
      <c r="WNE1" s="9"/>
      <c r="WNF1" s="9"/>
      <c r="WNG1" s="9"/>
      <c r="WNH1" s="9"/>
      <c r="WNI1" s="9"/>
      <c r="WNJ1" s="9"/>
      <c r="WNK1" s="9"/>
      <c r="WNL1" s="9"/>
      <c r="WNM1" s="9"/>
      <c r="WNN1" s="9"/>
      <c r="WNO1" s="9"/>
      <c r="WNP1" s="9"/>
      <c r="WNQ1" s="9"/>
      <c r="WNR1" s="9"/>
      <c r="WNS1" s="9"/>
      <c r="WNT1" s="9"/>
      <c r="WNU1" s="9"/>
      <c r="WNV1" s="9"/>
      <c r="WNW1" s="9"/>
      <c r="WNX1" s="9"/>
      <c r="WNY1" s="9"/>
      <c r="WNZ1" s="9"/>
      <c r="WOA1" s="9"/>
      <c r="WOB1" s="9"/>
      <c r="WOC1" s="9"/>
      <c r="WOD1" s="9"/>
      <c r="WOE1" s="9"/>
      <c r="WOF1" s="9"/>
      <c r="WOG1" s="9"/>
      <c r="WOH1" s="9"/>
      <c r="WOI1" s="9"/>
      <c r="WOJ1" s="9"/>
      <c r="WOK1" s="9"/>
      <c r="WOL1" s="9"/>
      <c r="WOM1" s="9"/>
      <c r="WON1" s="9"/>
      <c r="WOO1" s="9"/>
      <c r="WOP1" s="9"/>
      <c r="WOQ1" s="9"/>
      <c r="WOR1" s="9"/>
      <c r="WOS1" s="9"/>
      <c r="WOT1" s="9"/>
      <c r="WOU1" s="9"/>
      <c r="WOV1" s="9"/>
      <c r="WOW1" s="9"/>
      <c r="WOX1" s="9"/>
      <c r="WOY1" s="9"/>
      <c r="WOZ1" s="9"/>
      <c r="WPA1" s="9"/>
      <c r="WPB1" s="9"/>
      <c r="WPC1" s="9"/>
      <c r="WPD1" s="9"/>
      <c r="WPE1" s="9"/>
      <c r="WPF1" s="9"/>
      <c r="WPG1" s="9"/>
      <c r="WPH1" s="9"/>
      <c r="WPI1" s="9"/>
      <c r="WPJ1" s="9"/>
      <c r="WPK1" s="9"/>
      <c r="WPL1" s="9"/>
      <c r="WPM1" s="9"/>
      <c r="WPN1" s="9"/>
      <c r="WPO1" s="9"/>
      <c r="WPP1" s="9"/>
      <c r="WPQ1" s="9"/>
      <c r="WPR1" s="9"/>
      <c r="WPS1" s="9"/>
      <c r="WPT1" s="9"/>
      <c r="WPU1" s="9"/>
      <c r="WPV1" s="9"/>
      <c r="WPW1" s="9"/>
      <c r="WPX1" s="9"/>
      <c r="WPY1" s="9"/>
      <c r="WPZ1" s="9"/>
      <c r="WQA1" s="9"/>
      <c r="WQB1" s="9"/>
      <c r="WQC1" s="9"/>
      <c r="WQD1" s="9"/>
      <c r="WQE1" s="9"/>
      <c r="WQF1" s="9"/>
      <c r="WQG1" s="9"/>
      <c r="WQH1" s="9"/>
      <c r="WQI1" s="9"/>
      <c r="WQJ1" s="9"/>
      <c r="WQK1" s="9"/>
      <c r="WQL1" s="9"/>
      <c r="WQM1" s="9"/>
      <c r="WQN1" s="9"/>
      <c r="WQO1" s="9"/>
      <c r="WQP1" s="9"/>
      <c r="WQQ1" s="9"/>
      <c r="WQR1" s="9"/>
      <c r="WQS1" s="9"/>
      <c r="WQT1" s="9"/>
      <c r="WQU1" s="9"/>
      <c r="WQV1" s="9"/>
      <c r="WQW1" s="9"/>
      <c r="WQX1" s="9"/>
      <c r="WQY1" s="9"/>
      <c r="WQZ1" s="9"/>
      <c r="WRA1" s="9"/>
      <c r="WRB1" s="9"/>
      <c r="WRC1" s="9"/>
      <c r="WRD1" s="9"/>
      <c r="WRE1" s="9"/>
      <c r="WRF1" s="9"/>
      <c r="WRG1" s="9"/>
      <c r="WRH1" s="9"/>
      <c r="WRI1" s="9"/>
      <c r="WRJ1" s="9"/>
      <c r="WRK1" s="9"/>
      <c r="WRL1" s="9"/>
      <c r="WRM1" s="9"/>
      <c r="WRN1" s="9"/>
      <c r="WRO1" s="9"/>
      <c r="WRP1" s="9"/>
      <c r="WRQ1" s="9"/>
      <c r="WRR1" s="9"/>
      <c r="WRS1" s="9"/>
      <c r="WRT1" s="9"/>
      <c r="WRU1" s="9"/>
      <c r="WRV1" s="9"/>
      <c r="WRW1" s="9"/>
      <c r="WRX1" s="9"/>
      <c r="WRY1" s="9"/>
      <c r="WRZ1" s="9"/>
      <c r="WSA1" s="9"/>
      <c r="WSB1" s="9"/>
      <c r="WSC1" s="9"/>
      <c r="WSD1" s="9"/>
      <c r="WSE1" s="9"/>
      <c r="WSF1" s="9"/>
      <c r="WSG1" s="9"/>
      <c r="WSH1" s="9"/>
      <c r="WSI1" s="9"/>
      <c r="WSJ1" s="9"/>
      <c r="WSK1" s="9"/>
      <c r="WSL1" s="9"/>
      <c r="WSM1" s="9"/>
      <c r="WSN1" s="9"/>
      <c r="WSO1" s="9"/>
      <c r="WSP1" s="9"/>
      <c r="WSQ1" s="9"/>
      <c r="WSR1" s="9"/>
      <c r="WSS1" s="9"/>
      <c r="WST1" s="9"/>
      <c r="WSU1" s="9"/>
      <c r="WSV1" s="9"/>
      <c r="WSW1" s="9"/>
      <c r="WSX1" s="9"/>
      <c r="WSY1" s="9"/>
      <c r="WSZ1" s="9"/>
      <c r="WTA1" s="9"/>
      <c r="WTB1" s="9"/>
      <c r="WTC1" s="9"/>
      <c r="WTD1" s="9"/>
      <c r="WTE1" s="9"/>
      <c r="WTF1" s="9"/>
      <c r="WTG1" s="9"/>
      <c r="WTH1" s="9"/>
      <c r="WTI1" s="9"/>
      <c r="WTJ1" s="9"/>
      <c r="WTK1" s="9"/>
      <c r="WTL1" s="9"/>
      <c r="WTM1" s="9"/>
      <c r="WTN1" s="9"/>
      <c r="WTO1" s="9"/>
      <c r="WTP1" s="9"/>
      <c r="WTQ1" s="9"/>
      <c r="WTR1" s="9"/>
      <c r="WTS1" s="9"/>
      <c r="WTT1" s="9"/>
      <c r="WTU1" s="9"/>
      <c r="WTV1" s="9"/>
      <c r="WTW1" s="9"/>
      <c r="WTX1" s="9"/>
      <c r="WTY1" s="9"/>
      <c r="WTZ1" s="9"/>
      <c r="WUA1" s="9"/>
      <c r="WUB1" s="9"/>
      <c r="WUC1" s="9"/>
      <c r="WUD1" s="9"/>
      <c r="WUE1" s="9"/>
      <c r="WUF1" s="9"/>
      <c r="WUG1" s="9"/>
      <c r="WUH1" s="9"/>
      <c r="WUI1" s="9"/>
      <c r="WUJ1" s="9"/>
      <c r="WUK1" s="9"/>
      <c r="WUL1" s="9"/>
      <c r="WUM1" s="9"/>
      <c r="WUN1" s="9"/>
      <c r="WUO1" s="9"/>
      <c r="WUP1" s="9"/>
      <c r="WUQ1" s="9"/>
      <c r="WUR1" s="9"/>
      <c r="WUS1" s="9"/>
      <c r="WUT1" s="9"/>
      <c r="WUU1" s="9"/>
      <c r="WUV1" s="9"/>
      <c r="WUW1" s="9"/>
      <c r="WUX1" s="9"/>
      <c r="WUY1" s="9"/>
      <c r="WUZ1" s="9"/>
      <c r="WVA1" s="9"/>
      <c r="WVB1" s="9"/>
      <c r="WVC1" s="9"/>
      <c r="WVD1" s="9"/>
      <c r="WVE1" s="9"/>
      <c r="WVF1" s="9"/>
      <c r="WVG1" s="9"/>
      <c r="WVH1" s="9"/>
      <c r="WVI1" s="9"/>
      <c r="WVJ1" s="9"/>
      <c r="WVK1" s="9"/>
      <c r="WVL1" s="9"/>
      <c r="WVM1" s="9"/>
      <c r="WVN1" s="9"/>
      <c r="WVO1" s="9"/>
      <c r="WVP1" s="9"/>
      <c r="WVQ1" s="9"/>
      <c r="WVR1" s="9"/>
      <c r="WVS1" s="9"/>
      <c r="WVT1" s="9"/>
      <c r="WVU1" s="9"/>
      <c r="WVV1" s="9"/>
      <c r="WVW1" s="9"/>
      <c r="WVX1" s="9"/>
      <c r="WVY1" s="9"/>
      <c r="WVZ1" s="9"/>
      <c r="WWA1" s="9"/>
      <c r="WWB1" s="9"/>
      <c r="WWC1" s="9"/>
      <c r="WWD1" s="9"/>
      <c r="WWE1" s="9"/>
      <c r="WWF1" s="9"/>
      <c r="WWG1" s="9"/>
      <c r="WWH1" s="9"/>
      <c r="WWI1" s="9"/>
      <c r="WWJ1" s="9"/>
      <c r="WWK1" s="9"/>
      <c r="WWL1" s="9"/>
      <c r="WWM1" s="9"/>
      <c r="WWN1" s="9"/>
      <c r="WWO1" s="9"/>
      <c r="WWP1" s="9"/>
      <c r="WWQ1" s="9"/>
      <c r="WWR1" s="9"/>
      <c r="WWS1" s="9"/>
      <c r="WWT1" s="9"/>
      <c r="WWU1" s="9"/>
      <c r="WWV1" s="9"/>
      <c r="WWW1" s="9"/>
      <c r="WWX1" s="9"/>
      <c r="WWY1" s="9"/>
      <c r="WWZ1" s="9"/>
      <c r="WXA1" s="9"/>
      <c r="WXB1" s="9"/>
      <c r="WXC1" s="9"/>
      <c r="WXD1" s="9"/>
      <c r="WXE1" s="9"/>
      <c r="WXF1" s="9"/>
      <c r="WXG1" s="9"/>
      <c r="WXH1" s="9"/>
      <c r="WXI1" s="9"/>
      <c r="WXJ1" s="9"/>
      <c r="WXK1" s="9"/>
      <c r="WXL1" s="9"/>
      <c r="WXM1" s="9"/>
      <c r="WXN1" s="9"/>
      <c r="WXO1" s="9"/>
      <c r="WXP1" s="9"/>
      <c r="WXQ1" s="9"/>
      <c r="WXR1" s="9"/>
      <c r="WXS1" s="9"/>
      <c r="WXT1" s="9"/>
      <c r="WXU1" s="9"/>
      <c r="WXV1" s="9"/>
      <c r="WXW1" s="9"/>
      <c r="WXX1" s="9"/>
      <c r="WXY1" s="9"/>
      <c r="WXZ1" s="9"/>
      <c r="WYA1" s="9"/>
      <c r="WYB1" s="9"/>
      <c r="WYC1" s="9"/>
      <c r="WYD1" s="9"/>
      <c r="WYE1" s="9"/>
      <c r="WYF1" s="9"/>
      <c r="WYG1" s="9"/>
      <c r="WYH1" s="9"/>
      <c r="WYI1" s="9"/>
      <c r="WYJ1" s="9"/>
      <c r="WYK1" s="9"/>
      <c r="WYL1" s="9"/>
      <c r="WYM1" s="9"/>
      <c r="WYN1" s="9"/>
      <c r="WYO1" s="9"/>
      <c r="WYP1" s="9"/>
      <c r="WYQ1" s="9"/>
      <c r="WYR1" s="9"/>
      <c r="WYS1" s="9"/>
      <c r="WYT1" s="9"/>
      <c r="WYU1" s="9"/>
      <c r="WYV1" s="9"/>
      <c r="WYW1" s="9"/>
      <c r="WYX1" s="9"/>
      <c r="WYY1" s="9"/>
      <c r="WYZ1" s="9"/>
      <c r="WZA1" s="9"/>
      <c r="WZB1" s="9"/>
      <c r="WZC1" s="9"/>
      <c r="WZD1" s="9"/>
      <c r="WZE1" s="9"/>
      <c r="WZF1" s="9"/>
      <c r="WZG1" s="9"/>
      <c r="WZH1" s="9"/>
      <c r="WZI1" s="9"/>
      <c r="WZJ1" s="9"/>
      <c r="WZK1" s="9"/>
      <c r="WZL1" s="9"/>
      <c r="WZM1" s="9"/>
      <c r="WZN1" s="9"/>
      <c r="WZO1" s="9"/>
      <c r="WZP1" s="9"/>
      <c r="WZQ1" s="9"/>
      <c r="WZR1" s="9"/>
      <c r="WZS1" s="9"/>
      <c r="WZT1" s="9"/>
      <c r="WZU1" s="9"/>
      <c r="WZV1" s="9"/>
      <c r="WZW1" s="9"/>
      <c r="WZX1" s="9"/>
      <c r="WZY1" s="9"/>
      <c r="WZZ1" s="9"/>
      <c r="XAA1" s="9"/>
      <c r="XAB1" s="9"/>
      <c r="XAC1" s="9"/>
      <c r="XAD1" s="9"/>
      <c r="XAE1" s="9"/>
      <c r="XAF1" s="9"/>
      <c r="XAG1" s="9"/>
      <c r="XAH1" s="9"/>
      <c r="XAI1" s="9"/>
      <c r="XAJ1" s="9"/>
      <c r="XAK1" s="9"/>
      <c r="XAL1" s="9"/>
      <c r="XAM1" s="9"/>
      <c r="XAN1" s="9"/>
      <c r="XAO1" s="9"/>
      <c r="XAP1" s="9"/>
      <c r="XAQ1" s="9"/>
      <c r="XAR1" s="9"/>
      <c r="XAS1" s="9"/>
      <c r="XAT1" s="9"/>
      <c r="XAU1" s="9"/>
      <c r="XAV1" s="9"/>
      <c r="XAW1" s="9"/>
      <c r="XAX1" s="9"/>
      <c r="XAY1" s="9"/>
      <c r="XAZ1" s="9"/>
      <c r="XBA1" s="9"/>
      <c r="XBB1" s="9"/>
      <c r="XBC1" s="9"/>
      <c r="XBD1" s="9"/>
      <c r="XBE1" s="9"/>
      <c r="XBF1" s="9"/>
      <c r="XBG1" s="9"/>
      <c r="XBH1" s="9"/>
      <c r="XBI1" s="9"/>
      <c r="XBJ1" s="9"/>
      <c r="XBK1" s="9"/>
      <c r="XBL1" s="9"/>
      <c r="XBM1" s="9"/>
      <c r="XBN1" s="9"/>
      <c r="XBO1" s="9"/>
      <c r="XBP1" s="9"/>
      <c r="XBQ1" s="9"/>
      <c r="XBR1" s="9"/>
      <c r="XBS1" s="9"/>
      <c r="XBT1" s="9"/>
      <c r="XBU1" s="9"/>
      <c r="XBV1" s="9"/>
      <c r="XBW1" s="9"/>
      <c r="XBX1" s="9"/>
      <c r="XBY1" s="9"/>
      <c r="XBZ1" s="9"/>
      <c r="XCA1" s="9"/>
      <c r="XCB1" s="9"/>
      <c r="XCC1" s="9"/>
      <c r="XCD1" s="9"/>
      <c r="XCE1" s="9"/>
      <c r="XCF1" s="9"/>
      <c r="XCG1" s="9"/>
      <c r="XCH1" s="9"/>
      <c r="XCI1" s="9"/>
      <c r="XCJ1" s="9"/>
      <c r="XCK1" s="9"/>
      <c r="XCL1" s="9"/>
      <c r="XCM1" s="9"/>
      <c r="XCN1" s="9"/>
      <c r="XCO1" s="9"/>
      <c r="XCP1" s="9"/>
      <c r="XCQ1" s="9"/>
      <c r="XCR1" s="9"/>
      <c r="XCS1" s="9"/>
      <c r="XCT1" s="9"/>
      <c r="XCU1" s="9"/>
      <c r="XCV1" s="9"/>
      <c r="XCW1" s="9"/>
      <c r="XCX1" s="9"/>
      <c r="XCY1" s="9"/>
      <c r="XCZ1" s="9"/>
      <c r="XDA1" s="9"/>
      <c r="XDB1" s="9"/>
      <c r="XDC1" s="9"/>
      <c r="XDD1" s="9"/>
      <c r="XDE1" s="9"/>
      <c r="XDF1" s="9"/>
      <c r="XDG1" s="9"/>
      <c r="XDH1" s="9"/>
      <c r="XDI1" s="9"/>
      <c r="XDJ1" s="9"/>
      <c r="XDK1" s="9"/>
      <c r="XDL1" s="9"/>
      <c r="XDM1" s="9"/>
      <c r="XDN1" s="9"/>
      <c r="XDO1" s="9"/>
      <c r="XDP1" s="9"/>
      <c r="XDQ1" s="9"/>
      <c r="XDR1" s="9"/>
      <c r="XDS1" s="9"/>
      <c r="XDT1" s="9"/>
      <c r="XDU1" s="9"/>
      <c r="XDV1" s="9"/>
      <c r="XDW1" s="9"/>
      <c r="XDX1" s="9"/>
      <c r="XDY1" s="9"/>
      <c r="XDZ1" s="9"/>
      <c r="XEA1" s="9"/>
      <c r="XEB1" s="9"/>
      <c r="XEC1" s="9"/>
      <c r="XED1" s="9"/>
      <c r="XEE1" s="9"/>
      <c r="XEF1" s="9"/>
      <c r="XEG1" s="9"/>
      <c r="XEH1" s="9"/>
      <c r="XEI1" s="9"/>
      <c r="XEJ1" s="9"/>
      <c r="XEK1" s="9"/>
      <c r="XEL1" s="9"/>
      <c r="XEM1" s="9"/>
      <c r="XEN1" s="9"/>
      <c r="XEO1" s="9"/>
      <c r="XEP1" s="9"/>
      <c r="XEQ1" s="9"/>
      <c r="XER1" s="9"/>
      <c r="XES1" s="9"/>
      <c r="XET1" s="9"/>
      <c r="XEU1" s="9"/>
      <c r="XEV1" s="9"/>
      <c r="XEW1" s="9"/>
      <c r="XEX1" s="9"/>
      <c r="XEY1" s="9"/>
      <c r="XEZ1" s="9"/>
      <c r="XFA1" s="9"/>
      <c r="XFB1" s="9"/>
    </row>
    <row r="2" customFormat="1" ht="87" customHeight="1" spans="1:21">
      <c r="A2" s="93"/>
      <c r="B2" s="94"/>
      <c r="C2" s="95"/>
      <c r="D2" s="94"/>
      <c r="E2" s="95"/>
      <c r="F2" s="95"/>
      <c r="G2" s="95"/>
      <c r="H2" s="95"/>
      <c r="I2" s="94"/>
      <c r="J2" s="117"/>
      <c r="K2" s="118"/>
      <c r="L2" s="67"/>
      <c r="M2" s="67"/>
      <c r="N2" s="67"/>
      <c r="O2" s="69"/>
      <c r="P2" s="69"/>
      <c r="Q2" s="16"/>
      <c r="R2" s="16"/>
      <c r="S2" s="16"/>
      <c r="T2" s="16"/>
      <c r="U2" s="16"/>
    </row>
    <row r="3" customFormat="1" ht="25" customHeight="1" spans="1:21">
      <c r="A3" s="96"/>
      <c r="B3" s="97" t="s">
        <v>217</v>
      </c>
      <c r="C3" s="98"/>
      <c r="D3" s="99" t="s">
        <v>243</v>
      </c>
      <c r="E3" s="100"/>
      <c r="F3" s="101"/>
      <c r="G3" s="101"/>
      <c r="H3" s="102" t="s">
        <v>244</v>
      </c>
      <c r="I3" s="119">
        <f ca="1">NOW()</f>
        <v>43018.3304861111</v>
      </c>
      <c r="J3" s="120"/>
      <c r="K3" s="121"/>
      <c r="L3" s="122"/>
      <c r="M3" s="122"/>
      <c r="N3" s="69"/>
      <c r="O3" s="69"/>
      <c r="P3" s="69"/>
      <c r="Q3" s="16"/>
      <c r="R3" s="16"/>
      <c r="S3" s="16"/>
      <c r="T3" s="16"/>
      <c r="U3" s="16"/>
    </row>
    <row r="4" customFormat="1" ht="31" customHeight="1" spans="1:21">
      <c r="A4" s="96"/>
      <c r="B4" s="103" t="s">
        <v>245</v>
      </c>
      <c r="C4" s="102"/>
      <c r="D4" s="102"/>
      <c r="E4" s="102" t="s">
        <v>246</v>
      </c>
      <c r="F4" s="103" t="s">
        <v>215</v>
      </c>
      <c r="G4" s="103" t="s">
        <v>247</v>
      </c>
      <c r="H4" s="103" t="s">
        <v>248</v>
      </c>
      <c r="I4" s="103"/>
      <c r="J4" s="123" t="s">
        <v>249</v>
      </c>
      <c r="K4" s="124" t="s">
        <v>250</v>
      </c>
      <c r="L4" s="96"/>
      <c r="M4" s="96"/>
      <c r="N4" s="16"/>
      <c r="O4" s="16"/>
      <c r="P4" s="16"/>
      <c r="Q4" s="16"/>
      <c r="R4" s="16"/>
      <c r="S4" s="16"/>
      <c r="T4" s="16"/>
      <c r="U4" s="16"/>
    </row>
    <row r="5" customFormat="1" ht="31" customHeight="1" spans="1:21">
      <c r="A5" s="96"/>
      <c r="B5" s="103" t="s">
        <v>212</v>
      </c>
      <c r="C5" s="102" t="s">
        <v>213</v>
      </c>
      <c r="D5" s="102" t="s">
        <v>214</v>
      </c>
      <c r="E5" s="102"/>
      <c r="F5" s="103"/>
      <c r="G5" s="103"/>
      <c r="H5" s="103" t="s">
        <v>251</v>
      </c>
      <c r="I5" s="103" t="s">
        <v>252</v>
      </c>
      <c r="J5" s="103"/>
      <c r="K5" s="102"/>
      <c r="L5" s="96"/>
      <c r="M5" s="96"/>
      <c r="N5" s="16"/>
      <c r="O5" s="16"/>
      <c r="P5" s="16"/>
      <c r="Q5" s="16"/>
      <c r="R5" s="16"/>
      <c r="S5" s="16"/>
      <c r="T5" s="16"/>
      <c r="U5" s="16"/>
    </row>
    <row r="6" customFormat="1" ht="22" customHeight="1" spans="1:21">
      <c r="A6" s="104"/>
      <c r="B6" s="105"/>
      <c r="C6" s="105"/>
      <c r="D6" s="105"/>
      <c r="E6" s="106"/>
      <c r="F6" s="105"/>
      <c r="G6" s="107" t="s">
        <v>253</v>
      </c>
      <c r="H6" s="108">
        <v>20000</v>
      </c>
      <c r="I6" s="108"/>
      <c r="J6" s="107" t="s">
        <v>254</v>
      </c>
      <c r="K6" s="125">
        <v>20000</v>
      </c>
      <c r="L6" s="96"/>
      <c r="M6" s="96"/>
      <c r="N6" s="16"/>
      <c r="O6" s="16"/>
      <c r="P6" s="16"/>
      <c r="Q6" s="16"/>
      <c r="R6" s="16"/>
      <c r="S6" s="16"/>
      <c r="T6" s="16"/>
      <c r="U6" s="16"/>
    </row>
    <row r="7" customFormat="1" ht="22" customHeight="1" spans="1:21">
      <c r="A7" s="104"/>
      <c r="B7" s="105">
        <v>2010</v>
      </c>
      <c r="C7" s="105">
        <v>4</v>
      </c>
      <c r="D7" s="105">
        <v>20</v>
      </c>
      <c r="E7" s="106" t="s">
        <v>228</v>
      </c>
      <c r="F7" s="105">
        <v>2</v>
      </c>
      <c r="G7" s="107" t="s">
        <v>232</v>
      </c>
      <c r="H7" s="109"/>
      <c r="I7" s="109">
        <v>35000</v>
      </c>
      <c r="J7" s="107" t="s">
        <v>255</v>
      </c>
      <c r="K7" s="126">
        <v>15000</v>
      </c>
      <c r="L7" s="96"/>
      <c r="M7" s="96"/>
      <c r="N7" s="16"/>
      <c r="O7" s="16"/>
      <c r="P7" s="16"/>
      <c r="Q7" s="16"/>
      <c r="R7" s="16"/>
      <c r="S7" s="16"/>
      <c r="T7" s="16"/>
      <c r="U7" s="16"/>
    </row>
    <row r="8" customFormat="1" ht="22" customHeight="1" spans="1:21">
      <c r="A8" s="104"/>
      <c r="B8" s="105">
        <v>2011</v>
      </c>
      <c r="C8" s="105">
        <v>4</v>
      </c>
      <c r="D8" s="105">
        <v>21</v>
      </c>
      <c r="E8" s="106" t="s">
        <v>228</v>
      </c>
      <c r="F8" s="105">
        <v>3</v>
      </c>
      <c r="G8" s="107" t="s">
        <v>233</v>
      </c>
      <c r="H8" s="109"/>
      <c r="I8" s="109">
        <v>280</v>
      </c>
      <c r="J8" s="107" t="s">
        <v>255</v>
      </c>
      <c r="K8" s="126">
        <v>15280</v>
      </c>
      <c r="L8" s="96"/>
      <c r="M8" s="96"/>
      <c r="N8" s="16"/>
      <c r="O8" s="16"/>
      <c r="P8" s="16"/>
      <c r="Q8" s="16"/>
      <c r="R8" s="16"/>
      <c r="S8" s="16"/>
      <c r="T8" s="16"/>
      <c r="U8" s="16"/>
    </row>
    <row r="9" customFormat="1" ht="22" customHeight="1" spans="1:21">
      <c r="A9" s="104"/>
      <c r="B9" s="105">
        <v>2011</v>
      </c>
      <c r="C9" s="105">
        <v>4</v>
      </c>
      <c r="D9" s="105">
        <v>24</v>
      </c>
      <c r="E9" s="106" t="s">
        <v>228</v>
      </c>
      <c r="F9" s="105">
        <v>5</v>
      </c>
      <c r="G9" s="107" t="s">
        <v>36</v>
      </c>
      <c r="H9" s="109"/>
      <c r="I9" s="109">
        <v>2000</v>
      </c>
      <c r="J9" s="107" t="s">
        <v>255</v>
      </c>
      <c r="K9" s="126">
        <v>17280</v>
      </c>
      <c r="L9" s="96"/>
      <c r="M9" s="96"/>
      <c r="N9" s="16"/>
      <c r="O9" s="16"/>
      <c r="P9" s="16"/>
      <c r="Q9" s="16"/>
      <c r="R9" s="16"/>
      <c r="S9" s="16"/>
      <c r="T9" s="16"/>
      <c r="U9" s="16"/>
    </row>
    <row r="10" customFormat="1" ht="22" customHeight="1" spans="1:21">
      <c r="A10" s="104"/>
      <c r="B10" s="105">
        <v>2013</v>
      </c>
      <c r="C10" s="105">
        <v>11</v>
      </c>
      <c r="D10" s="105">
        <v>21</v>
      </c>
      <c r="E10" s="106" t="s">
        <v>228</v>
      </c>
      <c r="F10" s="105">
        <v>6</v>
      </c>
      <c r="G10" s="107" t="s">
        <v>241</v>
      </c>
      <c r="H10" s="109">
        <v>112</v>
      </c>
      <c r="I10" s="109"/>
      <c r="J10" s="107" t="s">
        <v>255</v>
      </c>
      <c r="K10" s="126">
        <v>17168</v>
      </c>
      <c r="L10" s="96"/>
      <c r="M10" s="96"/>
      <c r="N10" s="16"/>
      <c r="O10" s="16"/>
      <c r="P10" s="16"/>
      <c r="Q10" s="16"/>
      <c r="R10" s="16"/>
      <c r="S10" s="16"/>
      <c r="T10" s="16"/>
      <c r="U10" s="16"/>
    </row>
    <row r="11" customFormat="1" ht="22" customHeight="1" spans="1:21">
      <c r="A11" s="104"/>
      <c r="B11" s="105">
        <v>2013</v>
      </c>
      <c r="C11" s="105">
        <v>11</v>
      </c>
      <c r="D11" s="105">
        <v>2</v>
      </c>
      <c r="E11" s="106" t="s">
        <v>228</v>
      </c>
      <c r="F11" s="105">
        <v>7</v>
      </c>
      <c r="G11" s="107" t="s">
        <v>26</v>
      </c>
      <c r="H11" s="109">
        <v>111</v>
      </c>
      <c r="I11" s="109"/>
      <c r="J11" s="107" t="s">
        <v>255</v>
      </c>
      <c r="K11" s="126">
        <v>17057</v>
      </c>
      <c r="L11" s="96"/>
      <c r="M11" s="96"/>
      <c r="N11" s="16"/>
      <c r="O11" s="16"/>
      <c r="P11" s="16"/>
      <c r="Q11" s="16"/>
      <c r="R11" s="16"/>
      <c r="S11" s="16"/>
      <c r="T11" s="16"/>
      <c r="U11" s="16"/>
    </row>
    <row r="12" customFormat="1" ht="22" customHeight="1" spans="1:21">
      <c r="A12" s="104"/>
      <c r="B12" s="105">
        <v>2013</v>
      </c>
      <c r="C12" s="105">
        <v>1</v>
      </c>
      <c r="D12" s="105">
        <v>1</v>
      </c>
      <c r="E12" s="106" t="s">
        <v>228</v>
      </c>
      <c r="F12" s="105">
        <v>8</v>
      </c>
      <c r="G12" s="107" t="s">
        <v>28</v>
      </c>
      <c r="H12" s="109">
        <v>112</v>
      </c>
      <c r="I12" s="109"/>
      <c r="J12" s="107" t="s">
        <v>255</v>
      </c>
      <c r="K12" s="126">
        <v>16945</v>
      </c>
      <c r="L12" s="96"/>
      <c r="M12" s="96"/>
      <c r="N12" s="16"/>
      <c r="O12" s="16"/>
      <c r="P12" s="16"/>
      <c r="Q12" s="16"/>
      <c r="R12" s="16"/>
      <c r="S12" s="16"/>
      <c r="T12" s="16"/>
      <c r="U12" s="16"/>
    </row>
    <row r="13" customFormat="1" ht="22" customHeight="1" spans="1:21">
      <c r="A13" s="104"/>
      <c r="B13" s="105"/>
      <c r="C13" s="105"/>
      <c r="D13" s="105"/>
      <c r="E13" s="106"/>
      <c r="F13" s="105"/>
      <c r="G13" s="107"/>
      <c r="H13" s="109"/>
      <c r="I13" s="109"/>
      <c r="J13" s="107"/>
      <c r="K13" s="126"/>
      <c r="L13" s="96"/>
      <c r="M13" s="96"/>
      <c r="N13" s="16"/>
      <c r="O13" s="16"/>
      <c r="P13" s="16"/>
      <c r="Q13" s="16"/>
      <c r="R13" s="16"/>
      <c r="S13" s="16"/>
      <c r="T13" s="16"/>
      <c r="U13" s="16"/>
    </row>
    <row r="14" customFormat="1" ht="22" customHeight="1" spans="1:21">
      <c r="A14" s="104"/>
      <c r="B14" s="105"/>
      <c r="C14" s="105"/>
      <c r="D14" s="105"/>
      <c r="E14" s="106"/>
      <c r="F14" s="105"/>
      <c r="G14" s="107"/>
      <c r="H14" s="109"/>
      <c r="I14" s="109"/>
      <c r="J14" s="107"/>
      <c r="K14" s="126"/>
      <c r="L14" s="96"/>
      <c r="M14" s="96"/>
      <c r="N14" s="16"/>
      <c r="O14" s="16"/>
      <c r="P14" s="16"/>
      <c r="Q14" s="16"/>
      <c r="R14" s="16"/>
      <c r="S14" s="16"/>
      <c r="T14" s="16"/>
      <c r="U14" s="16"/>
    </row>
    <row r="15" customFormat="1" ht="22" customHeight="1" spans="1:21">
      <c r="A15" s="104"/>
      <c r="B15" s="105"/>
      <c r="C15" s="105"/>
      <c r="D15" s="105"/>
      <c r="E15" s="106"/>
      <c r="F15" s="105"/>
      <c r="G15" s="107"/>
      <c r="H15" s="109"/>
      <c r="I15" s="109"/>
      <c r="J15" s="107"/>
      <c r="K15" s="126"/>
      <c r="L15" s="96"/>
      <c r="M15" s="96"/>
      <c r="N15" s="16"/>
      <c r="O15" s="16"/>
      <c r="P15" s="16"/>
      <c r="Q15" s="16"/>
      <c r="R15" s="16"/>
      <c r="S15" s="16"/>
      <c r="T15" s="16"/>
      <c r="U15" s="16"/>
    </row>
    <row r="16" customFormat="1" ht="22" customHeight="1" spans="1:21">
      <c r="A16" s="104"/>
      <c r="B16" s="105"/>
      <c r="C16" s="105"/>
      <c r="D16" s="105"/>
      <c r="E16" s="106"/>
      <c r="F16" s="105"/>
      <c r="G16" s="107"/>
      <c r="H16" s="109"/>
      <c r="I16" s="109"/>
      <c r="J16" s="107"/>
      <c r="K16" s="126"/>
      <c r="L16" s="96"/>
      <c r="M16" s="96"/>
      <c r="N16" s="16"/>
      <c r="O16" s="16"/>
      <c r="P16" s="16"/>
      <c r="Q16" s="16"/>
      <c r="R16" s="16"/>
      <c r="S16" s="16"/>
      <c r="T16" s="16"/>
      <c r="U16" s="16"/>
    </row>
    <row r="17" s="16" customFormat="1" spans="1:13">
      <c r="A17" s="104"/>
      <c r="B17" s="110"/>
      <c r="C17" s="111"/>
      <c r="D17" s="96"/>
      <c r="E17" s="96"/>
      <c r="F17" s="96"/>
      <c r="G17" s="96"/>
      <c r="H17" s="96"/>
      <c r="I17" s="96"/>
      <c r="J17" s="96"/>
      <c r="K17" s="96"/>
      <c r="L17" s="96"/>
      <c r="M17" s="96"/>
    </row>
    <row r="18" s="16" customFormat="1" spans="1:13">
      <c r="A18" s="57"/>
      <c r="B18" s="110"/>
      <c r="D18" s="96"/>
      <c r="E18" s="96"/>
      <c r="F18" s="96"/>
      <c r="G18" s="96"/>
      <c r="H18" s="96"/>
      <c r="I18" s="96"/>
      <c r="J18" s="96"/>
      <c r="K18" s="96"/>
      <c r="L18" s="96"/>
      <c r="M18" s="96"/>
    </row>
    <row r="19" s="16" customFormat="1" spans="1:13">
      <c r="A19" s="57"/>
      <c r="B19" s="110"/>
      <c r="D19" s="96"/>
      <c r="E19" s="96"/>
      <c r="F19" s="96"/>
      <c r="G19" s="96"/>
      <c r="H19" s="96"/>
      <c r="I19" s="96"/>
      <c r="J19" s="96"/>
      <c r="K19" s="96"/>
      <c r="L19" s="96"/>
      <c r="M19" s="96"/>
    </row>
    <row r="20" s="16" customFormat="1" spans="1:13">
      <c r="A20" s="57"/>
      <c r="B20" s="110"/>
      <c r="D20" s="96"/>
      <c r="E20" s="96"/>
      <c r="F20" s="96"/>
      <c r="G20" s="96"/>
      <c r="H20" s="96"/>
      <c r="I20" s="96"/>
      <c r="J20" s="96"/>
      <c r="K20" s="96"/>
      <c r="L20" s="96"/>
      <c r="M20" s="96"/>
    </row>
    <row r="21" s="16" customFormat="1" spans="1:13">
      <c r="A21" s="57"/>
      <c r="B21" s="110"/>
      <c r="D21" s="96"/>
      <c r="E21" s="96"/>
      <c r="F21" s="96"/>
      <c r="G21" s="96"/>
      <c r="H21" s="96"/>
      <c r="I21" s="96"/>
      <c r="J21" s="96"/>
      <c r="K21" s="96"/>
      <c r="L21" s="96"/>
      <c r="M21" s="96"/>
    </row>
    <row r="22" s="16" customFormat="1" spans="1:13">
      <c r="A22" s="57"/>
      <c r="B22" s="110"/>
      <c r="D22" s="96"/>
      <c r="E22" s="96"/>
      <c r="F22" s="96"/>
      <c r="G22" s="96"/>
      <c r="H22" s="96"/>
      <c r="I22" s="96"/>
      <c r="J22" s="96"/>
      <c r="K22" s="96"/>
      <c r="L22" s="96"/>
      <c r="M22" s="96"/>
    </row>
    <row r="23" s="16" customFormat="1" spans="1:13">
      <c r="A23" s="57"/>
      <c r="B23" s="110"/>
      <c r="D23" s="96"/>
      <c r="E23" s="96"/>
      <c r="F23" s="96"/>
      <c r="G23" s="96"/>
      <c r="H23" s="96"/>
      <c r="I23" s="96"/>
      <c r="J23" s="96"/>
      <c r="K23" s="96"/>
      <c r="L23" s="96"/>
      <c r="M23" s="96"/>
    </row>
    <row r="24" s="16" customFormat="1" spans="1:13">
      <c r="A24" s="57"/>
      <c r="B24" s="112"/>
      <c r="C24" s="57"/>
      <c r="D24" s="112"/>
      <c r="E24" s="57"/>
      <c r="F24" s="113"/>
      <c r="H24" s="57"/>
      <c r="I24" s="57"/>
      <c r="J24" s="96"/>
      <c r="K24" s="96"/>
      <c r="L24" s="96"/>
      <c r="M24" s="96"/>
    </row>
    <row r="25" s="16" customFormat="1" spans="1:13">
      <c r="A25" s="57"/>
      <c r="B25" s="112"/>
      <c r="C25" s="57"/>
      <c r="D25" s="112"/>
      <c r="E25" s="57"/>
      <c r="F25" s="113"/>
      <c r="H25" s="57"/>
      <c r="I25" s="57"/>
      <c r="J25" s="96"/>
      <c r="K25" s="96"/>
      <c r="L25" s="96"/>
      <c r="M25" s="96"/>
    </row>
    <row r="26" s="16" customFormat="1" spans="1:13">
      <c r="A26" s="57"/>
      <c r="B26" s="112"/>
      <c r="C26" s="57"/>
      <c r="D26" s="112"/>
      <c r="E26" s="57"/>
      <c r="F26" s="113"/>
      <c r="H26" s="57"/>
      <c r="I26" s="57"/>
      <c r="J26" s="96"/>
      <c r="K26" s="96"/>
      <c r="L26" s="96"/>
      <c r="M26" s="96"/>
    </row>
    <row r="27" s="16" customFormat="1" spans="1:13">
      <c r="A27" s="57"/>
      <c r="B27" s="112"/>
      <c r="C27" s="57"/>
      <c r="D27" s="112"/>
      <c r="E27" s="57"/>
      <c r="F27" s="113"/>
      <c r="H27" s="57"/>
      <c r="I27" s="57"/>
      <c r="J27" s="96"/>
      <c r="K27" s="96"/>
      <c r="L27" s="96"/>
      <c r="M27" s="96"/>
    </row>
    <row r="28" s="16" customFormat="1" spans="1:13">
      <c r="A28" s="57"/>
      <c r="B28" s="112"/>
      <c r="C28" s="57"/>
      <c r="D28" s="112"/>
      <c r="E28" s="57"/>
      <c r="F28" s="113"/>
      <c r="H28" s="57"/>
      <c r="I28" s="57"/>
      <c r="J28" s="96"/>
      <c r="K28" s="96"/>
      <c r="L28" s="96"/>
      <c r="M28" s="96"/>
    </row>
    <row r="29" s="16" customFormat="1" spans="1:13">
      <c r="A29" s="57"/>
      <c r="B29" s="112"/>
      <c r="C29" s="57"/>
      <c r="D29" s="112"/>
      <c r="E29" s="57"/>
      <c r="F29" s="113"/>
      <c r="H29" s="57"/>
      <c r="I29" s="57"/>
      <c r="J29" s="96"/>
      <c r="K29" s="96"/>
      <c r="L29" s="96"/>
      <c r="M29" s="96"/>
    </row>
    <row r="30" s="16" customFormat="1" spans="1:13">
      <c r="A30" s="57"/>
      <c r="B30" s="112"/>
      <c r="C30" s="57"/>
      <c r="D30" s="112"/>
      <c r="E30" s="57"/>
      <c r="F30" s="113"/>
      <c r="H30" s="57"/>
      <c r="I30" s="57"/>
      <c r="J30" s="96"/>
      <c r="K30" s="96"/>
      <c r="L30" s="96"/>
      <c r="M30" s="96"/>
    </row>
    <row r="31" s="16" customFormat="1" spans="1:13">
      <c r="A31" s="57"/>
      <c r="B31" s="112"/>
      <c r="C31" s="57"/>
      <c r="D31" s="112"/>
      <c r="E31" s="57"/>
      <c r="F31" s="113"/>
      <c r="H31" s="57"/>
      <c r="I31" s="57"/>
      <c r="J31" s="96"/>
      <c r="K31" s="96"/>
      <c r="L31" s="96"/>
      <c r="M31" s="96"/>
    </row>
    <row r="32" s="16" customFormat="1" spans="1:13">
      <c r="A32" s="57"/>
      <c r="B32" s="112"/>
      <c r="C32" s="57"/>
      <c r="D32" s="112"/>
      <c r="E32" s="57"/>
      <c r="F32" s="113"/>
      <c r="H32" s="57"/>
      <c r="I32" s="57"/>
      <c r="J32" s="96"/>
      <c r="K32" s="96"/>
      <c r="L32" s="96"/>
      <c r="M32" s="96"/>
    </row>
    <row r="33" s="16" customFormat="1" spans="1:13">
      <c r="A33" s="57"/>
      <c r="B33" s="112"/>
      <c r="C33" s="57"/>
      <c r="D33" s="112"/>
      <c r="E33" s="57"/>
      <c r="F33" s="113"/>
      <c r="H33" s="57"/>
      <c r="I33" s="57"/>
      <c r="J33" s="96"/>
      <c r="K33" s="96"/>
      <c r="L33" s="96"/>
      <c r="M33" s="96"/>
    </row>
    <row r="34" s="16" customFormat="1" spans="1:13">
      <c r="A34" s="57"/>
      <c r="B34" s="112"/>
      <c r="C34" s="57"/>
      <c r="D34" s="112"/>
      <c r="E34" s="57"/>
      <c r="F34" s="113"/>
      <c r="H34" s="57"/>
      <c r="I34" s="57"/>
      <c r="J34" s="96"/>
      <c r="K34" s="96"/>
      <c r="L34" s="96"/>
      <c r="M34" s="96"/>
    </row>
    <row r="35" s="16" customFormat="1" spans="1:13">
      <c r="A35" s="57"/>
      <c r="B35" s="112"/>
      <c r="C35" s="57"/>
      <c r="D35" s="112"/>
      <c r="E35" s="57"/>
      <c r="F35" s="113"/>
      <c r="H35" s="57"/>
      <c r="I35" s="57"/>
      <c r="J35" s="96"/>
      <c r="K35" s="96"/>
      <c r="L35" s="96"/>
      <c r="M35" s="96"/>
    </row>
    <row r="36" s="16" customFormat="1" spans="1:13">
      <c r="A36" s="57"/>
      <c r="B36" s="112"/>
      <c r="C36" s="57"/>
      <c r="D36" s="112"/>
      <c r="E36" s="57"/>
      <c r="F36" s="113"/>
      <c r="H36" s="57"/>
      <c r="I36" s="57"/>
      <c r="J36" s="96"/>
      <c r="K36" s="96"/>
      <c r="L36" s="96"/>
      <c r="M36" s="96"/>
    </row>
    <row r="37" s="16" customFormat="1" spans="1:13">
      <c r="A37" s="57"/>
      <c r="B37" s="112"/>
      <c r="C37" s="57"/>
      <c r="D37" s="112"/>
      <c r="E37" s="57"/>
      <c r="F37" s="113"/>
      <c r="H37" s="57"/>
      <c r="I37" s="57"/>
      <c r="J37" s="96"/>
      <c r="K37" s="96"/>
      <c r="L37" s="96"/>
      <c r="M37" s="96"/>
    </row>
    <row r="38" s="16" customFormat="1" spans="1:13">
      <c r="A38" s="57"/>
      <c r="B38" s="112"/>
      <c r="C38" s="57"/>
      <c r="D38" s="112"/>
      <c r="E38" s="57"/>
      <c r="F38" s="113"/>
      <c r="H38" s="57"/>
      <c r="I38" s="57"/>
      <c r="J38" s="96"/>
      <c r="K38" s="96"/>
      <c r="L38" s="96"/>
      <c r="M38" s="96"/>
    </row>
    <row r="39" s="16" customFormat="1" spans="1:13">
      <c r="A39" s="57"/>
      <c r="B39" s="112"/>
      <c r="C39" s="57"/>
      <c r="D39" s="112"/>
      <c r="E39" s="57"/>
      <c r="F39" s="113"/>
      <c r="H39" s="57"/>
      <c r="I39" s="57"/>
      <c r="J39" s="96"/>
      <c r="K39" s="96"/>
      <c r="L39" s="96"/>
      <c r="M39" s="96"/>
    </row>
    <row r="40" s="16" customFormat="1" spans="1:13">
      <c r="A40" s="57"/>
      <c r="B40" s="57"/>
      <c r="C40" s="57"/>
      <c r="D40" s="112"/>
      <c r="E40" s="57"/>
      <c r="F40" s="113"/>
      <c r="H40" s="57"/>
      <c r="I40" s="57"/>
      <c r="J40" s="96"/>
      <c r="K40" s="96"/>
      <c r="L40" s="96"/>
      <c r="M40" s="96"/>
    </row>
    <row r="41" s="16" customFormat="1" spans="1:13">
      <c r="A41" s="57"/>
      <c r="B41" s="57"/>
      <c r="C41" s="57"/>
      <c r="D41" s="112"/>
      <c r="E41" s="57"/>
      <c r="F41" s="113"/>
      <c r="H41" s="57"/>
      <c r="I41" s="57"/>
      <c r="J41" s="96"/>
      <c r="K41" s="96"/>
      <c r="L41" s="96"/>
      <c r="M41" s="96"/>
    </row>
    <row r="42" s="16" customFormat="1" spans="1:13">
      <c r="A42" s="57"/>
      <c r="B42" s="57"/>
      <c r="C42" s="57"/>
      <c r="D42" s="112"/>
      <c r="E42" s="57"/>
      <c r="F42" s="113"/>
      <c r="H42" s="57"/>
      <c r="I42" s="57"/>
      <c r="J42" s="96"/>
      <c r="K42" s="96"/>
      <c r="L42" s="96"/>
      <c r="M42" s="96"/>
    </row>
    <row r="43" s="16" customFormat="1" spans="1:13">
      <c r="A43" s="57"/>
      <c r="B43" s="57"/>
      <c r="C43" s="57"/>
      <c r="D43" s="57"/>
      <c r="E43" s="57"/>
      <c r="F43" s="113"/>
      <c r="G43" s="57"/>
      <c r="H43" s="57"/>
      <c r="I43" s="57"/>
      <c r="J43" s="96"/>
      <c r="K43" s="96"/>
      <c r="L43" s="96"/>
      <c r="M43" s="96"/>
    </row>
    <row r="44" s="16" customFormat="1" spans="1:13">
      <c r="A44" s="57"/>
      <c r="B44" s="57"/>
      <c r="C44" s="57"/>
      <c r="D44" s="57"/>
      <c r="E44" s="57"/>
      <c r="F44" s="113"/>
      <c r="G44" s="57"/>
      <c r="H44" s="57"/>
      <c r="I44" s="57"/>
      <c r="J44" s="96"/>
      <c r="K44" s="96"/>
      <c r="L44" s="96"/>
      <c r="M44" s="96"/>
    </row>
    <row r="45" s="16" customFormat="1" spans="1:13">
      <c r="A45" s="57"/>
      <c r="B45" s="57"/>
      <c r="C45" s="57"/>
      <c r="D45" s="57"/>
      <c r="E45" s="57"/>
      <c r="F45" s="113"/>
      <c r="G45" s="57"/>
      <c r="H45" s="57"/>
      <c r="I45" s="57"/>
      <c r="J45" s="96"/>
      <c r="K45" s="96"/>
      <c r="L45" s="96"/>
      <c r="M45" s="96"/>
    </row>
    <row r="46" s="16" customFormat="1" spans="1:13">
      <c r="A46" s="57"/>
      <c r="B46" s="57"/>
      <c r="C46" s="57"/>
      <c r="D46" s="57"/>
      <c r="E46" s="57"/>
      <c r="F46" s="113"/>
      <c r="G46" s="57"/>
      <c r="H46" s="57"/>
      <c r="I46" s="57"/>
      <c r="J46" s="96"/>
      <c r="K46" s="96"/>
      <c r="L46" s="96"/>
      <c r="M46" s="96"/>
    </row>
    <row r="47" s="16" customFormat="1" spans="1:13">
      <c r="A47" s="57"/>
      <c r="B47" s="57"/>
      <c r="C47" s="57"/>
      <c r="D47" s="57"/>
      <c r="E47" s="57"/>
      <c r="F47" s="113"/>
      <c r="G47" s="57"/>
      <c r="H47" s="57"/>
      <c r="I47" s="57"/>
      <c r="J47" s="96"/>
      <c r="K47" s="96"/>
      <c r="L47" s="96"/>
      <c r="M47" s="96"/>
    </row>
    <row r="48" s="16" customFormat="1" spans="1:13">
      <c r="A48" s="57"/>
      <c r="B48" s="57"/>
      <c r="C48" s="57"/>
      <c r="D48" s="57"/>
      <c r="E48" s="57"/>
      <c r="F48" s="113"/>
      <c r="G48" s="57"/>
      <c r="H48" s="57"/>
      <c r="I48" s="57"/>
      <c r="J48" s="96"/>
      <c r="K48" s="96"/>
      <c r="L48" s="96"/>
      <c r="M48" s="96"/>
    </row>
    <row r="49" s="16" customFormat="1" spans="1:11">
      <c r="A49" s="57"/>
      <c r="B49" s="57"/>
      <c r="C49" s="57"/>
      <c r="D49" s="57"/>
      <c r="E49" s="57"/>
      <c r="F49" s="113"/>
      <c r="G49" s="57"/>
      <c r="H49" s="57"/>
      <c r="I49" s="57"/>
      <c r="J49" s="112"/>
      <c r="K49" s="112"/>
    </row>
    <row r="50" s="16" customFormat="1" spans="1:11">
      <c r="A50" s="57"/>
      <c r="B50" s="57"/>
      <c r="C50" s="57"/>
      <c r="D50" s="57"/>
      <c r="E50" s="57"/>
      <c r="F50" s="113"/>
      <c r="G50" s="57"/>
      <c r="H50" s="57"/>
      <c r="I50" s="57"/>
      <c r="J50" s="112"/>
      <c r="K50" s="112"/>
    </row>
    <row r="51" s="16" customFormat="1" spans="1:11">
      <c r="A51" s="57"/>
      <c r="B51" s="57"/>
      <c r="C51" s="57"/>
      <c r="D51" s="57"/>
      <c r="E51" s="57"/>
      <c r="F51" s="113"/>
      <c r="G51" s="57"/>
      <c r="H51" s="57"/>
      <c r="I51" s="57"/>
      <c r="J51" s="112"/>
      <c r="K51" s="112"/>
    </row>
    <row r="52" s="16" customFormat="1" spans="1:11">
      <c r="A52" s="57"/>
      <c r="B52" s="57"/>
      <c r="C52" s="57"/>
      <c r="D52" s="57"/>
      <c r="E52" s="57"/>
      <c r="F52" s="113"/>
      <c r="G52" s="57"/>
      <c r="H52" s="57"/>
      <c r="I52" s="57"/>
      <c r="J52" s="112"/>
      <c r="K52" s="112"/>
    </row>
    <row r="53" s="16" customFormat="1" spans="1:9">
      <c r="A53" s="57"/>
      <c r="B53" s="57"/>
      <c r="C53" s="57"/>
      <c r="D53" s="57"/>
      <c r="E53" s="57"/>
      <c r="F53" s="113"/>
      <c r="G53" s="57"/>
      <c r="H53" s="57"/>
      <c r="I53" s="57"/>
    </row>
    <row r="54" customFormat="1" spans="1:21">
      <c r="A54" s="57"/>
      <c r="B54" s="1"/>
      <c r="C54" s="1"/>
      <c r="D54" s="1"/>
      <c r="E54" s="1"/>
      <c r="F54" s="2"/>
      <c r="G54" s="1"/>
      <c r="H54" s="1"/>
      <c r="I54" s="1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</row>
    <row r="55" customFormat="1" spans="1:21">
      <c r="A55" s="57"/>
      <c r="B55" s="1"/>
      <c r="C55" s="1"/>
      <c r="D55" s="1"/>
      <c r="E55" s="1"/>
      <c r="F55" s="2"/>
      <c r="G55" s="1"/>
      <c r="H55" s="1"/>
      <c r="I55" s="1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</row>
    <row r="56" customFormat="1" spans="1:21">
      <c r="A56" s="57"/>
      <c r="B56" s="1"/>
      <c r="C56" s="1"/>
      <c r="D56" s="1"/>
      <c r="E56" s="1"/>
      <c r="F56" s="2"/>
      <c r="G56" s="1"/>
      <c r="H56" s="1"/>
      <c r="I56" s="1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</row>
    <row r="57" customFormat="1" spans="1:21">
      <c r="A57" s="57"/>
      <c r="B57" s="1"/>
      <c r="C57" s="1"/>
      <c r="D57" s="1"/>
      <c r="E57" s="1"/>
      <c r="F57" s="2"/>
      <c r="G57" s="1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</row>
    <row r="58" customFormat="1" spans="1:21">
      <c r="A58" s="57"/>
      <c r="B58" s="1"/>
      <c r="C58" s="1"/>
      <c r="D58" s="1"/>
      <c r="E58" s="1"/>
      <c r="F58" s="2"/>
      <c r="G58" s="1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</row>
    <row r="59" customFormat="1" spans="1:21">
      <c r="A59" s="57"/>
      <c r="B59" s="1"/>
      <c r="C59" s="1"/>
      <c r="D59" s="1"/>
      <c r="E59" s="1"/>
      <c r="F59" s="2"/>
      <c r="G59" s="1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</row>
  </sheetData>
  <mergeCells count="10">
    <mergeCell ref="D3:E3"/>
    <mergeCell ref="J3:K3"/>
    <mergeCell ref="B4:D4"/>
    <mergeCell ref="H4:I4"/>
    <mergeCell ref="E4:E5"/>
    <mergeCell ref="F4:F5"/>
    <mergeCell ref="G4:G5"/>
    <mergeCell ref="J4:J5"/>
    <mergeCell ref="K4:K5"/>
    <mergeCell ref="B1:K2"/>
  </mergeCells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r:id="rId4">
            <anchor moveWithCells="1">
              <from>
                <xdr:col>12</xdr:col>
                <xdr:colOff>47625</xdr:colOff>
                <xdr:row>1</xdr:row>
                <xdr:rowOff>114300</xdr:rowOff>
              </from>
              <to>
                <xdr:col>14</xdr:col>
                <xdr:colOff>638175</xdr:colOff>
                <xdr:row>1</xdr:row>
                <xdr:rowOff>517525</xdr:rowOff>
              </to>
            </anchor>
          </controlPr>
        </control>
      </mc:Choice>
      <mc:Fallback>
        <control shapeId="1228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XFB59"/>
  <sheetViews>
    <sheetView workbookViewId="0">
      <selection activeCell="I3" sqref="I3"/>
    </sheetView>
  </sheetViews>
  <sheetFormatPr defaultColWidth="9" defaultRowHeight="13.5"/>
  <cols>
    <col min="1" max="1" width="9.875" style="57" customWidth="1"/>
    <col min="2" max="2" width="9.375" style="1" customWidth="1"/>
    <col min="3" max="3" width="10.625" style="1" customWidth="1"/>
    <col min="4" max="4" width="14.75" style="1" customWidth="1"/>
    <col min="5" max="5" width="16.75" style="1" customWidth="1"/>
    <col min="6" max="6" width="12.125" style="2" customWidth="1"/>
    <col min="7" max="7" width="22.375" style="1" customWidth="1"/>
    <col min="8" max="8" width="17.875" style="1" customWidth="1"/>
    <col min="9" max="9" width="17.75" style="1" customWidth="1"/>
    <col min="10" max="10" width="5.875" style="16" customWidth="1"/>
    <col min="11" max="11" width="17.375" style="16" customWidth="1"/>
    <col min="12" max="12" width="5.25" style="16" customWidth="1"/>
    <col min="13" max="13" width="5.375" style="16" customWidth="1"/>
    <col min="14" max="14" width="4.875" style="16" customWidth="1"/>
    <col min="15" max="21" width="9" style="16"/>
  </cols>
  <sheetData>
    <row r="1" customFormat="1" ht="24" customHeight="1" spans="1:16382">
      <c r="A1" s="88"/>
      <c r="B1" s="89" t="s">
        <v>256</v>
      </c>
      <c r="C1" s="90"/>
      <c r="D1" s="91"/>
      <c r="E1" s="92"/>
      <c r="F1" s="92"/>
      <c r="G1" s="92"/>
      <c r="H1" s="92"/>
      <c r="I1" s="91"/>
      <c r="J1" s="114"/>
      <c r="K1" s="115"/>
      <c r="L1" s="116"/>
      <c r="M1" s="116"/>
      <c r="N1" s="116"/>
      <c r="O1" s="96"/>
      <c r="P1" s="96"/>
      <c r="Q1" s="96"/>
      <c r="R1" s="96"/>
      <c r="S1" s="96"/>
      <c r="T1" s="96"/>
      <c r="U1" s="96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  <c r="AAA1" s="9"/>
      <c r="AAB1" s="9"/>
      <c r="AAC1" s="9"/>
      <c r="AAD1" s="9"/>
      <c r="AAE1" s="9"/>
      <c r="AAF1" s="9"/>
      <c r="AAG1" s="9"/>
      <c r="AAH1" s="9"/>
      <c r="AAI1" s="9"/>
      <c r="AAJ1" s="9"/>
      <c r="AAK1" s="9"/>
      <c r="AAL1" s="9"/>
      <c r="AAM1" s="9"/>
      <c r="AAN1" s="9"/>
      <c r="AAO1" s="9"/>
      <c r="AAP1" s="9"/>
      <c r="AAQ1" s="9"/>
      <c r="AAR1" s="9"/>
      <c r="AAS1" s="9"/>
      <c r="AAT1" s="9"/>
      <c r="AAU1" s="9"/>
      <c r="AAV1" s="9"/>
      <c r="AAW1" s="9"/>
      <c r="AAX1" s="9"/>
      <c r="AAY1" s="9"/>
      <c r="AAZ1" s="9"/>
      <c r="ABA1" s="9"/>
      <c r="ABB1" s="9"/>
      <c r="ABC1" s="9"/>
      <c r="ABD1" s="9"/>
      <c r="ABE1" s="9"/>
      <c r="ABF1" s="9"/>
      <c r="ABG1" s="9"/>
      <c r="ABH1" s="9"/>
      <c r="ABI1" s="9"/>
      <c r="ABJ1" s="9"/>
      <c r="ABK1" s="9"/>
      <c r="ABL1" s="9"/>
      <c r="ABM1" s="9"/>
      <c r="ABN1" s="9"/>
      <c r="ABO1" s="9"/>
      <c r="ABP1" s="9"/>
      <c r="ABQ1" s="9"/>
      <c r="ABR1" s="9"/>
      <c r="ABS1" s="9"/>
      <c r="ABT1" s="9"/>
      <c r="ABU1" s="9"/>
      <c r="ABV1" s="9"/>
      <c r="ABW1" s="9"/>
      <c r="ABX1" s="9"/>
      <c r="ABY1" s="9"/>
      <c r="ABZ1" s="9"/>
      <c r="ACA1" s="9"/>
      <c r="ACB1" s="9"/>
      <c r="ACC1" s="9"/>
      <c r="ACD1" s="9"/>
      <c r="ACE1" s="9"/>
      <c r="ACF1" s="9"/>
      <c r="ACG1" s="9"/>
      <c r="ACH1" s="9"/>
      <c r="ACI1" s="9"/>
      <c r="ACJ1" s="9"/>
      <c r="ACK1" s="9"/>
      <c r="ACL1" s="9"/>
      <c r="ACM1" s="9"/>
      <c r="ACN1" s="9"/>
      <c r="ACO1" s="9"/>
      <c r="ACP1" s="9"/>
      <c r="ACQ1" s="9"/>
      <c r="ACR1" s="9"/>
      <c r="ACS1" s="9"/>
      <c r="ACT1" s="9"/>
      <c r="ACU1" s="9"/>
      <c r="ACV1" s="9"/>
      <c r="ACW1" s="9"/>
      <c r="ACX1" s="9"/>
      <c r="ACY1" s="9"/>
      <c r="ACZ1" s="9"/>
      <c r="ADA1" s="9"/>
      <c r="ADB1" s="9"/>
      <c r="ADC1" s="9"/>
      <c r="ADD1" s="9"/>
      <c r="ADE1" s="9"/>
      <c r="ADF1" s="9"/>
      <c r="ADG1" s="9"/>
      <c r="ADH1" s="9"/>
      <c r="ADI1" s="9"/>
      <c r="ADJ1" s="9"/>
      <c r="ADK1" s="9"/>
      <c r="ADL1" s="9"/>
      <c r="ADM1" s="9"/>
      <c r="ADN1" s="9"/>
      <c r="ADO1" s="9"/>
      <c r="ADP1" s="9"/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9"/>
      <c r="AEH1" s="9"/>
      <c r="AEI1" s="9"/>
      <c r="AEJ1" s="9"/>
      <c r="AEK1" s="9"/>
      <c r="AEL1" s="9"/>
      <c r="AEM1" s="9"/>
      <c r="AEN1" s="9"/>
      <c r="AEO1" s="9"/>
      <c r="AEP1" s="9"/>
      <c r="AEQ1" s="9"/>
      <c r="AER1" s="9"/>
      <c r="AES1" s="9"/>
      <c r="AET1" s="9"/>
      <c r="AEU1" s="9"/>
      <c r="AEV1" s="9"/>
      <c r="AEW1" s="9"/>
      <c r="AEX1" s="9"/>
      <c r="AEY1" s="9"/>
      <c r="AEZ1" s="9"/>
      <c r="AFA1" s="9"/>
      <c r="AFB1" s="9"/>
      <c r="AFC1" s="9"/>
      <c r="AFD1" s="9"/>
      <c r="AFE1" s="9"/>
      <c r="AFF1" s="9"/>
      <c r="AFG1" s="9"/>
      <c r="AFH1" s="9"/>
      <c r="AFI1" s="9"/>
      <c r="AFJ1" s="9"/>
      <c r="AFK1" s="9"/>
      <c r="AFL1" s="9"/>
      <c r="AFM1" s="9"/>
      <c r="AFN1" s="9"/>
      <c r="AFO1" s="9"/>
      <c r="AFP1" s="9"/>
      <c r="AFQ1" s="9"/>
      <c r="AFR1" s="9"/>
      <c r="AFS1" s="9"/>
      <c r="AFT1" s="9"/>
      <c r="AFU1" s="9"/>
      <c r="AFV1" s="9"/>
      <c r="AFW1" s="9"/>
      <c r="AFX1" s="9"/>
      <c r="AFY1" s="9"/>
      <c r="AFZ1" s="9"/>
      <c r="AGA1" s="9"/>
      <c r="AGB1" s="9"/>
      <c r="AGC1" s="9"/>
      <c r="AGD1" s="9"/>
      <c r="AGE1" s="9"/>
      <c r="AGF1" s="9"/>
      <c r="AGG1" s="9"/>
      <c r="AGH1" s="9"/>
      <c r="AGI1" s="9"/>
      <c r="AGJ1" s="9"/>
      <c r="AGK1" s="9"/>
      <c r="AGL1" s="9"/>
      <c r="AGM1" s="9"/>
      <c r="AGN1" s="9"/>
      <c r="AGO1" s="9"/>
      <c r="AGP1" s="9"/>
      <c r="AGQ1" s="9"/>
      <c r="AGR1" s="9"/>
      <c r="AGS1" s="9"/>
      <c r="AGT1" s="9"/>
      <c r="AGU1" s="9"/>
      <c r="AGV1" s="9"/>
      <c r="AGW1" s="9"/>
      <c r="AGX1" s="9"/>
      <c r="AGY1" s="9"/>
      <c r="AGZ1" s="9"/>
      <c r="AHA1" s="9"/>
      <c r="AHB1" s="9"/>
      <c r="AHC1" s="9"/>
      <c r="AHD1" s="9"/>
      <c r="AHE1" s="9"/>
      <c r="AHF1" s="9"/>
      <c r="AHG1" s="9"/>
      <c r="AHH1" s="9"/>
      <c r="AHI1" s="9"/>
      <c r="AHJ1" s="9"/>
      <c r="AHK1" s="9"/>
      <c r="AHL1" s="9"/>
      <c r="AHM1" s="9"/>
      <c r="AHN1" s="9"/>
      <c r="AHO1" s="9"/>
      <c r="AHP1" s="9"/>
      <c r="AHQ1" s="9"/>
      <c r="AHR1" s="9"/>
      <c r="AHS1" s="9"/>
      <c r="AHT1" s="9"/>
      <c r="AHU1" s="9"/>
      <c r="AHV1" s="9"/>
      <c r="AHW1" s="9"/>
      <c r="AHX1" s="9"/>
      <c r="AHY1" s="9"/>
      <c r="AHZ1" s="9"/>
      <c r="AIA1" s="9"/>
      <c r="AIB1" s="9"/>
      <c r="AIC1" s="9"/>
      <c r="AID1" s="9"/>
      <c r="AIE1" s="9"/>
      <c r="AIF1" s="9"/>
      <c r="AIG1" s="9"/>
      <c r="AIH1" s="9"/>
      <c r="AII1" s="9"/>
      <c r="AIJ1" s="9"/>
      <c r="AIK1" s="9"/>
      <c r="AIL1" s="9"/>
      <c r="AIM1" s="9"/>
      <c r="AIN1" s="9"/>
      <c r="AIO1" s="9"/>
      <c r="AIP1" s="9"/>
      <c r="AIQ1" s="9"/>
      <c r="AIR1" s="9"/>
      <c r="AIS1" s="9"/>
      <c r="AIT1" s="9"/>
      <c r="AIU1" s="9"/>
      <c r="AIV1" s="9"/>
      <c r="AIW1" s="9"/>
      <c r="AIX1" s="9"/>
      <c r="AIY1" s="9"/>
      <c r="AIZ1" s="9"/>
      <c r="AJA1" s="9"/>
      <c r="AJB1" s="9"/>
      <c r="AJC1" s="9"/>
      <c r="AJD1" s="9"/>
      <c r="AJE1" s="9"/>
      <c r="AJF1" s="9"/>
      <c r="AJG1" s="9"/>
      <c r="AJH1" s="9"/>
      <c r="AJI1" s="9"/>
      <c r="AJJ1" s="9"/>
      <c r="AJK1" s="9"/>
      <c r="AJL1" s="9"/>
      <c r="AJM1" s="9"/>
      <c r="AJN1" s="9"/>
      <c r="AJO1" s="9"/>
      <c r="AJP1" s="9"/>
      <c r="AJQ1" s="9"/>
      <c r="AJR1" s="9"/>
      <c r="AJS1" s="9"/>
      <c r="AJT1" s="9"/>
      <c r="AJU1" s="9"/>
      <c r="AJV1" s="9"/>
      <c r="AJW1" s="9"/>
      <c r="AJX1" s="9"/>
      <c r="AJY1" s="9"/>
      <c r="AJZ1" s="9"/>
      <c r="AKA1" s="9"/>
      <c r="AKB1" s="9"/>
      <c r="AKC1" s="9"/>
      <c r="AKD1" s="9"/>
      <c r="AKE1" s="9"/>
      <c r="AKF1" s="9"/>
      <c r="AKG1" s="9"/>
      <c r="AKH1" s="9"/>
      <c r="AKI1" s="9"/>
      <c r="AKJ1" s="9"/>
      <c r="AKK1" s="9"/>
      <c r="AKL1" s="9"/>
      <c r="AKM1" s="9"/>
      <c r="AKN1" s="9"/>
      <c r="AKO1" s="9"/>
      <c r="AKP1" s="9"/>
      <c r="AKQ1" s="9"/>
      <c r="AKR1" s="9"/>
      <c r="AKS1" s="9"/>
      <c r="AKT1" s="9"/>
      <c r="AKU1" s="9"/>
      <c r="AKV1" s="9"/>
      <c r="AKW1" s="9"/>
      <c r="AKX1" s="9"/>
      <c r="AKY1" s="9"/>
      <c r="AKZ1" s="9"/>
      <c r="ALA1" s="9"/>
      <c r="ALB1" s="9"/>
      <c r="ALC1" s="9"/>
      <c r="ALD1" s="9"/>
      <c r="ALE1" s="9"/>
      <c r="ALF1" s="9"/>
      <c r="ALG1" s="9"/>
      <c r="ALH1" s="9"/>
      <c r="ALI1" s="9"/>
      <c r="ALJ1" s="9"/>
      <c r="ALK1" s="9"/>
      <c r="ALL1" s="9"/>
      <c r="ALM1" s="9"/>
      <c r="ALN1" s="9"/>
      <c r="ALO1" s="9"/>
      <c r="ALP1" s="9"/>
      <c r="ALQ1" s="9"/>
      <c r="ALR1" s="9"/>
      <c r="ALS1" s="9"/>
      <c r="ALT1" s="9"/>
      <c r="ALU1" s="9"/>
      <c r="ALV1" s="9"/>
      <c r="ALW1" s="9"/>
      <c r="ALX1" s="9"/>
      <c r="ALY1" s="9"/>
      <c r="ALZ1" s="9"/>
      <c r="AMA1" s="9"/>
      <c r="AMB1" s="9"/>
      <c r="AMC1" s="9"/>
      <c r="AMD1" s="9"/>
      <c r="AME1" s="9"/>
      <c r="AMF1" s="9"/>
      <c r="AMG1" s="9"/>
      <c r="AMH1" s="9"/>
      <c r="AMI1" s="9"/>
      <c r="AMJ1" s="9"/>
      <c r="AMK1" s="9"/>
      <c r="AML1" s="9"/>
      <c r="AMM1" s="9"/>
      <c r="AMN1" s="9"/>
      <c r="AMO1" s="9"/>
      <c r="AMP1" s="9"/>
      <c r="AMQ1" s="9"/>
      <c r="AMR1" s="9"/>
      <c r="AMS1" s="9"/>
      <c r="AMT1" s="9"/>
      <c r="AMU1" s="9"/>
      <c r="AMV1" s="9"/>
      <c r="AMW1" s="9"/>
      <c r="AMX1" s="9"/>
      <c r="AMY1" s="9"/>
      <c r="AMZ1" s="9"/>
      <c r="ANA1" s="9"/>
      <c r="ANB1" s="9"/>
      <c r="ANC1" s="9"/>
      <c r="AND1" s="9"/>
      <c r="ANE1" s="9"/>
      <c r="ANF1" s="9"/>
      <c r="ANG1" s="9"/>
      <c r="ANH1" s="9"/>
      <c r="ANI1" s="9"/>
      <c r="ANJ1" s="9"/>
      <c r="ANK1" s="9"/>
      <c r="ANL1" s="9"/>
      <c r="ANM1" s="9"/>
      <c r="ANN1" s="9"/>
      <c r="ANO1" s="9"/>
      <c r="ANP1" s="9"/>
      <c r="ANQ1" s="9"/>
      <c r="ANR1" s="9"/>
      <c r="ANS1" s="9"/>
      <c r="ANT1" s="9"/>
      <c r="ANU1" s="9"/>
      <c r="ANV1" s="9"/>
      <c r="ANW1" s="9"/>
      <c r="ANX1" s="9"/>
      <c r="ANY1" s="9"/>
      <c r="ANZ1" s="9"/>
      <c r="AOA1" s="9"/>
      <c r="AOB1" s="9"/>
      <c r="AOC1" s="9"/>
      <c r="AOD1" s="9"/>
      <c r="AOE1" s="9"/>
      <c r="AOF1" s="9"/>
      <c r="AOG1" s="9"/>
      <c r="AOH1" s="9"/>
      <c r="AOI1" s="9"/>
      <c r="AOJ1" s="9"/>
      <c r="AOK1" s="9"/>
      <c r="AOL1" s="9"/>
      <c r="AOM1" s="9"/>
      <c r="AON1" s="9"/>
      <c r="AOO1" s="9"/>
      <c r="AOP1" s="9"/>
      <c r="AOQ1" s="9"/>
      <c r="AOR1" s="9"/>
      <c r="AOS1" s="9"/>
      <c r="AOT1" s="9"/>
      <c r="AOU1" s="9"/>
      <c r="AOV1" s="9"/>
      <c r="AOW1" s="9"/>
      <c r="AOX1" s="9"/>
      <c r="AOY1" s="9"/>
      <c r="AOZ1" s="9"/>
      <c r="APA1" s="9"/>
      <c r="APB1" s="9"/>
      <c r="APC1" s="9"/>
      <c r="APD1" s="9"/>
      <c r="APE1" s="9"/>
      <c r="APF1" s="9"/>
      <c r="APG1" s="9"/>
      <c r="APH1" s="9"/>
      <c r="API1" s="9"/>
      <c r="APJ1" s="9"/>
      <c r="APK1" s="9"/>
      <c r="APL1" s="9"/>
      <c r="APM1" s="9"/>
      <c r="APN1" s="9"/>
      <c r="APO1" s="9"/>
      <c r="APP1" s="9"/>
      <c r="APQ1" s="9"/>
      <c r="APR1" s="9"/>
      <c r="APS1" s="9"/>
      <c r="APT1" s="9"/>
      <c r="APU1" s="9"/>
      <c r="APV1" s="9"/>
      <c r="APW1" s="9"/>
      <c r="APX1" s="9"/>
      <c r="APY1" s="9"/>
      <c r="APZ1" s="9"/>
      <c r="AQA1" s="9"/>
      <c r="AQB1" s="9"/>
      <c r="AQC1" s="9"/>
      <c r="AQD1" s="9"/>
      <c r="AQE1" s="9"/>
      <c r="AQF1" s="9"/>
      <c r="AQG1" s="9"/>
      <c r="AQH1" s="9"/>
      <c r="AQI1" s="9"/>
      <c r="AQJ1" s="9"/>
      <c r="AQK1" s="9"/>
      <c r="AQL1" s="9"/>
      <c r="AQM1" s="9"/>
      <c r="AQN1" s="9"/>
      <c r="AQO1" s="9"/>
      <c r="AQP1" s="9"/>
      <c r="AQQ1" s="9"/>
      <c r="AQR1" s="9"/>
      <c r="AQS1" s="9"/>
      <c r="AQT1" s="9"/>
      <c r="AQU1" s="9"/>
      <c r="AQV1" s="9"/>
      <c r="AQW1" s="9"/>
      <c r="AQX1" s="9"/>
      <c r="AQY1" s="9"/>
      <c r="AQZ1" s="9"/>
      <c r="ARA1" s="9"/>
      <c r="ARB1" s="9"/>
      <c r="ARC1" s="9"/>
      <c r="ARD1" s="9"/>
      <c r="ARE1" s="9"/>
      <c r="ARF1" s="9"/>
      <c r="ARG1" s="9"/>
      <c r="ARH1" s="9"/>
      <c r="ARI1" s="9"/>
      <c r="ARJ1" s="9"/>
      <c r="ARK1" s="9"/>
      <c r="ARL1" s="9"/>
      <c r="ARM1" s="9"/>
      <c r="ARN1" s="9"/>
      <c r="ARO1" s="9"/>
      <c r="ARP1" s="9"/>
      <c r="ARQ1" s="9"/>
      <c r="ARR1" s="9"/>
      <c r="ARS1" s="9"/>
      <c r="ART1" s="9"/>
      <c r="ARU1" s="9"/>
      <c r="ARV1" s="9"/>
      <c r="ARW1" s="9"/>
      <c r="ARX1" s="9"/>
      <c r="ARY1" s="9"/>
      <c r="ARZ1" s="9"/>
      <c r="ASA1" s="9"/>
      <c r="ASB1" s="9"/>
      <c r="ASC1" s="9"/>
      <c r="ASD1" s="9"/>
      <c r="ASE1" s="9"/>
      <c r="ASF1" s="9"/>
      <c r="ASG1" s="9"/>
      <c r="ASH1" s="9"/>
      <c r="ASI1" s="9"/>
      <c r="ASJ1" s="9"/>
      <c r="ASK1" s="9"/>
      <c r="ASL1" s="9"/>
      <c r="ASM1" s="9"/>
      <c r="ASN1" s="9"/>
      <c r="ASO1" s="9"/>
      <c r="ASP1" s="9"/>
      <c r="ASQ1" s="9"/>
      <c r="ASR1" s="9"/>
      <c r="ASS1" s="9"/>
      <c r="AST1" s="9"/>
      <c r="ASU1" s="9"/>
      <c r="ASV1" s="9"/>
      <c r="ASW1" s="9"/>
      <c r="ASX1" s="9"/>
      <c r="ASY1" s="9"/>
      <c r="ASZ1" s="9"/>
      <c r="ATA1" s="9"/>
      <c r="ATB1" s="9"/>
      <c r="ATC1" s="9"/>
      <c r="ATD1" s="9"/>
      <c r="ATE1" s="9"/>
      <c r="ATF1" s="9"/>
      <c r="ATG1" s="9"/>
      <c r="ATH1" s="9"/>
      <c r="ATI1" s="9"/>
      <c r="ATJ1" s="9"/>
      <c r="ATK1" s="9"/>
      <c r="ATL1" s="9"/>
      <c r="ATM1" s="9"/>
      <c r="ATN1" s="9"/>
      <c r="ATO1" s="9"/>
      <c r="ATP1" s="9"/>
      <c r="ATQ1" s="9"/>
      <c r="ATR1" s="9"/>
      <c r="ATS1" s="9"/>
      <c r="ATT1" s="9"/>
      <c r="ATU1" s="9"/>
      <c r="ATV1" s="9"/>
      <c r="ATW1" s="9"/>
      <c r="ATX1" s="9"/>
      <c r="ATY1" s="9"/>
      <c r="ATZ1" s="9"/>
      <c r="AUA1" s="9"/>
      <c r="AUB1" s="9"/>
      <c r="AUC1" s="9"/>
      <c r="AUD1" s="9"/>
      <c r="AUE1" s="9"/>
      <c r="AUF1" s="9"/>
      <c r="AUG1" s="9"/>
      <c r="AUH1" s="9"/>
      <c r="AUI1" s="9"/>
      <c r="AUJ1" s="9"/>
      <c r="AUK1" s="9"/>
      <c r="AUL1" s="9"/>
      <c r="AUM1" s="9"/>
      <c r="AUN1" s="9"/>
      <c r="AUO1" s="9"/>
      <c r="AUP1" s="9"/>
      <c r="AUQ1" s="9"/>
      <c r="AUR1" s="9"/>
      <c r="AUS1" s="9"/>
      <c r="AUT1" s="9"/>
      <c r="AUU1" s="9"/>
      <c r="AUV1" s="9"/>
      <c r="AUW1" s="9"/>
      <c r="AUX1" s="9"/>
      <c r="AUY1" s="9"/>
      <c r="AUZ1" s="9"/>
      <c r="AVA1" s="9"/>
      <c r="AVB1" s="9"/>
      <c r="AVC1" s="9"/>
      <c r="AVD1" s="9"/>
      <c r="AVE1" s="9"/>
      <c r="AVF1" s="9"/>
      <c r="AVG1" s="9"/>
      <c r="AVH1" s="9"/>
      <c r="AVI1" s="9"/>
      <c r="AVJ1" s="9"/>
      <c r="AVK1" s="9"/>
      <c r="AVL1" s="9"/>
      <c r="AVM1" s="9"/>
      <c r="AVN1" s="9"/>
      <c r="AVO1" s="9"/>
      <c r="AVP1" s="9"/>
      <c r="AVQ1" s="9"/>
      <c r="AVR1" s="9"/>
      <c r="AVS1" s="9"/>
      <c r="AVT1" s="9"/>
      <c r="AVU1" s="9"/>
      <c r="AVV1" s="9"/>
      <c r="AVW1" s="9"/>
      <c r="AVX1" s="9"/>
      <c r="AVY1" s="9"/>
      <c r="AVZ1" s="9"/>
      <c r="AWA1" s="9"/>
      <c r="AWB1" s="9"/>
      <c r="AWC1" s="9"/>
      <c r="AWD1" s="9"/>
      <c r="AWE1" s="9"/>
      <c r="AWF1" s="9"/>
      <c r="AWG1" s="9"/>
      <c r="AWH1" s="9"/>
      <c r="AWI1" s="9"/>
      <c r="AWJ1" s="9"/>
      <c r="AWK1" s="9"/>
      <c r="AWL1" s="9"/>
      <c r="AWM1" s="9"/>
      <c r="AWN1" s="9"/>
      <c r="AWO1" s="9"/>
      <c r="AWP1" s="9"/>
      <c r="AWQ1" s="9"/>
      <c r="AWR1" s="9"/>
      <c r="AWS1" s="9"/>
      <c r="AWT1" s="9"/>
      <c r="AWU1" s="9"/>
      <c r="AWV1" s="9"/>
      <c r="AWW1" s="9"/>
      <c r="AWX1" s="9"/>
      <c r="AWY1" s="9"/>
      <c r="AWZ1" s="9"/>
      <c r="AXA1" s="9"/>
      <c r="AXB1" s="9"/>
      <c r="AXC1" s="9"/>
      <c r="AXD1" s="9"/>
      <c r="AXE1" s="9"/>
      <c r="AXF1" s="9"/>
      <c r="AXG1" s="9"/>
      <c r="AXH1" s="9"/>
      <c r="AXI1" s="9"/>
      <c r="AXJ1" s="9"/>
      <c r="AXK1" s="9"/>
      <c r="AXL1" s="9"/>
      <c r="AXM1" s="9"/>
      <c r="AXN1" s="9"/>
      <c r="AXO1" s="9"/>
      <c r="AXP1" s="9"/>
      <c r="AXQ1" s="9"/>
      <c r="AXR1" s="9"/>
      <c r="AXS1" s="9"/>
      <c r="AXT1" s="9"/>
      <c r="AXU1" s="9"/>
      <c r="AXV1" s="9"/>
      <c r="AXW1" s="9"/>
      <c r="AXX1" s="9"/>
      <c r="AXY1" s="9"/>
      <c r="AXZ1" s="9"/>
      <c r="AYA1" s="9"/>
      <c r="AYB1" s="9"/>
      <c r="AYC1" s="9"/>
      <c r="AYD1" s="9"/>
      <c r="AYE1" s="9"/>
      <c r="AYF1" s="9"/>
      <c r="AYG1" s="9"/>
      <c r="AYH1" s="9"/>
      <c r="AYI1" s="9"/>
      <c r="AYJ1" s="9"/>
      <c r="AYK1" s="9"/>
      <c r="AYL1" s="9"/>
      <c r="AYM1" s="9"/>
      <c r="AYN1" s="9"/>
      <c r="AYO1" s="9"/>
      <c r="AYP1" s="9"/>
      <c r="AYQ1" s="9"/>
      <c r="AYR1" s="9"/>
      <c r="AYS1" s="9"/>
      <c r="AYT1" s="9"/>
      <c r="AYU1" s="9"/>
      <c r="AYV1" s="9"/>
      <c r="AYW1" s="9"/>
      <c r="AYX1" s="9"/>
      <c r="AYY1" s="9"/>
      <c r="AYZ1" s="9"/>
      <c r="AZA1" s="9"/>
      <c r="AZB1" s="9"/>
      <c r="AZC1" s="9"/>
      <c r="AZD1" s="9"/>
      <c r="AZE1" s="9"/>
      <c r="AZF1" s="9"/>
      <c r="AZG1" s="9"/>
      <c r="AZH1" s="9"/>
      <c r="AZI1" s="9"/>
      <c r="AZJ1" s="9"/>
      <c r="AZK1" s="9"/>
      <c r="AZL1" s="9"/>
      <c r="AZM1" s="9"/>
      <c r="AZN1" s="9"/>
      <c r="AZO1" s="9"/>
      <c r="AZP1" s="9"/>
      <c r="AZQ1" s="9"/>
      <c r="AZR1" s="9"/>
      <c r="AZS1" s="9"/>
      <c r="AZT1" s="9"/>
      <c r="AZU1" s="9"/>
      <c r="AZV1" s="9"/>
      <c r="AZW1" s="9"/>
      <c r="AZX1" s="9"/>
      <c r="AZY1" s="9"/>
      <c r="AZZ1" s="9"/>
      <c r="BAA1" s="9"/>
      <c r="BAB1" s="9"/>
      <c r="BAC1" s="9"/>
      <c r="BAD1" s="9"/>
      <c r="BAE1" s="9"/>
      <c r="BAF1" s="9"/>
      <c r="BAG1" s="9"/>
      <c r="BAH1" s="9"/>
      <c r="BAI1" s="9"/>
      <c r="BAJ1" s="9"/>
      <c r="BAK1" s="9"/>
      <c r="BAL1" s="9"/>
      <c r="BAM1" s="9"/>
      <c r="BAN1" s="9"/>
      <c r="BAO1" s="9"/>
      <c r="BAP1" s="9"/>
      <c r="BAQ1" s="9"/>
      <c r="BAR1" s="9"/>
      <c r="BAS1" s="9"/>
      <c r="BAT1" s="9"/>
      <c r="BAU1" s="9"/>
      <c r="BAV1" s="9"/>
      <c r="BAW1" s="9"/>
      <c r="BAX1" s="9"/>
      <c r="BAY1" s="9"/>
      <c r="BAZ1" s="9"/>
      <c r="BBA1" s="9"/>
      <c r="BBB1" s="9"/>
      <c r="BBC1" s="9"/>
      <c r="BBD1" s="9"/>
      <c r="BBE1" s="9"/>
      <c r="BBF1" s="9"/>
      <c r="BBG1" s="9"/>
      <c r="BBH1" s="9"/>
      <c r="BBI1" s="9"/>
      <c r="BBJ1" s="9"/>
      <c r="BBK1" s="9"/>
      <c r="BBL1" s="9"/>
      <c r="BBM1" s="9"/>
      <c r="BBN1" s="9"/>
      <c r="BBO1" s="9"/>
      <c r="BBP1" s="9"/>
      <c r="BBQ1" s="9"/>
      <c r="BBR1" s="9"/>
      <c r="BBS1" s="9"/>
      <c r="BBT1" s="9"/>
      <c r="BBU1" s="9"/>
      <c r="BBV1" s="9"/>
      <c r="BBW1" s="9"/>
      <c r="BBX1" s="9"/>
      <c r="BBY1" s="9"/>
      <c r="BBZ1" s="9"/>
      <c r="BCA1" s="9"/>
      <c r="BCB1" s="9"/>
      <c r="BCC1" s="9"/>
      <c r="BCD1" s="9"/>
      <c r="BCE1" s="9"/>
      <c r="BCF1" s="9"/>
      <c r="BCG1" s="9"/>
      <c r="BCH1" s="9"/>
      <c r="BCI1" s="9"/>
      <c r="BCJ1" s="9"/>
      <c r="BCK1" s="9"/>
      <c r="BCL1" s="9"/>
      <c r="BCM1" s="9"/>
      <c r="BCN1" s="9"/>
      <c r="BCO1" s="9"/>
      <c r="BCP1" s="9"/>
      <c r="BCQ1" s="9"/>
      <c r="BCR1" s="9"/>
      <c r="BCS1" s="9"/>
      <c r="BCT1" s="9"/>
      <c r="BCU1" s="9"/>
      <c r="BCV1" s="9"/>
      <c r="BCW1" s="9"/>
      <c r="BCX1" s="9"/>
      <c r="BCY1" s="9"/>
      <c r="BCZ1" s="9"/>
      <c r="BDA1" s="9"/>
      <c r="BDB1" s="9"/>
      <c r="BDC1" s="9"/>
      <c r="BDD1" s="9"/>
      <c r="BDE1" s="9"/>
      <c r="BDF1" s="9"/>
      <c r="BDG1" s="9"/>
      <c r="BDH1" s="9"/>
      <c r="BDI1" s="9"/>
      <c r="BDJ1" s="9"/>
      <c r="BDK1" s="9"/>
      <c r="BDL1" s="9"/>
      <c r="BDM1" s="9"/>
      <c r="BDN1" s="9"/>
      <c r="BDO1" s="9"/>
      <c r="BDP1" s="9"/>
      <c r="BDQ1" s="9"/>
      <c r="BDR1" s="9"/>
      <c r="BDS1" s="9"/>
      <c r="BDT1" s="9"/>
      <c r="BDU1" s="9"/>
      <c r="BDV1" s="9"/>
      <c r="BDW1" s="9"/>
      <c r="BDX1" s="9"/>
      <c r="BDY1" s="9"/>
      <c r="BDZ1" s="9"/>
      <c r="BEA1" s="9"/>
      <c r="BEB1" s="9"/>
      <c r="BEC1" s="9"/>
      <c r="BED1" s="9"/>
      <c r="BEE1" s="9"/>
      <c r="BEF1" s="9"/>
      <c r="BEG1" s="9"/>
      <c r="BEH1" s="9"/>
      <c r="BEI1" s="9"/>
      <c r="BEJ1" s="9"/>
      <c r="BEK1" s="9"/>
      <c r="BEL1" s="9"/>
      <c r="BEM1" s="9"/>
      <c r="BEN1" s="9"/>
      <c r="BEO1" s="9"/>
      <c r="BEP1" s="9"/>
      <c r="BEQ1" s="9"/>
      <c r="BER1" s="9"/>
      <c r="BES1" s="9"/>
      <c r="BET1" s="9"/>
      <c r="BEU1" s="9"/>
      <c r="BEV1" s="9"/>
      <c r="BEW1" s="9"/>
      <c r="BEX1" s="9"/>
      <c r="BEY1" s="9"/>
      <c r="BEZ1" s="9"/>
      <c r="BFA1" s="9"/>
      <c r="BFB1" s="9"/>
      <c r="BFC1" s="9"/>
      <c r="BFD1" s="9"/>
      <c r="BFE1" s="9"/>
      <c r="BFF1" s="9"/>
      <c r="BFG1" s="9"/>
      <c r="BFH1" s="9"/>
      <c r="BFI1" s="9"/>
      <c r="BFJ1" s="9"/>
      <c r="BFK1" s="9"/>
      <c r="BFL1" s="9"/>
      <c r="BFM1" s="9"/>
      <c r="BFN1" s="9"/>
      <c r="BFO1" s="9"/>
      <c r="BFP1" s="9"/>
      <c r="BFQ1" s="9"/>
      <c r="BFR1" s="9"/>
      <c r="BFS1" s="9"/>
      <c r="BFT1" s="9"/>
      <c r="BFU1" s="9"/>
      <c r="BFV1" s="9"/>
      <c r="BFW1" s="9"/>
      <c r="BFX1" s="9"/>
      <c r="BFY1" s="9"/>
      <c r="BFZ1" s="9"/>
      <c r="BGA1" s="9"/>
      <c r="BGB1" s="9"/>
      <c r="BGC1" s="9"/>
      <c r="BGD1" s="9"/>
      <c r="BGE1" s="9"/>
      <c r="BGF1" s="9"/>
      <c r="BGG1" s="9"/>
      <c r="BGH1" s="9"/>
      <c r="BGI1" s="9"/>
      <c r="BGJ1" s="9"/>
      <c r="BGK1" s="9"/>
      <c r="BGL1" s="9"/>
      <c r="BGM1" s="9"/>
      <c r="BGN1" s="9"/>
      <c r="BGO1" s="9"/>
      <c r="BGP1" s="9"/>
      <c r="BGQ1" s="9"/>
      <c r="BGR1" s="9"/>
      <c r="BGS1" s="9"/>
      <c r="BGT1" s="9"/>
      <c r="BGU1" s="9"/>
      <c r="BGV1" s="9"/>
      <c r="BGW1" s="9"/>
      <c r="BGX1" s="9"/>
      <c r="BGY1" s="9"/>
      <c r="BGZ1" s="9"/>
      <c r="BHA1" s="9"/>
      <c r="BHB1" s="9"/>
      <c r="BHC1" s="9"/>
      <c r="BHD1" s="9"/>
      <c r="BHE1" s="9"/>
      <c r="BHF1" s="9"/>
      <c r="BHG1" s="9"/>
      <c r="BHH1" s="9"/>
      <c r="BHI1" s="9"/>
      <c r="BHJ1" s="9"/>
      <c r="BHK1" s="9"/>
      <c r="BHL1" s="9"/>
      <c r="BHM1" s="9"/>
      <c r="BHN1" s="9"/>
      <c r="BHO1" s="9"/>
      <c r="BHP1" s="9"/>
      <c r="BHQ1" s="9"/>
      <c r="BHR1" s="9"/>
      <c r="BHS1" s="9"/>
      <c r="BHT1" s="9"/>
      <c r="BHU1" s="9"/>
      <c r="BHV1" s="9"/>
      <c r="BHW1" s="9"/>
      <c r="BHX1" s="9"/>
      <c r="BHY1" s="9"/>
      <c r="BHZ1" s="9"/>
      <c r="BIA1" s="9"/>
      <c r="BIB1" s="9"/>
      <c r="BIC1" s="9"/>
      <c r="BID1" s="9"/>
      <c r="BIE1" s="9"/>
      <c r="BIF1" s="9"/>
      <c r="BIG1" s="9"/>
      <c r="BIH1" s="9"/>
      <c r="BII1" s="9"/>
      <c r="BIJ1" s="9"/>
      <c r="BIK1" s="9"/>
      <c r="BIL1" s="9"/>
      <c r="BIM1" s="9"/>
      <c r="BIN1" s="9"/>
      <c r="BIO1" s="9"/>
      <c r="BIP1" s="9"/>
      <c r="BIQ1" s="9"/>
      <c r="BIR1" s="9"/>
      <c r="BIS1" s="9"/>
      <c r="BIT1" s="9"/>
      <c r="BIU1" s="9"/>
      <c r="BIV1" s="9"/>
      <c r="BIW1" s="9"/>
      <c r="BIX1" s="9"/>
      <c r="BIY1" s="9"/>
      <c r="BIZ1" s="9"/>
      <c r="BJA1" s="9"/>
      <c r="BJB1" s="9"/>
      <c r="BJC1" s="9"/>
      <c r="BJD1" s="9"/>
      <c r="BJE1" s="9"/>
      <c r="BJF1" s="9"/>
      <c r="BJG1" s="9"/>
      <c r="BJH1" s="9"/>
      <c r="BJI1" s="9"/>
      <c r="BJJ1" s="9"/>
      <c r="BJK1" s="9"/>
      <c r="BJL1" s="9"/>
      <c r="BJM1" s="9"/>
      <c r="BJN1" s="9"/>
      <c r="BJO1" s="9"/>
      <c r="BJP1" s="9"/>
      <c r="BJQ1" s="9"/>
      <c r="BJR1" s="9"/>
      <c r="BJS1" s="9"/>
      <c r="BJT1" s="9"/>
      <c r="BJU1" s="9"/>
      <c r="BJV1" s="9"/>
      <c r="BJW1" s="9"/>
      <c r="BJX1" s="9"/>
      <c r="BJY1" s="9"/>
      <c r="BJZ1" s="9"/>
      <c r="BKA1" s="9"/>
      <c r="BKB1" s="9"/>
      <c r="BKC1" s="9"/>
      <c r="BKD1" s="9"/>
      <c r="BKE1" s="9"/>
      <c r="BKF1" s="9"/>
      <c r="BKG1" s="9"/>
      <c r="BKH1" s="9"/>
      <c r="BKI1" s="9"/>
      <c r="BKJ1" s="9"/>
      <c r="BKK1" s="9"/>
      <c r="BKL1" s="9"/>
      <c r="BKM1" s="9"/>
      <c r="BKN1" s="9"/>
      <c r="BKO1" s="9"/>
      <c r="BKP1" s="9"/>
      <c r="BKQ1" s="9"/>
      <c r="BKR1" s="9"/>
      <c r="BKS1" s="9"/>
      <c r="BKT1" s="9"/>
      <c r="BKU1" s="9"/>
      <c r="BKV1" s="9"/>
      <c r="BKW1" s="9"/>
      <c r="BKX1" s="9"/>
      <c r="BKY1" s="9"/>
      <c r="BKZ1" s="9"/>
      <c r="BLA1" s="9"/>
      <c r="BLB1" s="9"/>
      <c r="BLC1" s="9"/>
      <c r="BLD1" s="9"/>
      <c r="BLE1" s="9"/>
      <c r="BLF1" s="9"/>
      <c r="BLG1" s="9"/>
      <c r="BLH1" s="9"/>
      <c r="BLI1" s="9"/>
      <c r="BLJ1" s="9"/>
      <c r="BLK1" s="9"/>
      <c r="BLL1" s="9"/>
      <c r="BLM1" s="9"/>
      <c r="BLN1" s="9"/>
      <c r="BLO1" s="9"/>
      <c r="BLP1" s="9"/>
      <c r="BLQ1" s="9"/>
      <c r="BLR1" s="9"/>
      <c r="BLS1" s="9"/>
      <c r="BLT1" s="9"/>
      <c r="BLU1" s="9"/>
      <c r="BLV1" s="9"/>
      <c r="BLW1" s="9"/>
      <c r="BLX1" s="9"/>
      <c r="BLY1" s="9"/>
      <c r="BLZ1" s="9"/>
      <c r="BMA1" s="9"/>
      <c r="BMB1" s="9"/>
      <c r="BMC1" s="9"/>
      <c r="BMD1" s="9"/>
      <c r="BME1" s="9"/>
      <c r="BMF1" s="9"/>
      <c r="BMG1" s="9"/>
      <c r="BMH1" s="9"/>
      <c r="BMI1" s="9"/>
      <c r="BMJ1" s="9"/>
      <c r="BMK1" s="9"/>
      <c r="BML1" s="9"/>
      <c r="BMM1" s="9"/>
      <c r="BMN1" s="9"/>
      <c r="BMO1" s="9"/>
      <c r="BMP1" s="9"/>
      <c r="BMQ1" s="9"/>
      <c r="BMR1" s="9"/>
      <c r="BMS1" s="9"/>
      <c r="BMT1" s="9"/>
      <c r="BMU1" s="9"/>
      <c r="BMV1" s="9"/>
      <c r="BMW1" s="9"/>
      <c r="BMX1" s="9"/>
      <c r="BMY1" s="9"/>
      <c r="BMZ1" s="9"/>
      <c r="BNA1" s="9"/>
      <c r="BNB1" s="9"/>
      <c r="BNC1" s="9"/>
      <c r="BND1" s="9"/>
      <c r="BNE1" s="9"/>
      <c r="BNF1" s="9"/>
      <c r="BNG1" s="9"/>
      <c r="BNH1" s="9"/>
      <c r="BNI1" s="9"/>
      <c r="BNJ1" s="9"/>
      <c r="BNK1" s="9"/>
      <c r="BNL1" s="9"/>
      <c r="BNM1" s="9"/>
      <c r="BNN1" s="9"/>
      <c r="BNO1" s="9"/>
      <c r="BNP1" s="9"/>
      <c r="BNQ1" s="9"/>
      <c r="BNR1" s="9"/>
      <c r="BNS1" s="9"/>
      <c r="BNT1" s="9"/>
      <c r="BNU1" s="9"/>
      <c r="BNV1" s="9"/>
      <c r="BNW1" s="9"/>
      <c r="BNX1" s="9"/>
      <c r="BNY1" s="9"/>
      <c r="BNZ1" s="9"/>
      <c r="BOA1" s="9"/>
      <c r="BOB1" s="9"/>
      <c r="BOC1" s="9"/>
      <c r="BOD1" s="9"/>
      <c r="BOE1" s="9"/>
      <c r="BOF1" s="9"/>
      <c r="BOG1" s="9"/>
      <c r="BOH1" s="9"/>
      <c r="BOI1" s="9"/>
      <c r="BOJ1" s="9"/>
      <c r="BOK1" s="9"/>
      <c r="BOL1" s="9"/>
      <c r="BOM1" s="9"/>
      <c r="BON1" s="9"/>
      <c r="BOO1" s="9"/>
      <c r="BOP1" s="9"/>
      <c r="BOQ1" s="9"/>
      <c r="BOR1" s="9"/>
      <c r="BOS1" s="9"/>
      <c r="BOT1" s="9"/>
      <c r="BOU1" s="9"/>
      <c r="BOV1" s="9"/>
      <c r="BOW1" s="9"/>
      <c r="BOX1" s="9"/>
      <c r="BOY1" s="9"/>
      <c r="BOZ1" s="9"/>
      <c r="BPA1" s="9"/>
      <c r="BPB1" s="9"/>
      <c r="BPC1" s="9"/>
      <c r="BPD1" s="9"/>
      <c r="BPE1" s="9"/>
      <c r="BPF1" s="9"/>
      <c r="BPG1" s="9"/>
      <c r="BPH1" s="9"/>
      <c r="BPI1" s="9"/>
      <c r="BPJ1" s="9"/>
      <c r="BPK1" s="9"/>
      <c r="BPL1" s="9"/>
      <c r="BPM1" s="9"/>
      <c r="BPN1" s="9"/>
      <c r="BPO1" s="9"/>
      <c r="BPP1" s="9"/>
      <c r="BPQ1" s="9"/>
      <c r="BPR1" s="9"/>
      <c r="BPS1" s="9"/>
      <c r="BPT1" s="9"/>
      <c r="BPU1" s="9"/>
      <c r="BPV1" s="9"/>
      <c r="BPW1" s="9"/>
      <c r="BPX1" s="9"/>
      <c r="BPY1" s="9"/>
      <c r="BPZ1" s="9"/>
      <c r="BQA1" s="9"/>
      <c r="BQB1" s="9"/>
      <c r="BQC1" s="9"/>
      <c r="BQD1" s="9"/>
      <c r="BQE1" s="9"/>
      <c r="BQF1" s="9"/>
      <c r="BQG1" s="9"/>
      <c r="BQH1" s="9"/>
      <c r="BQI1" s="9"/>
      <c r="BQJ1" s="9"/>
      <c r="BQK1" s="9"/>
      <c r="BQL1" s="9"/>
      <c r="BQM1" s="9"/>
      <c r="BQN1" s="9"/>
      <c r="BQO1" s="9"/>
      <c r="BQP1" s="9"/>
      <c r="BQQ1" s="9"/>
      <c r="BQR1" s="9"/>
      <c r="BQS1" s="9"/>
      <c r="BQT1" s="9"/>
      <c r="BQU1" s="9"/>
      <c r="BQV1" s="9"/>
      <c r="BQW1" s="9"/>
      <c r="BQX1" s="9"/>
      <c r="BQY1" s="9"/>
      <c r="BQZ1" s="9"/>
      <c r="BRA1" s="9"/>
      <c r="BRB1" s="9"/>
      <c r="BRC1" s="9"/>
      <c r="BRD1" s="9"/>
      <c r="BRE1" s="9"/>
      <c r="BRF1" s="9"/>
      <c r="BRG1" s="9"/>
      <c r="BRH1" s="9"/>
      <c r="BRI1" s="9"/>
      <c r="BRJ1" s="9"/>
      <c r="BRK1" s="9"/>
      <c r="BRL1" s="9"/>
      <c r="BRM1" s="9"/>
      <c r="BRN1" s="9"/>
      <c r="BRO1" s="9"/>
      <c r="BRP1" s="9"/>
      <c r="BRQ1" s="9"/>
      <c r="BRR1" s="9"/>
      <c r="BRS1" s="9"/>
      <c r="BRT1" s="9"/>
      <c r="BRU1" s="9"/>
      <c r="BRV1" s="9"/>
      <c r="BRW1" s="9"/>
      <c r="BRX1" s="9"/>
      <c r="BRY1" s="9"/>
      <c r="BRZ1" s="9"/>
      <c r="BSA1" s="9"/>
      <c r="BSB1" s="9"/>
      <c r="BSC1" s="9"/>
      <c r="BSD1" s="9"/>
      <c r="BSE1" s="9"/>
      <c r="BSF1" s="9"/>
      <c r="BSG1" s="9"/>
      <c r="BSH1" s="9"/>
      <c r="BSI1" s="9"/>
      <c r="BSJ1" s="9"/>
      <c r="BSK1" s="9"/>
      <c r="BSL1" s="9"/>
      <c r="BSM1" s="9"/>
      <c r="BSN1" s="9"/>
      <c r="BSO1" s="9"/>
      <c r="BSP1" s="9"/>
      <c r="BSQ1" s="9"/>
      <c r="BSR1" s="9"/>
      <c r="BSS1" s="9"/>
      <c r="BST1" s="9"/>
      <c r="BSU1" s="9"/>
      <c r="BSV1" s="9"/>
      <c r="BSW1" s="9"/>
      <c r="BSX1" s="9"/>
      <c r="BSY1" s="9"/>
      <c r="BSZ1" s="9"/>
      <c r="BTA1" s="9"/>
      <c r="BTB1" s="9"/>
      <c r="BTC1" s="9"/>
      <c r="BTD1" s="9"/>
      <c r="BTE1" s="9"/>
      <c r="BTF1" s="9"/>
      <c r="BTG1" s="9"/>
      <c r="BTH1" s="9"/>
      <c r="BTI1" s="9"/>
      <c r="BTJ1" s="9"/>
      <c r="BTK1" s="9"/>
      <c r="BTL1" s="9"/>
      <c r="BTM1" s="9"/>
      <c r="BTN1" s="9"/>
      <c r="BTO1" s="9"/>
      <c r="BTP1" s="9"/>
      <c r="BTQ1" s="9"/>
      <c r="BTR1" s="9"/>
      <c r="BTS1" s="9"/>
      <c r="BTT1" s="9"/>
      <c r="BTU1" s="9"/>
      <c r="BTV1" s="9"/>
      <c r="BTW1" s="9"/>
      <c r="BTX1" s="9"/>
      <c r="BTY1" s="9"/>
      <c r="BTZ1" s="9"/>
      <c r="BUA1" s="9"/>
      <c r="BUB1" s="9"/>
      <c r="BUC1" s="9"/>
      <c r="BUD1" s="9"/>
      <c r="BUE1" s="9"/>
      <c r="BUF1" s="9"/>
      <c r="BUG1" s="9"/>
      <c r="BUH1" s="9"/>
      <c r="BUI1" s="9"/>
      <c r="BUJ1" s="9"/>
      <c r="BUK1" s="9"/>
      <c r="BUL1" s="9"/>
      <c r="BUM1" s="9"/>
      <c r="BUN1" s="9"/>
      <c r="BUO1" s="9"/>
      <c r="BUP1" s="9"/>
      <c r="BUQ1" s="9"/>
      <c r="BUR1" s="9"/>
      <c r="BUS1" s="9"/>
      <c r="BUT1" s="9"/>
      <c r="BUU1" s="9"/>
      <c r="BUV1" s="9"/>
      <c r="BUW1" s="9"/>
      <c r="BUX1" s="9"/>
      <c r="BUY1" s="9"/>
      <c r="BUZ1" s="9"/>
      <c r="BVA1" s="9"/>
      <c r="BVB1" s="9"/>
      <c r="BVC1" s="9"/>
      <c r="BVD1" s="9"/>
      <c r="BVE1" s="9"/>
      <c r="BVF1" s="9"/>
      <c r="BVG1" s="9"/>
      <c r="BVH1" s="9"/>
      <c r="BVI1" s="9"/>
      <c r="BVJ1" s="9"/>
      <c r="BVK1" s="9"/>
      <c r="BVL1" s="9"/>
      <c r="BVM1" s="9"/>
      <c r="BVN1" s="9"/>
      <c r="BVO1" s="9"/>
      <c r="BVP1" s="9"/>
      <c r="BVQ1" s="9"/>
      <c r="BVR1" s="9"/>
      <c r="BVS1" s="9"/>
      <c r="BVT1" s="9"/>
      <c r="BVU1" s="9"/>
      <c r="BVV1" s="9"/>
      <c r="BVW1" s="9"/>
      <c r="BVX1" s="9"/>
      <c r="BVY1" s="9"/>
      <c r="BVZ1" s="9"/>
      <c r="BWA1" s="9"/>
      <c r="BWB1" s="9"/>
      <c r="BWC1" s="9"/>
      <c r="BWD1" s="9"/>
      <c r="BWE1" s="9"/>
      <c r="BWF1" s="9"/>
      <c r="BWG1" s="9"/>
      <c r="BWH1" s="9"/>
      <c r="BWI1" s="9"/>
      <c r="BWJ1" s="9"/>
      <c r="BWK1" s="9"/>
      <c r="BWL1" s="9"/>
      <c r="BWM1" s="9"/>
      <c r="BWN1" s="9"/>
      <c r="BWO1" s="9"/>
      <c r="BWP1" s="9"/>
      <c r="BWQ1" s="9"/>
      <c r="BWR1" s="9"/>
      <c r="BWS1" s="9"/>
      <c r="BWT1" s="9"/>
      <c r="BWU1" s="9"/>
      <c r="BWV1" s="9"/>
      <c r="BWW1" s="9"/>
      <c r="BWX1" s="9"/>
      <c r="BWY1" s="9"/>
      <c r="BWZ1" s="9"/>
      <c r="BXA1" s="9"/>
      <c r="BXB1" s="9"/>
      <c r="BXC1" s="9"/>
      <c r="BXD1" s="9"/>
      <c r="BXE1" s="9"/>
      <c r="BXF1" s="9"/>
      <c r="BXG1" s="9"/>
      <c r="BXH1" s="9"/>
      <c r="BXI1" s="9"/>
      <c r="BXJ1" s="9"/>
      <c r="BXK1" s="9"/>
      <c r="BXL1" s="9"/>
      <c r="BXM1" s="9"/>
      <c r="BXN1" s="9"/>
      <c r="BXO1" s="9"/>
      <c r="BXP1" s="9"/>
      <c r="BXQ1" s="9"/>
      <c r="BXR1" s="9"/>
      <c r="BXS1" s="9"/>
      <c r="BXT1" s="9"/>
      <c r="BXU1" s="9"/>
      <c r="BXV1" s="9"/>
      <c r="BXW1" s="9"/>
      <c r="BXX1" s="9"/>
      <c r="BXY1" s="9"/>
      <c r="BXZ1" s="9"/>
      <c r="BYA1" s="9"/>
      <c r="BYB1" s="9"/>
      <c r="BYC1" s="9"/>
      <c r="BYD1" s="9"/>
      <c r="BYE1" s="9"/>
      <c r="BYF1" s="9"/>
      <c r="BYG1" s="9"/>
      <c r="BYH1" s="9"/>
      <c r="BYI1" s="9"/>
      <c r="BYJ1" s="9"/>
      <c r="BYK1" s="9"/>
      <c r="BYL1" s="9"/>
      <c r="BYM1" s="9"/>
      <c r="BYN1" s="9"/>
      <c r="BYO1" s="9"/>
      <c r="BYP1" s="9"/>
      <c r="BYQ1" s="9"/>
      <c r="BYR1" s="9"/>
      <c r="BYS1" s="9"/>
      <c r="BYT1" s="9"/>
      <c r="BYU1" s="9"/>
      <c r="BYV1" s="9"/>
      <c r="BYW1" s="9"/>
      <c r="BYX1" s="9"/>
      <c r="BYY1" s="9"/>
      <c r="BYZ1" s="9"/>
      <c r="BZA1" s="9"/>
      <c r="BZB1" s="9"/>
      <c r="BZC1" s="9"/>
      <c r="BZD1" s="9"/>
      <c r="BZE1" s="9"/>
      <c r="BZF1" s="9"/>
      <c r="BZG1" s="9"/>
      <c r="BZH1" s="9"/>
      <c r="BZI1" s="9"/>
      <c r="BZJ1" s="9"/>
      <c r="BZK1" s="9"/>
      <c r="BZL1" s="9"/>
      <c r="BZM1" s="9"/>
      <c r="BZN1" s="9"/>
      <c r="BZO1" s="9"/>
      <c r="BZP1" s="9"/>
      <c r="BZQ1" s="9"/>
      <c r="BZR1" s="9"/>
      <c r="BZS1" s="9"/>
      <c r="BZT1" s="9"/>
      <c r="BZU1" s="9"/>
      <c r="BZV1" s="9"/>
      <c r="BZW1" s="9"/>
      <c r="BZX1" s="9"/>
      <c r="BZY1" s="9"/>
      <c r="BZZ1" s="9"/>
      <c r="CAA1" s="9"/>
      <c r="CAB1" s="9"/>
      <c r="CAC1" s="9"/>
      <c r="CAD1" s="9"/>
      <c r="CAE1" s="9"/>
      <c r="CAF1" s="9"/>
      <c r="CAG1" s="9"/>
      <c r="CAH1" s="9"/>
      <c r="CAI1" s="9"/>
      <c r="CAJ1" s="9"/>
      <c r="CAK1" s="9"/>
      <c r="CAL1" s="9"/>
      <c r="CAM1" s="9"/>
      <c r="CAN1" s="9"/>
      <c r="CAO1" s="9"/>
      <c r="CAP1" s="9"/>
      <c r="CAQ1" s="9"/>
      <c r="CAR1" s="9"/>
      <c r="CAS1" s="9"/>
      <c r="CAT1" s="9"/>
      <c r="CAU1" s="9"/>
      <c r="CAV1" s="9"/>
      <c r="CAW1" s="9"/>
      <c r="CAX1" s="9"/>
      <c r="CAY1" s="9"/>
      <c r="CAZ1" s="9"/>
      <c r="CBA1" s="9"/>
      <c r="CBB1" s="9"/>
      <c r="CBC1" s="9"/>
      <c r="CBD1" s="9"/>
      <c r="CBE1" s="9"/>
      <c r="CBF1" s="9"/>
      <c r="CBG1" s="9"/>
      <c r="CBH1" s="9"/>
      <c r="CBI1" s="9"/>
      <c r="CBJ1" s="9"/>
      <c r="CBK1" s="9"/>
      <c r="CBL1" s="9"/>
      <c r="CBM1" s="9"/>
      <c r="CBN1" s="9"/>
      <c r="CBO1" s="9"/>
      <c r="CBP1" s="9"/>
      <c r="CBQ1" s="9"/>
      <c r="CBR1" s="9"/>
      <c r="CBS1" s="9"/>
      <c r="CBT1" s="9"/>
      <c r="CBU1" s="9"/>
      <c r="CBV1" s="9"/>
      <c r="CBW1" s="9"/>
      <c r="CBX1" s="9"/>
      <c r="CBY1" s="9"/>
      <c r="CBZ1" s="9"/>
      <c r="CCA1" s="9"/>
      <c r="CCB1" s="9"/>
      <c r="CCC1" s="9"/>
      <c r="CCD1" s="9"/>
      <c r="CCE1" s="9"/>
      <c r="CCF1" s="9"/>
      <c r="CCG1" s="9"/>
      <c r="CCH1" s="9"/>
      <c r="CCI1" s="9"/>
      <c r="CCJ1" s="9"/>
      <c r="CCK1" s="9"/>
      <c r="CCL1" s="9"/>
      <c r="CCM1" s="9"/>
      <c r="CCN1" s="9"/>
      <c r="CCO1" s="9"/>
      <c r="CCP1" s="9"/>
      <c r="CCQ1" s="9"/>
      <c r="CCR1" s="9"/>
      <c r="CCS1" s="9"/>
      <c r="CCT1" s="9"/>
      <c r="CCU1" s="9"/>
      <c r="CCV1" s="9"/>
      <c r="CCW1" s="9"/>
      <c r="CCX1" s="9"/>
      <c r="CCY1" s="9"/>
      <c r="CCZ1" s="9"/>
      <c r="CDA1" s="9"/>
      <c r="CDB1" s="9"/>
      <c r="CDC1" s="9"/>
      <c r="CDD1" s="9"/>
      <c r="CDE1" s="9"/>
      <c r="CDF1" s="9"/>
      <c r="CDG1" s="9"/>
      <c r="CDH1" s="9"/>
      <c r="CDI1" s="9"/>
      <c r="CDJ1" s="9"/>
      <c r="CDK1" s="9"/>
      <c r="CDL1" s="9"/>
      <c r="CDM1" s="9"/>
      <c r="CDN1" s="9"/>
      <c r="CDO1" s="9"/>
      <c r="CDP1" s="9"/>
      <c r="CDQ1" s="9"/>
      <c r="CDR1" s="9"/>
      <c r="CDS1" s="9"/>
      <c r="CDT1" s="9"/>
      <c r="CDU1" s="9"/>
      <c r="CDV1" s="9"/>
      <c r="CDW1" s="9"/>
      <c r="CDX1" s="9"/>
      <c r="CDY1" s="9"/>
      <c r="CDZ1" s="9"/>
      <c r="CEA1" s="9"/>
      <c r="CEB1" s="9"/>
      <c r="CEC1" s="9"/>
      <c r="CED1" s="9"/>
      <c r="CEE1" s="9"/>
      <c r="CEF1" s="9"/>
      <c r="CEG1" s="9"/>
      <c r="CEH1" s="9"/>
      <c r="CEI1" s="9"/>
      <c r="CEJ1" s="9"/>
      <c r="CEK1" s="9"/>
      <c r="CEL1" s="9"/>
      <c r="CEM1" s="9"/>
      <c r="CEN1" s="9"/>
      <c r="CEO1" s="9"/>
      <c r="CEP1" s="9"/>
      <c r="CEQ1" s="9"/>
      <c r="CER1" s="9"/>
      <c r="CES1" s="9"/>
      <c r="CET1" s="9"/>
      <c r="CEU1" s="9"/>
      <c r="CEV1" s="9"/>
      <c r="CEW1" s="9"/>
      <c r="CEX1" s="9"/>
      <c r="CEY1" s="9"/>
      <c r="CEZ1" s="9"/>
      <c r="CFA1" s="9"/>
      <c r="CFB1" s="9"/>
      <c r="CFC1" s="9"/>
      <c r="CFD1" s="9"/>
      <c r="CFE1" s="9"/>
      <c r="CFF1" s="9"/>
      <c r="CFG1" s="9"/>
      <c r="CFH1" s="9"/>
      <c r="CFI1" s="9"/>
      <c r="CFJ1" s="9"/>
      <c r="CFK1" s="9"/>
      <c r="CFL1" s="9"/>
      <c r="CFM1" s="9"/>
      <c r="CFN1" s="9"/>
      <c r="CFO1" s="9"/>
      <c r="CFP1" s="9"/>
      <c r="CFQ1" s="9"/>
      <c r="CFR1" s="9"/>
      <c r="CFS1" s="9"/>
      <c r="CFT1" s="9"/>
      <c r="CFU1" s="9"/>
      <c r="CFV1" s="9"/>
      <c r="CFW1" s="9"/>
      <c r="CFX1" s="9"/>
      <c r="CFY1" s="9"/>
      <c r="CFZ1" s="9"/>
      <c r="CGA1" s="9"/>
      <c r="CGB1" s="9"/>
      <c r="CGC1" s="9"/>
      <c r="CGD1" s="9"/>
      <c r="CGE1" s="9"/>
      <c r="CGF1" s="9"/>
      <c r="CGG1" s="9"/>
      <c r="CGH1" s="9"/>
      <c r="CGI1" s="9"/>
      <c r="CGJ1" s="9"/>
      <c r="CGK1" s="9"/>
      <c r="CGL1" s="9"/>
      <c r="CGM1" s="9"/>
      <c r="CGN1" s="9"/>
      <c r="CGO1" s="9"/>
      <c r="CGP1" s="9"/>
      <c r="CGQ1" s="9"/>
      <c r="CGR1" s="9"/>
      <c r="CGS1" s="9"/>
      <c r="CGT1" s="9"/>
      <c r="CGU1" s="9"/>
      <c r="CGV1" s="9"/>
      <c r="CGW1" s="9"/>
      <c r="CGX1" s="9"/>
      <c r="CGY1" s="9"/>
      <c r="CGZ1" s="9"/>
      <c r="CHA1" s="9"/>
      <c r="CHB1" s="9"/>
      <c r="CHC1" s="9"/>
      <c r="CHD1" s="9"/>
      <c r="CHE1" s="9"/>
      <c r="CHF1" s="9"/>
      <c r="CHG1" s="9"/>
      <c r="CHH1" s="9"/>
      <c r="CHI1" s="9"/>
      <c r="CHJ1" s="9"/>
      <c r="CHK1" s="9"/>
      <c r="CHL1" s="9"/>
      <c r="CHM1" s="9"/>
      <c r="CHN1" s="9"/>
      <c r="CHO1" s="9"/>
      <c r="CHP1" s="9"/>
      <c r="CHQ1" s="9"/>
      <c r="CHR1" s="9"/>
      <c r="CHS1" s="9"/>
      <c r="CHT1" s="9"/>
      <c r="CHU1" s="9"/>
      <c r="CHV1" s="9"/>
      <c r="CHW1" s="9"/>
      <c r="CHX1" s="9"/>
      <c r="CHY1" s="9"/>
      <c r="CHZ1" s="9"/>
      <c r="CIA1" s="9"/>
      <c r="CIB1" s="9"/>
      <c r="CIC1" s="9"/>
      <c r="CID1" s="9"/>
      <c r="CIE1" s="9"/>
      <c r="CIF1" s="9"/>
      <c r="CIG1" s="9"/>
      <c r="CIH1" s="9"/>
      <c r="CII1" s="9"/>
      <c r="CIJ1" s="9"/>
      <c r="CIK1" s="9"/>
      <c r="CIL1" s="9"/>
      <c r="CIM1" s="9"/>
      <c r="CIN1" s="9"/>
      <c r="CIO1" s="9"/>
      <c r="CIP1" s="9"/>
      <c r="CIQ1" s="9"/>
      <c r="CIR1" s="9"/>
      <c r="CIS1" s="9"/>
      <c r="CIT1" s="9"/>
      <c r="CIU1" s="9"/>
      <c r="CIV1" s="9"/>
      <c r="CIW1" s="9"/>
      <c r="CIX1" s="9"/>
      <c r="CIY1" s="9"/>
      <c r="CIZ1" s="9"/>
      <c r="CJA1" s="9"/>
      <c r="CJB1" s="9"/>
      <c r="CJC1" s="9"/>
      <c r="CJD1" s="9"/>
      <c r="CJE1" s="9"/>
      <c r="CJF1" s="9"/>
      <c r="CJG1" s="9"/>
      <c r="CJH1" s="9"/>
      <c r="CJI1" s="9"/>
      <c r="CJJ1" s="9"/>
      <c r="CJK1" s="9"/>
      <c r="CJL1" s="9"/>
      <c r="CJM1" s="9"/>
      <c r="CJN1" s="9"/>
      <c r="CJO1" s="9"/>
      <c r="CJP1" s="9"/>
      <c r="CJQ1" s="9"/>
      <c r="CJR1" s="9"/>
      <c r="CJS1" s="9"/>
      <c r="CJT1" s="9"/>
      <c r="CJU1" s="9"/>
      <c r="CJV1" s="9"/>
      <c r="CJW1" s="9"/>
      <c r="CJX1" s="9"/>
      <c r="CJY1" s="9"/>
      <c r="CJZ1" s="9"/>
      <c r="CKA1" s="9"/>
      <c r="CKB1" s="9"/>
      <c r="CKC1" s="9"/>
      <c r="CKD1" s="9"/>
      <c r="CKE1" s="9"/>
      <c r="CKF1" s="9"/>
      <c r="CKG1" s="9"/>
      <c r="CKH1" s="9"/>
      <c r="CKI1" s="9"/>
      <c r="CKJ1" s="9"/>
      <c r="CKK1" s="9"/>
      <c r="CKL1" s="9"/>
      <c r="CKM1" s="9"/>
      <c r="CKN1" s="9"/>
      <c r="CKO1" s="9"/>
      <c r="CKP1" s="9"/>
      <c r="CKQ1" s="9"/>
      <c r="CKR1" s="9"/>
      <c r="CKS1" s="9"/>
      <c r="CKT1" s="9"/>
      <c r="CKU1" s="9"/>
      <c r="CKV1" s="9"/>
      <c r="CKW1" s="9"/>
      <c r="CKX1" s="9"/>
      <c r="CKY1" s="9"/>
      <c r="CKZ1" s="9"/>
      <c r="CLA1" s="9"/>
      <c r="CLB1" s="9"/>
      <c r="CLC1" s="9"/>
      <c r="CLD1" s="9"/>
      <c r="CLE1" s="9"/>
      <c r="CLF1" s="9"/>
      <c r="CLG1" s="9"/>
      <c r="CLH1" s="9"/>
      <c r="CLI1" s="9"/>
      <c r="CLJ1" s="9"/>
      <c r="CLK1" s="9"/>
      <c r="CLL1" s="9"/>
      <c r="CLM1" s="9"/>
      <c r="CLN1" s="9"/>
      <c r="CLO1" s="9"/>
      <c r="CLP1" s="9"/>
      <c r="CLQ1" s="9"/>
      <c r="CLR1" s="9"/>
      <c r="CLS1" s="9"/>
      <c r="CLT1" s="9"/>
      <c r="CLU1" s="9"/>
      <c r="CLV1" s="9"/>
      <c r="CLW1" s="9"/>
      <c r="CLX1" s="9"/>
      <c r="CLY1" s="9"/>
      <c r="CLZ1" s="9"/>
      <c r="CMA1" s="9"/>
      <c r="CMB1" s="9"/>
      <c r="CMC1" s="9"/>
      <c r="CMD1" s="9"/>
      <c r="CME1" s="9"/>
      <c r="CMF1" s="9"/>
      <c r="CMG1" s="9"/>
      <c r="CMH1" s="9"/>
      <c r="CMI1" s="9"/>
      <c r="CMJ1" s="9"/>
      <c r="CMK1" s="9"/>
      <c r="CML1" s="9"/>
      <c r="CMM1" s="9"/>
      <c r="CMN1" s="9"/>
      <c r="CMO1" s="9"/>
      <c r="CMP1" s="9"/>
      <c r="CMQ1" s="9"/>
      <c r="CMR1" s="9"/>
      <c r="CMS1" s="9"/>
      <c r="CMT1" s="9"/>
      <c r="CMU1" s="9"/>
      <c r="CMV1" s="9"/>
      <c r="CMW1" s="9"/>
      <c r="CMX1" s="9"/>
      <c r="CMY1" s="9"/>
      <c r="CMZ1" s="9"/>
      <c r="CNA1" s="9"/>
      <c r="CNB1" s="9"/>
      <c r="CNC1" s="9"/>
      <c r="CND1" s="9"/>
      <c r="CNE1" s="9"/>
      <c r="CNF1" s="9"/>
      <c r="CNG1" s="9"/>
      <c r="CNH1" s="9"/>
      <c r="CNI1" s="9"/>
      <c r="CNJ1" s="9"/>
      <c r="CNK1" s="9"/>
      <c r="CNL1" s="9"/>
      <c r="CNM1" s="9"/>
      <c r="CNN1" s="9"/>
      <c r="CNO1" s="9"/>
      <c r="CNP1" s="9"/>
      <c r="CNQ1" s="9"/>
      <c r="CNR1" s="9"/>
      <c r="CNS1" s="9"/>
      <c r="CNT1" s="9"/>
      <c r="CNU1" s="9"/>
      <c r="CNV1" s="9"/>
      <c r="CNW1" s="9"/>
      <c r="CNX1" s="9"/>
      <c r="CNY1" s="9"/>
      <c r="CNZ1" s="9"/>
      <c r="COA1" s="9"/>
      <c r="COB1" s="9"/>
      <c r="COC1" s="9"/>
      <c r="COD1" s="9"/>
      <c r="COE1" s="9"/>
      <c r="COF1" s="9"/>
      <c r="COG1" s="9"/>
      <c r="COH1" s="9"/>
      <c r="COI1" s="9"/>
      <c r="COJ1" s="9"/>
      <c r="COK1" s="9"/>
      <c r="COL1" s="9"/>
      <c r="COM1" s="9"/>
      <c r="CON1" s="9"/>
      <c r="COO1" s="9"/>
      <c r="COP1" s="9"/>
      <c r="COQ1" s="9"/>
      <c r="COR1" s="9"/>
      <c r="COS1" s="9"/>
      <c r="COT1" s="9"/>
      <c r="COU1" s="9"/>
      <c r="COV1" s="9"/>
      <c r="COW1" s="9"/>
      <c r="COX1" s="9"/>
      <c r="COY1" s="9"/>
      <c r="COZ1" s="9"/>
      <c r="CPA1" s="9"/>
      <c r="CPB1" s="9"/>
      <c r="CPC1" s="9"/>
      <c r="CPD1" s="9"/>
      <c r="CPE1" s="9"/>
      <c r="CPF1" s="9"/>
      <c r="CPG1" s="9"/>
      <c r="CPH1" s="9"/>
      <c r="CPI1" s="9"/>
      <c r="CPJ1" s="9"/>
      <c r="CPK1" s="9"/>
      <c r="CPL1" s="9"/>
      <c r="CPM1" s="9"/>
      <c r="CPN1" s="9"/>
      <c r="CPO1" s="9"/>
      <c r="CPP1" s="9"/>
      <c r="CPQ1" s="9"/>
      <c r="CPR1" s="9"/>
      <c r="CPS1" s="9"/>
      <c r="CPT1" s="9"/>
      <c r="CPU1" s="9"/>
      <c r="CPV1" s="9"/>
      <c r="CPW1" s="9"/>
      <c r="CPX1" s="9"/>
      <c r="CPY1" s="9"/>
      <c r="CPZ1" s="9"/>
      <c r="CQA1" s="9"/>
      <c r="CQB1" s="9"/>
      <c r="CQC1" s="9"/>
      <c r="CQD1" s="9"/>
      <c r="CQE1" s="9"/>
      <c r="CQF1" s="9"/>
      <c r="CQG1" s="9"/>
      <c r="CQH1" s="9"/>
      <c r="CQI1" s="9"/>
      <c r="CQJ1" s="9"/>
      <c r="CQK1" s="9"/>
      <c r="CQL1" s="9"/>
      <c r="CQM1" s="9"/>
      <c r="CQN1" s="9"/>
      <c r="CQO1" s="9"/>
      <c r="CQP1" s="9"/>
      <c r="CQQ1" s="9"/>
      <c r="CQR1" s="9"/>
      <c r="CQS1" s="9"/>
      <c r="CQT1" s="9"/>
      <c r="CQU1" s="9"/>
      <c r="CQV1" s="9"/>
      <c r="CQW1" s="9"/>
      <c r="CQX1" s="9"/>
      <c r="CQY1" s="9"/>
      <c r="CQZ1" s="9"/>
      <c r="CRA1" s="9"/>
      <c r="CRB1" s="9"/>
      <c r="CRC1" s="9"/>
      <c r="CRD1" s="9"/>
      <c r="CRE1" s="9"/>
      <c r="CRF1" s="9"/>
      <c r="CRG1" s="9"/>
      <c r="CRH1" s="9"/>
      <c r="CRI1" s="9"/>
      <c r="CRJ1" s="9"/>
      <c r="CRK1" s="9"/>
      <c r="CRL1" s="9"/>
      <c r="CRM1" s="9"/>
      <c r="CRN1" s="9"/>
      <c r="CRO1" s="9"/>
      <c r="CRP1" s="9"/>
      <c r="CRQ1" s="9"/>
      <c r="CRR1" s="9"/>
      <c r="CRS1" s="9"/>
      <c r="CRT1" s="9"/>
      <c r="CRU1" s="9"/>
      <c r="CRV1" s="9"/>
      <c r="CRW1" s="9"/>
      <c r="CRX1" s="9"/>
      <c r="CRY1" s="9"/>
      <c r="CRZ1" s="9"/>
      <c r="CSA1" s="9"/>
      <c r="CSB1" s="9"/>
      <c r="CSC1" s="9"/>
      <c r="CSD1" s="9"/>
      <c r="CSE1" s="9"/>
      <c r="CSF1" s="9"/>
      <c r="CSG1" s="9"/>
      <c r="CSH1" s="9"/>
      <c r="CSI1" s="9"/>
      <c r="CSJ1" s="9"/>
      <c r="CSK1" s="9"/>
      <c r="CSL1" s="9"/>
      <c r="CSM1" s="9"/>
      <c r="CSN1" s="9"/>
      <c r="CSO1" s="9"/>
      <c r="CSP1" s="9"/>
      <c r="CSQ1" s="9"/>
      <c r="CSR1" s="9"/>
      <c r="CSS1" s="9"/>
      <c r="CST1" s="9"/>
      <c r="CSU1" s="9"/>
      <c r="CSV1" s="9"/>
      <c r="CSW1" s="9"/>
      <c r="CSX1" s="9"/>
      <c r="CSY1" s="9"/>
      <c r="CSZ1" s="9"/>
      <c r="CTA1" s="9"/>
      <c r="CTB1" s="9"/>
      <c r="CTC1" s="9"/>
      <c r="CTD1" s="9"/>
      <c r="CTE1" s="9"/>
      <c r="CTF1" s="9"/>
      <c r="CTG1" s="9"/>
      <c r="CTH1" s="9"/>
      <c r="CTI1" s="9"/>
      <c r="CTJ1" s="9"/>
      <c r="CTK1" s="9"/>
      <c r="CTL1" s="9"/>
      <c r="CTM1" s="9"/>
      <c r="CTN1" s="9"/>
      <c r="CTO1" s="9"/>
      <c r="CTP1" s="9"/>
      <c r="CTQ1" s="9"/>
      <c r="CTR1" s="9"/>
      <c r="CTS1" s="9"/>
      <c r="CTT1" s="9"/>
      <c r="CTU1" s="9"/>
      <c r="CTV1" s="9"/>
      <c r="CTW1" s="9"/>
      <c r="CTX1" s="9"/>
      <c r="CTY1" s="9"/>
      <c r="CTZ1" s="9"/>
      <c r="CUA1" s="9"/>
      <c r="CUB1" s="9"/>
      <c r="CUC1" s="9"/>
      <c r="CUD1" s="9"/>
      <c r="CUE1" s="9"/>
      <c r="CUF1" s="9"/>
      <c r="CUG1" s="9"/>
      <c r="CUH1" s="9"/>
      <c r="CUI1" s="9"/>
      <c r="CUJ1" s="9"/>
      <c r="CUK1" s="9"/>
      <c r="CUL1" s="9"/>
      <c r="CUM1" s="9"/>
      <c r="CUN1" s="9"/>
      <c r="CUO1" s="9"/>
      <c r="CUP1" s="9"/>
      <c r="CUQ1" s="9"/>
      <c r="CUR1" s="9"/>
      <c r="CUS1" s="9"/>
      <c r="CUT1" s="9"/>
      <c r="CUU1" s="9"/>
      <c r="CUV1" s="9"/>
      <c r="CUW1" s="9"/>
      <c r="CUX1" s="9"/>
      <c r="CUY1" s="9"/>
      <c r="CUZ1" s="9"/>
      <c r="CVA1" s="9"/>
      <c r="CVB1" s="9"/>
      <c r="CVC1" s="9"/>
      <c r="CVD1" s="9"/>
      <c r="CVE1" s="9"/>
      <c r="CVF1" s="9"/>
      <c r="CVG1" s="9"/>
      <c r="CVH1" s="9"/>
      <c r="CVI1" s="9"/>
      <c r="CVJ1" s="9"/>
      <c r="CVK1" s="9"/>
      <c r="CVL1" s="9"/>
      <c r="CVM1" s="9"/>
      <c r="CVN1" s="9"/>
      <c r="CVO1" s="9"/>
      <c r="CVP1" s="9"/>
      <c r="CVQ1" s="9"/>
      <c r="CVR1" s="9"/>
      <c r="CVS1" s="9"/>
      <c r="CVT1" s="9"/>
      <c r="CVU1" s="9"/>
      <c r="CVV1" s="9"/>
      <c r="CVW1" s="9"/>
      <c r="CVX1" s="9"/>
      <c r="CVY1" s="9"/>
      <c r="CVZ1" s="9"/>
      <c r="CWA1" s="9"/>
      <c r="CWB1" s="9"/>
      <c r="CWC1" s="9"/>
      <c r="CWD1" s="9"/>
      <c r="CWE1" s="9"/>
      <c r="CWF1" s="9"/>
      <c r="CWG1" s="9"/>
      <c r="CWH1" s="9"/>
      <c r="CWI1" s="9"/>
      <c r="CWJ1" s="9"/>
      <c r="CWK1" s="9"/>
      <c r="CWL1" s="9"/>
      <c r="CWM1" s="9"/>
      <c r="CWN1" s="9"/>
      <c r="CWO1" s="9"/>
      <c r="CWP1" s="9"/>
      <c r="CWQ1" s="9"/>
      <c r="CWR1" s="9"/>
      <c r="CWS1" s="9"/>
      <c r="CWT1" s="9"/>
      <c r="CWU1" s="9"/>
      <c r="CWV1" s="9"/>
      <c r="CWW1" s="9"/>
      <c r="CWX1" s="9"/>
      <c r="CWY1" s="9"/>
      <c r="CWZ1" s="9"/>
      <c r="CXA1" s="9"/>
      <c r="CXB1" s="9"/>
      <c r="CXC1" s="9"/>
      <c r="CXD1" s="9"/>
      <c r="CXE1" s="9"/>
      <c r="CXF1" s="9"/>
      <c r="CXG1" s="9"/>
      <c r="CXH1" s="9"/>
      <c r="CXI1" s="9"/>
      <c r="CXJ1" s="9"/>
      <c r="CXK1" s="9"/>
      <c r="CXL1" s="9"/>
      <c r="CXM1" s="9"/>
      <c r="CXN1" s="9"/>
      <c r="CXO1" s="9"/>
      <c r="CXP1" s="9"/>
      <c r="CXQ1" s="9"/>
      <c r="CXR1" s="9"/>
      <c r="CXS1" s="9"/>
      <c r="CXT1" s="9"/>
      <c r="CXU1" s="9"/>
      <c r="CXV1" s="9"/>
      <c r="CXW1" s="9"/>
      <c r="CXX1" s="9"/>
      <c r="CXY1" s="9"/>
      <c r="CXZ1" s="9"/>
      <c r="CYA1" s="9"/>
      <c r="CYB1" s="9"/>
      <c r="CYC1" s="9"/>
      <c r="CYD1" s="9"/>
      <c r="CYE1" s="9"/>
      <c r="CYF1" s="9"/>
      <c r="CYG1" s="9"/>
      <c r="CYH1" s="9"/>
      <c r="CYI1" s="9"/>
      <c r="CYJ1" s="9"/>
      <c r="CYK1" s="9"/>
      <c r="CYL1" s="9"/>
      <c r="CYM1" s="9"/>
      <c r="CYN1" s="9"/>
      <c r="CYO1" s="9"/>
      <c r="CYP1" s="9"/>
      <c r="CYQ1" s="9"/>
      <c r="CYR1" s="9"/>
      <c r="CYS1" s="9"/>
      <c r="CYT1" s="9"/>
      <c r="CYU1" s="9"/>
      <c r="CYV1" s="9"/>
      <c r="CYW1" s="9"/>
      <c r="CYX1" s="9"/>
      <c r="CYY1" s="9"/>
      <c r="CYZ1" s="9"/>
      <c r="CZA1" s="9"/>
      <c r="CZB1" s="9"/>
      <c r="CZC1" s="9"/>
      <c r="CZD1" s="9"/>
      <c r="CZE1" s="9"/>
      <c r="CZF1" s="9"/>
      <c r="CZG1" s="9"/>
      <c r="CZH1" s="9"/>
      <c r="CZI1" s="9"/>
      <c r="CZJ1" s="9"/>
      <c r="CZK1" s="9"/>
      <c r="CZL1" s="9"/>
      <c r="CZM1" s="9"/>
      <c r="CZN1" s="9"/>
      <c r="CZO1" s="9"/>
      <c r="CZP1" s="9"/>
      <c r="CZQ1" s="9"/>
      <c r="CZR1" s="9"/>
      <c r="CZS1" s="9"/>
      <c r="CZT1" s="9"/>
      <c r="CZU1" s="9"/>
      <c r="CZV1" s="9"/>
      <c r="CZW1" s="9"/>
      <c r="CZX1" s="9"/>
      <c r="CZY1" s="9"/>
      <c r="CZZ1" s="9"/>
      <c r="DAA1" s="9"/>
      <c r="DAB1" s="9"/>
      <c r="DAC1" s="9"/>
      <c r="DAD1" s="9"/>
      <c r="DAE1" s="9"/>
      <c r="DAF1" s="9"/>
      <c r="DAG1" s="9"/>
      <c r="DAH1" s="9"/>
      <c r="DAI1" s="9"/>
      <c r="DAJ1" s="9"/>
      <c r="DAK1" s="9"/>
      <c r="DAL1" s="9"/>
      <c r="DAM1" s="9"/>
      <c r="DAN1" s="9"/>
      <c r="DAO1" s="9"/>
      <c r="DAP1" s="9"/>
      <c r="DAQ1" s="9"/>
      <c r="DAR1" s="9"/>
      <c r="DAS1" s="9"/>
      <c r="DAT1" s="9"/>
      <c r="DAU1" s="9"/>
      <c r="DAV1" s="9"/>
      <c r="DAW1" s="9"/>
      <c r="DAX1" s="9"/>
      <c r="DAY1" s="9"/>
      <c r="DAZ1" s="9"/>
      <c r="DBA1" s="9"/>
      <c r="DBB1" s="9"/>
      <c r="DBC1" s="9"/>
      <c r="DBD1" s="9"/>
      <c r="DBE1" s="9"/>
      <c r="DBF1" s="9"/>
      <c r="DBG1" s="9"/>
      <c r="DBH1" s="9"/>
      <c r="DBI1" s="9"/>
      <c r="DBJ1" s="9"/>
      <c r="DBK1" s="9"/>
      <c r="DBL1" s="9"/>
      <c r="DBM1" s="9"/>
      <c r="DBN1" s="9"/>
      <c r="DBO1" s="9"/>
      <c r="DBP1" s="9"/>
      <c r="DBQ1" s="9"/>
      <c r="DBR1" s="9"/>
      <c r="DBS1" s="9"/>
      <c r="DBT1" s="9"/>
      <c r="DBU1" s="9"/>
      <c r="DBV1" s="9"/>
      <c r="DBW1" s="9"/>
      <c r="DBX1" s="9"/>
      <c r="DBY1" s="9"/>
      <c r="DBZ1" s="9"/>
      <c r="DCA1" s="9"/>
      <c r="DCB1" s="9"/>
      <c r="DCC1" s="9"/>
      <c r="DCD1" s="9"/>
      <c r="DCE1" s="9"/>
      <c r="DCF1" s="9"/>
      <c r="DCG1" s="9"/>
      <c r="DCH1" s="9"/>
      <c r="DCI1" s="9"/>
      <c r="DCJ1" s="9"/>
      <c r="DCK1" s="9"/>
      <c r="DCL1" s="9"/>
      <c r="DCM1" s="9"/>
      <c r="DCN1" s="9"/>
      <c r="DCO1" s="9"/>
      <c r="DCP1" s="9"/>
      <c r="DCQ1" s="9"/>
      <c r="DCR1" s="9"/>
      <c r="DCS1" s="9"/>
      <c r="DCT1" s="9"/>
      <c r="DCU1" s="9"/>
      <c r="DCV1" s="9"/>
      <c r="DCW1" s="9"/>
      <c r="DCX1" s="9"/>
      <c r="DCY1" s="9"/>
      <c r="DCZ1" s="9"/>
      <c r="DDA1" s="9"/>
      <c r="DDB1" s="9"/>
      <c r="DDC1" s="9"/>
      <c r="DDD1" s="9"/>
      <c r="DDE1" s="9"/>
      <c r="DDF1" s="9"/>
      <c r="DDG1" s="9"/>
      <c r="DDH1" s="9"/>
      <c r="DDI1" s="9"/>
      <c r="DDJ1" s="9"/>
      <c r="DDK1" s="9"/>
      <c r="DDL1" s="9"/>
      <c r="DDM1" s="9"/>
      <c r="DDN1" s="9"/>
      <c r="DDO1" s="9"/>
      <c r="DDP1" s="9"/>
      <c r="DDQ1" s="9"/>
      <c r="DDR1" s="9"/>
      <c r="DDS1" s="9"/>
      <c r="DDT1" s="9"/>
      <c r="DDU1" s="9"/>
      <c r="DDV1" s="9"/>
      <c r="DDW1" s="9"/>
      <c r="DDX1" s="9"/>
      <c r="DDY1" s="9"/>
      <c r="DDZ1" s="9"/>
      <c r="DEA1" s="9"/>
      <c r="DEB1" s="9"/>
      <c r="DEC1" s="9"/>
      <c r="DED1" s="9"/>
      <c r="DEE1" s="9"/>
      <c r="DEF1" s="9"/>
      <c r="DEG1" s="9"/>
      <c r="DEH1" s="9"/>
      <c r="DEI1" s="9"/>
      <c r="DEJ1" s="9"/>
      <c r="DEK1" s="9"/>
      <c r="DEL1" s="9"/>
      <c r="DEM1" s="9"/>
      <c r="DEN1" s="9"/>
      <c r="DEO1" s="9"/>
      <c r="DEP1" s="9"/>
      <c r="DEQ1" s="9"/>
      <c r="DER1" s="9"/>
      <c r="DES1" s="9"/>
      <c r="DET1" s="9"/>
      <c r="DEU1" s="9"/>
      <c r="DEV1" s="9"/>
      <c r="DEW1" s="9"/>
      <c r="DEX1" s="9"/>
      <c r="DEY1" s="9"/>
      <c r="DEZ1" s="9"/>
      <c r="DFA1" s="9"/>
      <c r="DFB1" s="9"/>
      <c r="DFC1" s="9"/>
      <c r="DFD1" s="9"/>
      <c r="DFE1" s="9"/>
      <c r="DFF1" s="9"/>
      <c r="DFG1" s="9"/>
      <c r="DFH1" s="9"/>
      <c r="DFI1" s="9"/>
      <c r="DFJ1" s="9"/>
      <c r="DFK1" s="9"/>
      <c r="DFL1" s="9"/>
      <c r="DFM1" s="9"/>
      <c r="DFN1" s="9"/>
      <c r="DFO1" s="9"/>
      <c r="DFP1" s="9"/>
      <c r="DFQ1" s="9"/>
      <c r="DFR1" s="9"/>
      <c r="DFS1" s="9"/>
      <c r="DFT1" s="9"/>
      <c r="DFU1" s="9"/>
      <c r="DFV1" s="9"/>
      <c r="DFW1" s="9"/>
      <c r="DFX1" s="9"/>
      <c r="DFY1" s="9"/>
      <c r="DFZ1" s="9"/>
      <c r="DGA1" s="9"/>
      <c r="DGB1" s="9"/>
      <c r="DGC1" s="9"/>
      <c r="DGD1" s="9"/>
      <c r="DGE1" s="9"/>
      <c r="DGF1" s="9"/>
      <c r="DGG1" s="9"/>
      <c r="DGH1" s="9"/>
      <c r="DGI1" s="9"/>
      <c r="DGJ1" s="9"/>
      <c r="DGK1" s="9"/>
      <c r="DGL1" s="9"/>
      <c r="DGM1" s="9"/>
      <c r="DGN1" s="9"/>
      <c r="DGO1" s="9"/>
      <c r="DGP1" s="9"/>
      <c r="DGQ1" s="9"/>
      <c r="DGR1" s="9"/>
      <c r="DGS1" s="9"/>
      <c r="DGT1" s="9"/>
      <c r="DGU1" s="9"/>
      <c r="DGV1" s="9"/>
      <c r="DGW1" s="9"/>
      <c r="DGX1" s="9"/>
      <c r="DGY1" s="9"/>
      <c r="DGZ1" s="9"/>
      <c r="DHA1" s="9"/>
      <c r="DHB1" s="9"/>
      <c r="DHC1" s="9"/>
      <c r="DHD1" s="9"/>
      <c r="DHE1" s="9"/>
      <c r="DHF1" s="9"/>
      <c r="DHG1" s="9"/>
      <c r="DHH1" s="9"/>
      <c r="DHI1" s="9"/>
      <c r="DHJ1" s="9"/>
      <c r="DHK1" s="9"/>
      <c r="DHL1" s="9"/>
      <c r="DHM1" s="9"/>
      <c r="DHN1" s="9"/>
      <c r="DHO1" s="9"/>
      <c r="DHP1" s="9"/>
      <c r="DHQ1" s="9"/>
      <c r="DHR1" s="9"/>
      <c r="DHS1" s="9"/>
      <c r="DHT1" s="9"/>
      <c r="DHU1" s="9"/>
      <c r="DHV1" s="9"/>
      <c r="DHW1" s="9"/>
      <c r="DHX1" s="9"/>
      <c r="DHY1" s="9"/>
      <c r="DHZ1" s="9"/>
      <c r="DIA1" s="9"/>
      <c r="DIB1" s="9"/>
      <c r="DIC1" s="9"/>
      <c r="DID1" s="9"/>
      <c r="DIE1" s="9"/>
      <c r="DIF1" s="9"/>
      <c r="DIG1" s="9"/>
      <c r="DIH1" s="9"/>
      <c r="DII1" s="9"/>
      <c r="DIJ1" s="9"/>
      <c r="DIK1" s="9"/>
      <c r="DIL1" s="9"/>
      <c r="DIM1" s="9"/>
      <c r="DIN1" s="9"/>
      <c r="DIO1" s="9"/>
      <c r="DIP1" s="9"/>
      <c r="DIQ1" s="9"/>
      <c r="DIR1" s="9"/>
      <c r="DIS1" s="9"/>
      <c r="DIT1" s="9"/>
      <c r="DIU1" s="9"/>
      <c r="DIV1" s="9"/>
      <c r="DIW1" s="9"/>
      <c r="DIX1" s="9"/>
      <c r="DIY1" s="9"/>
      <c r="DIZ1" s="9"/>
      <c r="DJA1" s="9"/>
      <c r="DJB1" s="9"/>
      <c r="DJC1" s="9"/>
      <c r="DJD1" s="9"/>
      <c r="DJE1" s="9"/>
      <c r="DJF1" s="9"/>
      <c r="DJG1" s="9"/>
      <c r="DJH1" s="9"/>
      <c r="DJI1" s="9"/>
      <c r="DJJ1" s="9"/>
      <c r="DJK1" s="9"/>
      <c r="DJL1" s="9"/>
      <c r="DJM1" s="9"/>
      <c r="DJN1" s="9"/>
      <c r="DJO1" s="9"/>
      <c r="DJP1" s="9"/>
      <c r="DJQ1" s="9"/>
      <c r="DJR1" s="9"/>
      <c r="DJS1" s="9"/>
      <c r="DJT1" s="9"/>
      <c r="DJU1" s="9"/>
      <c r="DJV1" s="9"/>
      <c r="DJW1" s="9"/>
      <c r="DJX1" s="9"/>
      <c r="DJY1" s="9"/>
      <c r="DJZ1" s="9"/>
      <c r="DKA1" s="9"/>
      <c r="DKB1" s="9"/>
      <c r="DKC1" s="9"/>
      <c r="DKD1" s="9"/>
      <c r="DKE1" s="9"/>
      <c r="DKF1" s="9"/>
      <c r="DKG1" s="9"/>
      <c r="DKH1" s="9"/>
      <c r="DKI1" s="9"/>
      <c r="DKJ1" s="9"/>
      <c r="DKK1" s="9"/>
      <c r="DKL1" s="9"/>
      <c r="DKM1" s="9"/>
      <c r="DKN1" s="9"/>
      <c r="DKO1" s="9"/>
      <c r="DKP1" s="9"/>
      <c r="DKQ1" s="9"/>
      <c r="DKR1" s="9"/>
      <c r="DKS1" s="9"/>
      <c r="DKT1" s="9"/>
      <c r="DKU1" s="9"/>
      <c r="DKV1" s="9"/>
      <c r="DKW1" s="9"/>
      <c r="DKX1" s="9"/>
      <c r="DKY1" s="9"/>
      <c r="DKZ1" s="9"/>
      <c r="DLA1" s="9"/>
      <c r="DLB1" s="9"/>
      <c r="DLC1" s="9"/>
      <c r="DLD1" s="9"/>
      <c r="DLE1" s="9"/>
      <c r="DLF1" s="9"/>
      <c r="DLG1" s="9"/>
      <c r="DLH1" s="9"/>
      <c r="DLI1" s="9"/>
      <c r="DLJ1" s="9"/>
      <c r="DLK1" s="9"/>
      <c r="DLL1" s="9"/>
      <c r="DLM1" s="9"/>
      <c r="DLN1" s="9"/>
      <c r="DLO1" s="9"/>
      <c r="DLP1" s="9"/>
      <c r="DLQ1" s="9"/>
      <c r="DLR1" s="9"/>
      <c r="DLS1" s="9"/>
      <c r="DLT1" s="9"/>
      <c r="DLU1" s="9"/>
      <c r="DLV1" s="9"/>
      <c r="DLW1" s="9"/>
      <c r="DLX1" s="9"/>
      <c r="DLY1" s="9"/>
      <c r="DLZ1" s="9"/>
      <c r="DMA1" s="9"/>
      <c r="DMB1" s="9"/>
      <c r="DMC1" s="9"/>
      <c r="DMD1" s="9"/>
      <c r="DME1" s="9"/>
      <c r="DMF1" s="9"/>
      <c r="DMG1" s="9"/>
      <c r="DMH1" s="9"/>
      <c r="DMI1" s="9"/>
      <c r="DMJ1" s="9"/>
      <c r="DMK1" s="9"/>
      <c r="DML1" s="9"/>
      <c r="DMM1" s="9"/>
      <c r="DMN1" s="9"/>
      <c r="DMO1" s="9"/>
      <c r="DMP1" s="9"/>
      <c r="DMQ1" s="9"/>
      <c r="DMR1" s="9"/>
      <c r="DMS1" s="9"/>
      <c r="DMT1" s="9"/>
      <c r="DMU1" s="9"/>
      <c r="DMV1" s="9"/>
      <c r="DMW1" s="9"/>
      <c r="DMX1" s="9"/>
      <c r="DMY1" s="9"/>
      <c r="DMZ1" s="9"/>
      <c r="DNA1" s="9"/>
      <c r="DNB1" s="9"/>
      <c r="DNC1" s="9"/>
      <c r="DND1" s="9"/>
      <c r="DNE1" s="9"/>
      <c r="DNF1" s="9"/>
      <c r="DNG1" s="9"/>
      <c r="DNH1" s="9"/>
      <c r="DNI1" s="9"/>
      <c r="DNJ1" s="9"/>
      <c r="DNK1" s="9"/>
      <c r="DNL1" s="9"/>
      <c r="DNM1" s="9"/>
      <c r="DNN1" s="9"/>
      <c r="DNO1" s="9"/>
      <c r="DNP1" s="9"/>
      <c r="DNQ1" s="9"/>
      <c r="DNR1" s="9"/>
      <c r="DNS1" s="9"/>
      <c r="DNT1" s="9"/>
      <c r="DNU1" s="9"/>
      <c r="DNV1" s="9"/>
      <c r="DNW1" s="9"/>
      <c r="DNX1" s="9"/>
      <c r="DNY1" s="9"/>
      <c r="DNZ1" s="9"/>
      <c r="DOA1" s="9"/>
      <c r="DOB1" s="9"/>
      <c r="DOC1" s="9"/>
      <c r="DOD1" s="9"/>
      <c r="DOE1" s="9"/>
      <c r="DOF1" s="9"/>
      <c r="DOG1" s="9"/>
      <c r="DOH1" s="9"/>
      <c r="DOI1" s="9"/>
      <c r="DOJ1" s="9"/>
      <c r="DOK1" s="9"/>
      <c r="DOL1" s="9"/>
      <c r="DOM1" s="9"/>
      <c r="DON1" s="9"/>
      <c r="DOO1" s="9"/>
      <c r="DOP1" s="9"/>
      <c r="DOQ1" s="9"/>
      <c r="DOR1" s="9"/>
      <c r="DOS1" s="9"/>
      <c r="DOT1" s="9"/>
      <c r="DOU1" s="9"/>
      <c r="DOV1" s="9"/>
      <c r="DOW1" s="9"/>
      <c r="DOX1" s="9"/>
      <c r="DOY1" s="9"/>
      <c r="DOZ1" s="9"/>
      <c r="DPA1" s="9"/>
      <c r="DPB1" s="9"/>
      <c r="DPC1" s="9"/>
      <c r="DPD1" s="9"/>
      <c r="DPE1" s="9"/>
      <c r="DPF1" s="9"/>
      <c r="DPG1" s="9"/>
      <c r="DPH1" s="9"/>
      <c r="DPI1" s="9"/>
      <c r="DPJ1" s="9"/>
      <c r="DPK1" s="9"/>
      <c r="DPL1" s="9"/>
      <c r="DPM1" s="9"/>
      <c r="DPN1" s="9"/>
      <c r="DPO1" s="9"/>
      <c r="DPP1" s="9"/>
      <c r="DPQ1" s="9"/>
      <c r="DPR1" s="9"/>
      <c r="DPS1" s="9"/>
      <c r="DPT1" s="9"/>
      <c r="DPU1" s="9"/>
      <c r="DPV1" s="9"/>
      <c r="DPW1" s="9"/>
      <c r="DPX1" s="9"/>
      <c r="DPY1" s="9"/>
      <c r="DPZ1" s="9"/>
      <c r="DQA1" s="9"/>
      <c r="DQB1" s="9"/>
      <c r="DQC1" s="9"/>
      <c r="DQD1" s="9"/>
      <c r="DQE1" s="9"/>
      <c r="DQF1" s="9"/>
      <c r="DQG1" s="9"/>
      <c r="DQH1" s="9"/>
      <c r="DQI1" s="9"/>
      <c r="DQJ1" s="9"/>
      <c r="DQK1" s="9"/>
      <c r="DQL1" s="9"/>
      <c r="DQM1" s="9"/>
      <c r="DQN1" s="9"/>
      <c r="DQO1" s="9"/>
      <c r="DQP1" s="9"/>
      <c r="DQQ1" s="9"/>
      <c r="DQR1" s="9"/>
      <c r="DQS1" s="9"/>
      <c r="DQT1" s="9"/>
      <c r="DQU1" s="9"/>
      <c r="DQV1" s="9"/>
      <c r="DQW1" s="9"/>
      <c r="DQX1" s="9"/>
      <c r="DQY1" s="9"/>
      <c r="DQZ1" s="9"/>
      <c r="DRA1" s="9"/>
      <c r="DRB1" s="9"/>
      <c r="DRC1" s="9"/>
      <c r="DRD1" s="9"/>
      <c r="DRE1" s="9"/>
      <c r="DRF1" s="9"/>
      <c r="DRG1" s="9"/>
      <c r="DRH1" s="9"/>
      <c r="DRI1" s="9"/>
      <c r="DRJ1" s="9"/>
      <c r="DRK1" s="9"/>
      <c r="DRL1" s="9"/>
      <c r="DRM1" s="9"/>
      <c r="DRN1" s="9"/>
      <c r="DRO1" s="9"/>
      <c r="DRP1" s="9"/>
      <c r="DRQ1" s="9"/>
      <c r="DRR1" s="9"/>
      <c r="DRS1" s="9"/>
      <c r="DRT1" s="9"/>
      <c r="DRU1" s="9"/>
      <c r="DRV1" s="9"/>
      <c r="DRW1" s="9"/>
      <c r="DRX1" s="9"/>
      <c r="DRY1" s="9"/>
      <c r="DRZ1" s="9"/>
      <c r="DSA1" s="9"/>
      <c r="DSB1" s="9"/>
      <c r="DSC1" s="9"/>
      <c r="DSD1" s="9"/>
      <c r="DSE1" s="9"/>
      <c r="DSF1" s="9"/>
      <c r="DSG1" s="9"/>
      <c r="DSH1" s="9"/>
      <c r="DSI1" s="9"/>
      <c r="DSJ1" s="9"/>
      <c r="DSK1" s="9"/>
      <c r="DSL1" s="9"/>
      <c r="DSM1" s="9"/>
      <c r="DSN1" s="9"/>
      <c r="DSO1" s="9"/>
      <c r="DSP1" s="9"/>
      <c r="DSQ1" s="9"/>
      <c r="DSR1" s="9"/>
      <c r="DSS1" s="9"/>
      <c r="DST1" s="9"/>
      <c r="DSU1" s="9"/>
      <c r="DSV1" s="9"/>
      <c r="DSW1" s="9"/>
      <c r="DSX1" s="9"/>
      <c r="DSY1" s="9"/>
      <c r="DSZ1" s="9"/>
      <c r="DTA1" s="9"/>
      <c r="DTB1" s="9"/>
      <c r="DTC1" s="9"/>
      <c r="DTD1" s="9"/>
      <c r="DTE1" s="9"/>
      <c r="DTF1" s="9"/>
      <c r="DTG1" s="9"/>
      <c r="DTH1" s="9"/>
      <c r="DTI1" s="9"/>
      <c r="DTJ1" s="9"/>
      <c r="DTK1" s="9"/>
      <c r="DTL1" s="9"/>
      <c r="DTM1" s="9"/>
      <c r="DTN1" s="9"/>
      <c r="DTO1" s="9"/>
      <c r="DTP1" s="9"/>
      <c r="DTQ1" s="9"/>
      <c r="DTR1" s="9"/>
      <c r="DTS1" s="9"/>
      <c r="DTT1" s="9"/>
      <c r="DTU1" s="9"/>
      <c r="DTV1" s="9"/>
      <c r="DTW1" s="9"/>
      <c r="DTX1" s="9"/>
      <c r="DTY1" s="9"/>
      <c r="DTZ1" s="9"/>
      <c r="DUA1" s="9"/>
      <c r="DUB1" s="9"/>
      <c r="DUC1" s="9"/>
      <c r="DUD1" s="9"/>
      <c r="DUE1" s="9"/>
      <c r="DUF1" s="9"/>
      <c r="DUG1" s="9"/>
      <c r="DUH1" s="9"/>
      <c r="DUI1" s="9"/>
      <c r="DUJ1" s="9"/>
      <c r="DUK1" s="9"/>
      <c r="DUL1" s="9"/>
      <c r="DUM1" s="9"/>
      <c r="DUN1" s="9"/>
      <c r="DUO1" s="9"/>
      <c r="DUP1" s="9"/>
      <c r="DUQ1" s="9"/>
      <c r="DUR1" s="9"/>
      <c r="DUS1" s="9"/>
      <c r="DUT1" s="9"/>
      <c r="DUU1" s="9"/>
      <c r="DUV1" s="9"/>
      <c r="DUW1" s="9"/>
      <c r="DUX1" s="9"/>
      <c r="DUY1" s="9"/>
      <c r="DUZ1" s="9"/>
      <c r="DVA1" s="9"/>
      <c r="DVB1" s="9"/>
      <c r="DVC1" s="9"/>
      <c r="DVD1" s="9"/>
      <c r="DVE1" s="9"/>
      <c r="DVF1" s="9"/>
      <c r="DVG1" s="9"/>
      <c r="DVH1" s="9"/>
      <c r="DVI1" s="9"/>
      <c r="DVJ1" s="9"/>
      <c r="DVK1" s="9"/>
      <c r="DVL1" s="9"/>
      <c r="DVM1" s="9"/>
      <c r="DVN1" s="9"/>
      <c r="DVO1" s="9"/>
      <c r="DVP1" s="9"/>
      <c r="DVQ1" s="9"/>
      <c r="DVR1" s="9"/>
      <c r="DVS1" s="9"/>
      <c r="DVT1" s="9"/>
      <c r="DVU1" s="9"/>
      <c r="DVV1" s="9"/>
      <c r="DVW1" s="9"/>
      <c r="DVX1" s="9"/>
      <c r="DVY1" s="9"/>
      <c r="DVZ1" s="9"/>
      <c r="DWA1" s="9"/>
      <c r="DWB1" s="9"/>
      <c r="DWC1" s="9"/>
      <c r="DWD1" s="9"/>
      <c r="DWE1" s="9"/>
      <c r="DWF1" s="9"/>
      <c r="DWG1" s="9"/>
      <c r="DWH1" s="9"/>
      <c r="DWI1" s="9"/>
      <c r="DWJ1" s="9"/>
      <c r="DWK1" s="9"/>
      <c r="DWL1" s="9"/>
      <c r="DWM1" s="9"/>
      <c r="DWN1" s="9"/>
      <c r="DWO1" s="9"/>
      <c r="DWP1" s="9"/>
      <c r="DWQ1" s="9"/>
      <c r="DWR1" s="9"/>
      <c r="DWS1" s="9"/>
      <c r="DWT1" s="9"/>
      <c r="DWU1" s="9"/>
      <c r="DWV1" s="9"/>
      <c r="DWW1" s="9"/>
      <c r="DWX1" s="9"/>
      <c r="DWY1" s="9"/>
      <c r="DWZ1" s="9"/>
      <c r="DXA1" s="9"/>
      <c r="DXB1" s="9"/>
      <c r="DXC1" s="9"/>
      <c r="DXD1" s="9"/>
      <c r="DXE1" s="9"/>
      <c r="DXF1" s="9"/>
      <c r="DXG1" s="9"/>
      <c r="DXH1" s="9"/>
      <c r="DXI1" s="9"/>
      <c r="DXJ1" s="9"/>
      <c r="DXK1" s="9"/>
      <c r="DXL1" s="9"/>
      <c r="DXM1" s="9"/>
      <c r="DXN1" s="9"/>
      <c r="DXO1" s="9"/>
      <c r="DXP1" s="9"/>
      <c r="DXQ1" s="9"/>
      <c r="DXR1" s="9"/>
      <c r="DXS1" s="9"/>
      <c r="DXT1" s="9"/>
      <c r="DXU1" s="9"/>
      <c r="DXV1" s="9"/>
      <c r="DXW1" s="9"/>
      <c r="DXX1" s="9"/>
      <c r="DXY1" s="9"/>
      <c r="DXZ1" s="9"/>
      <c r="DYA1" s="9"/>
      <c r="DYB1" s="9"/>
      <c r="DYC1" s="9"/>
      <c r="DYD1" s="9"/>
      <c r="DYE1" s="9"/>
      <c r="DYF1" s="9"/>
      <c r="DYG1" s="9"/>
      <c r="DYH1" s="9"/>
      <c r="DYI1" s="9"/>
      <c r="DYJ1" s="9"/>
      <c r="DYK1" s="9"/>
      <c r="DYL1" s="9"/>
      <c r="DYM1" s="9"/>
      <c r="DYN1" s="9"/>
      <c r="DYO1" s="9"/>
      <c r="DYP1" s="9"/>
      <c r="DYQ1" s="9"/>
      <c r="DYR1" s="9"/>
      <c r="DYS1" s="9"/>
      <c r="DYT1" s="9"/>
      <c r="DYU1" s="9"/>
      <c r="DYV1" s="9"/>
      <c r="DYW1" s="9"/>
      <c r="DYX1" s="9"/>
      <c r="DYY1" s="9"/>
      <c r="DYZ1" s="9"/>
      <c r="DZA1" s="9"/>
      <c r="DZB1" s="9"/>
      <c r="DZC1" s="9"/>
      <c r="DZD1" s="9"/>
      <c r="DZE1" s="9"/>
      <c r="DZF1" s="9"/>
      <c r="DZG1" s="9"/>
      <c r="DZH1" s="9"/>
      <c r="DZI1" s="9"/>
      <c r="DZJ1" s="9"/>
      <c r="DZK1" s="9"/>
      <c r="DZL1" s="9"/>
      <c r="DZM1" s="9"/>
      <c r="DZN1" s="9"/>
      <c r="DZO1" s="9"/>
      <c r="DZP1" s="9"/>
      <c r="DZQ1" s="9"/>
      <c r="DZR1" s="9"/>
      <c r="DZS1" s="9"/>
      <c r="DZT1" s="9"/>
      <c r="DZU1" s="9"/>
      <c r="DZV1" s="9"/>
      <c r="DZW1" s="9"/>
      <c r="DZX1" s="9"/>
      <c r="DZY1" s="9"/>
      <c r="DZZ1" s="9"/>
      <c r="EAA1" s="9"/>
      <c r="EAB1" s="9"/>
      <c r="EAC1" s="9"/>
      <c r="EAD1" s="9"/>
      <c r="EAE1" s="9"/>
      <c r="EAF1" s="9"/>
      <c r="EAG1" s="9"/>
      <c r="EAH1" s="9"/>
      <c r="EAI1" s="9"/>
      <c r="EAJ1" s="9"/>
      <c r="EAK1" s="9"/>
      <c r="EAL1" s="9"/>
      <c r="EAM1" s="9"/>
      <c r="EAN1" s="9"/>
      <c r="EAO1" s="9"/>
      <c r="EAP1" s="9"/>
      <c r="EAQ1" s="9"/>
      <c r="EAR1" s="9"/>
      <c r="EAS1" s="9"/>
      <c r="EAT1" s="9"/>
      <c r="EAU1" s="9"/>
      <c r="EAV1" s="9"/>
      <c r="EAW1" s="9"/>
      <c r="EAX1" s="9"/>
      <c r="EAY1" s="9"/>
      <c r="EAZ1" s="9"/>
      <c r="EBA1" s="9"/>
      <c r="EBB1" s="9"/>
      <c r="EBC1" s="9"/>
      <c r="EBD1" s="9"/>
      <c r="EBE1" s="9"/>
      <c r="EBF1" s="9"/>
      <c r="EBG1" s="9"/>
      <c r="EBH1" s="9"/>
      <c r="EBI1" s="9"/>
      <c r="EBJ1" s="9"/>
      <c r="EBK1" s="9"/>
      <c r="EBL1" s="9"/>
      <c r="EBM1" s="9"/>
      <c r="EBN1" s="9"/>
      <c r="EBO1" s="9"/>
      <c r="EBP1" s="9"/>
      <c r="EBQ1" s="9"/>
      <c r="EBR1" s="9"/>
      <c r="EBS1" s="9"/>
      <c r="EBT1" s="9"/>
      <c r="EBU1" s="9"/>
      <c r="EBV1" s="9"/>
      <c r="EBW1" s="9"/>
      <c r="EBX1" s="9"/>
      <c r="EBY1" s="9"/>
      <c r="EBZ1" s="9"/>
      <c r="ECA1" s="9"/>
      <c r="ECB1" s="9"/>
      <c r="ECC1" s="9"/>
      <c r="ECD1" s="9"/>
      <c r="ECE1" s="9"/>
      <c r="ECF1" s="9"/>
      <c r="ECG1" s="9"/>
      <c r="ECH1" s="9"/>
      <c r="ECI1" s="9"/>
      <c r="ECJ1" s="9"/>
      <c r="ECK1" s="9"/>
      <c r="ECL1" s="9"/>
      <c r="ECM1" s="9"/>
      <c r="ECN1" s="9"/>
      <c r="ECO1" s="9"/>
      <c r="ECP1" s="9"/>
      <c r="ECQ1" s="9"/>
      <c r="ECR1" s="9"/>
      <c r="ECS1" s="9"/>
      <c r="ECT1" s="9"/>
      <c r="ECU1" s="9"/>
      <c r="ECV1" s="9"/>
      <c r="ECW1" s="9"/>
      <c r="ECX1" s="9"/>
      <c r="ECY1" s="9"/>
      <c r="ECZ1" s="9"/>
      <c r="EDA1" s="9"/>
      <c r="EDB1" s="9"/>
      <c r="EDC1" s="9"/>
      <c r="EDD1" s="9"/>
      <c r="EDE1" s="9"/>
      <c r="EDF1" s="9"/>
      <c r="EDG1" s="9"/>
      <c r="EDH1" s="9"/>
      <c r="EDI1" s="9"/>
      <c r="EDJ1" s="9"/>
      <c r="EDK1" s="9"/>
      <c r="EDL1" s="9"/>
      <c r="EDM1" s="9"/>
      <c r="EDN1" s="9"/>
      <c r="EDO1" s="9"/>
      <c r="EDP1" s="9"/>
      <c r="EDQ1" s="9"/>
      <c r="EDR1" s="9"/>
      <c r="EDS1" s="9"/>
      <c r="EDT1" s="9"/>
      <c r="EDU1" s="9"/>
      <c r="EDV1" s="9"/>
      <c r="EDW1" s="9"/>
      <c r="EDX1" s="9"/>
      <c r="EDY1" s="9"/>
      <c r="EDZ1" s="9"/>
      <c r="EEA1" s="9"/>
      <c r="EEB1" s="9"/>
      <c r="EEC1" s="9"/>
      <c r="EED1" s="9"/>
      <c r="EEE1" s="9"/>
      <c r="EEF1" s="9"/>
      <c r="EEG1" s="9"/>
      <c r="EEH1" s="9"/>
      <c r="EEI1" s="9"/>
      <c r="EEJ1" s="9"/>
      <c r="EEK1" s="9"/>
      <c r="EEL1" s="9"/>
      <c r="EEM1" s="9"/>
      <c r="EEN1" s="9"/>
      <c r="EEO1" s="9"/>
      <c r="EEP1" s="9"/>
      <c r="EEQ1" s="9"/>
      <c r="EER1" s="9"/>
      <c r="EES1" s="9"/>
      <c r="EET1" s="9"/>
      <c r="EEU1" s="9"/>
      <c r="EEV1" s="9"/>
      <c r="EEW1" s="9"/>
      <c r="EEX1" s="9"/>
      <c r="EEY1" s="9"/>
      <c r="EEZ1" s="9"/>
      <c r="EFA1" s="9"/>
      <c r="EFB1" s="9"/>
      <c r="EFC1" s="9"/>
      <c r="EFD1" s="9"/>
      <c r="EFE1" s="9"/>
      <c r="EFF1" s="9"/>
      <c r="EFG1" s="9"/>
      <c r="EFH1" s="9"/>
      <c r="EFI1" s="9"/>
      <c r="EFJ1" s="9"/>
      <c r="EFK1" s="9"/>
      <c r="EFL1" s="9"/>
      <c r="EFM1" s="9"/>
      <c r="EFN1" s="9"/>
      <c r="EFO1" s="9"/>
      <c r="EFP1" s="9"/>
      <c r="EFQ1" s="9"/>
      <c r="EFR1" s="9"/>
      <c r="EFS1" s="9"/>
      <c r="EFT1" s="9"/>
      <c r="EFU1" s="9"/>
      <c r="EFV1" s="9"/>
      <c r="EFW1" s="9"/>
      <c r="EFX1" s="9"/>
      <c r="EFY1" s="9"/>
      <c r="EFZ1" s="9"/>
      <c r="EGA1" s="9"/>
      <c r="EGB1" s="9"/>
      <c r="EGC1" s="9"/>
      <c r="EGD1" s="9"/>
      <c r="EGE1" s="9"/>
      <c r="EGF1" s="9"/>
      <c r="EGG1" s="9"/>
      <c r="EGH1" s="9"/>
      <c r="EGI1" s="9"/>
      <c r="EGJ1" s="9"/>
      <c r="EGK1" s="9"/>
      <c r="EGL1" s="9"/>
      <c r="EGM1" s="9"/>
      <c r="EGN1" s="9"/>
      <c r="EGO1" s="9"/>
      <c r="EGP1" s="9"/>
      <c r="EGQ1" s="9"/>
      <c r="EGR1" s="9"/>
      <c r="EGS1" s="9"/>
      <c r="EGT1" s="9"/>
      <c r="EGU1" s="9"/>
      <c r="EGV1" s="9"/>
      <c r="EGW1" s="9"/>
      <c r="EGX1" s="9"/>
      <c r="EGY1" s="9"/>
      <c r="EGZ1" s="9"/>
      <c r="EHA1" s="9"/>
      <c r="EHB1" s="9"/>
      <c r="EHC1" s="9"/>
      <c r="EHD1" s="9"/>
      <c r="EHE1" s="9"/>
      <c r="EHF1" s="9"/>
      <c r="EHG1" s="9"/>
      <c r="EHH1" s="9"/>
      <c r="EHI1" s="9"/>
      <c r="EHJ1" s="9"/>
      <c r="EHK1" s="9"/>
      <c r="EHL1" s="9"/>
      <c r="EHM1" s="9"/>
      <c r="EHN1" s="9"/>
      <c r="EHO1" s="9"/>
      <c r="EHP1" s="9"/>
      <c r="EHQ1" s="9"/>
      <c r="EHR1" s="9"/>
      <c r="EHS1" s="9"/>
      <c r="EHT1" s="9"/>
      <c r="EHU1" s="9"/>
      <c r="EHV1" s="9"/>
      <c r="EHW1" s="9"/>
      <c r="EHX1" s="9"/>
      <c r="EHY1" s="9"/>
      <c r="EHZ1" s="9"/>
      <c r="EIA1" s="9"/>
      <c r="EIB1" s="9"/>
      <c r="EIC1" s="9"/>
      <c r="EID1" s="9"/>
      <c r="EIE1" s="9"/>
      <c r="EIF1" s="9"/>
      <c r="EIG1" s="9"/>
      <c r="EIH1" s="9"/>
      <c r="EII1" s="9"/>
      <c r="EIJ1" s="9"/>
      <c r="EIK1" s="9"/>
      <c r="EIL1" s="9"/>
      <c r="EIM1" s="9"/>
      <c r="EIN1" s="9"/>
      <c r="EIO1" s="9"/>
      <c r="EIP1" s="9"/>
      <c r="EIQ1" s="9"/>
      <c r="EIR1" s="9"/>
      <c r="EIS1" s="9"/>
      <c r="EIT1" s="9"/>
      <c r="EIU1" s="9"/>
      <c r="EIV1" s="9"/>
      <c r="EIW1" s="9"/>
      <c r="EIX1" s="9"/>
      <c r="EIY1" s="9"/>
      <c r="EIZ1" s="9"/>
      <c r="EJA1" s="9"/>
      <c r="EJB1" s="9"/>
      <c r="EJC1" s="9"/>
      <c r="EJD1" s="9"/>
      <c r="EJE1" s="9"/>
      <c r="EJF1" s="9"/>
      <c r="EJG1" s="9"/>
      <c r="EJH1" s="9"/>
      <c r="EJI1" s="9"/>
      <c r="EJJ1" s="9"/>
      <c r="EJK1" s="9"/>
      <c r="EJL1" s="9"/>
      <c r="EJM1" s="9"/>
      <c r="EJN1" s="9"/>
      <c r="EJO1" s="9"/>
      <c r="EJP1" s="9"/>
      <c r="EJQ1" s="9"/>
      <c r="EJR1" s="9"/>
      <c r="EJS1" s="9"/>
      <c r="EJT1" s="9"/>
      <c r="EJU1" s="9"/>
      <c r="EJV1" s="9"/>
      <c r="EJW1" s="9"/>
      <c r="EJX1" s="9"/>
      <c r="EJY1" s="9"/>
      <c r="EJZ1" s="9"/>
      <c r="EKA1" s="9"/>
      <c r="EKB1" s="9"/>
      <c r="EKC1" s="9"/>
      <c r="EKD1" s="9"/>
      <c r="EKE1" s="9"/>
      <c r="EKF1" s="9"/>
      <c r="EKG1" s="9"/>
      <c r="EKH1" s="9"/>
      <c r="EKI1" s="9"/>
      <c r="EKJ1" s="9"/>
      <c r="EKK1" s="9"/>
      <c r="EKL1" s="9"/>
      <c r="EKM1" s="9"/>
      <c r="EKN1" s="9"/>
      <c r="EKO1" s="9"/>
      <c r="EKP1" s="9"/>
      <c r="EKQ1" s="9"/>
      <c r="EKR1" s="9"/>
      <c r="EKS1" s="9"/>
      <c r="EKT1" s="9"/>
      <c r="EKU1" s="9"/>
      <c r="EKV1" s="9"/>
      <c r="EKW1" s="9"/>
      <c r="EKX1" s="9"/>
      <c r="EKY1" s="9"/>
      <c r="EKZ1" s="9"/>
      <c r="ELA1" s="9"/>
      <c r="ELB1" s="9"/>
      <c r="ELC1" s="9"/>
      <c r="ELD1" s="9"/>
      <c r="ELE1" s="9"/>
      <c r="ELF1" s="9"/>
      <c r="ELG1" s="9"/>
      <c r="ELH1" s="9"/>
      <c r="ELI1" s="9"/>
      <c r="ELJ1" s="9"/>
      <c r="ELK1" s="9"/>
      <c r="ELL1" s="9"/>
      <c r="ELM1" s="9"/>
      <c r="ELN1" s="9"/>
      <c r="ELO1" s="9"/>
      <c r="ELP1" s="9"/>
      <c r="ELQ1" s="9"/>
      <c r="ELR1" s="9"/>
      <c r="ELS1" s="9"/>
      <c r="ELT1" s="9"/>
      <c r="ELU1" s="9"/>
      <c r="ELV1" s="9"/>
      <c r="ELW1" s="9"/>
      <c r="ELX1" s="9"/>
      <c r="ELY1" s="9"/>
      <c r="ELZ1" s="9"/>
      <c r="EMA1" s="9"/>
      <c r="EMB1" s="9"/>
      <c r="EMC1" s="9"/>
      <c r="EMD1" s="9"/>
      <c r="EME1" s="9"/>
      <c r="EMF1" s="9"/>
      <c r="EMG1" s="9"/>
      <c r="EMH1" s="9"/>
      <c r="EMI1" s="9"/>
      <c r="EMJ1" s="9"/>
      <c r="EMK1" s="9"/>
      <c r="EML1" s="9"/>
      <c r="EMM1" s="9"/>
      <c r="EMN1" s="9"/>
      <c r="EMO1" s="9"/>
      <c r="EMP1" s="9"/>
      <c r="EMQ1" s="9"/>
      <c r="EMR1" s="9"/>
      <c r="EMS1" s="9"/>
      <c r="EMT1" s="9"/>
      <c r="EMU1" s="9"/>
      <c r="EMV1" s="9"/>
      <c r="EMW1" s="9"/>
      <c r="EMX1" s="9"/>
      <c r="EMY1" s="9"/>
      <c r="EMZ1" s="9"/>
      <c r="ENA1" s="9"/>
      <c r="ENB1" s="9"/>
      <c r="ENC1" s="9"/>
      <c r="END1" s="9"/>
      <c r="ENE1" s="9"/>
      <c r="ENF1" s="9"/>
      <c r="ENG1" s="9"/>
      <c r="ENH1" s="9"/>
      <c r="ENI1" s="9"/>
      <c r="ENJ1" s="9"/>
      <c r="ENK1" s="9"/>
      <c r="ENL1" s="9"/>
      <c r="ENM1" s="9"/>
      <c r="ENN1" s="9"/>
      <c r="ENO1" s="9"/>
      <c r="ENP1" s="9"/>
      <c r="ENQ1" s="9"/>
      <c r="ENR1" s="9"/>
      <c r="ENS1" s="9"/>
      <c r="ENT1" s="9"/>
      <c r="ENU1" s="9"/>
      <c r="ENV1" s="9"/>
      <c r="ENW1" s="9"/>
      <c r="ENX1" s="9"/>
      <c r="ENY1" s="9"/>
      <c r="ENZ1" s="9"/>
      <c r="EOA1" s="9"/>
      <c r="EOB1" s="9"/>
      <c r="EOC1" s="9"/>
      <c r="EOD1" s="9"/>
      <c r="EOE1" s="9"/>
      <c r="EOF1" s="9"/>
      <c r="EOG1" s="9"/>
      <c r="EOH1" s="9"/>
      <c r="EOI1" s="9"/>
      <c r="EOJ1" s="9"/>
      <c r="EOK1" s="9"/>
      <c r="EOL1" s="9"/>
      <c r="EOM1" s="9"/>
      <c r="EON1" s="9"/>
      <c r="EOO1" s="9"/>
      <c r="EOP1" s="9"/>
      <c r="EOQ1" s="9"/>
      <c r="EOR1" s="9"/>
      <c r="EOS1" s="9"/>
      <c r="EOT1" s="9"/>
      <c r="EOU1" s="9"/>
      <c r="EOV1" s="9"/>
      <c r="EOW1" s="9"/>
      <c r="EOX1" s="9"/>
      <c r="EOY1" s="9"/>
      <c r="EOZ1" s="9"/>
      <c r="EPA1" s="9"/>
      <c r="EPB1" s="9"/>
      <c r="EPC1" s="9"/>
      <c r="EPD1" s="9"/>
      <c r="EPE1" s="9"/>
      <c r="EPF1" s="9"/>
      <c r="EPG1" s="9"/>
      <c r="EPH1" s="9"/>
      <c r="EPI1" s="9"/>
      <c r="EPJ1" s="9"/>
      <c r="EPK1" s="9"/>
      <c r="EPL1" s="9"/>
      <c r="EPM1" s="9"/>
      <c r="EPN1" s="9"/>
      <c r="EPO1" s="9"/>
      <c r="EPP1" s="9"/>
      <c r="EPQ1" s="9"/>
      <c r="EPR1" s="9"/>
      <c r="EPS1" s="9"/>
      <c r="EPT1" s="9"/>
      <c r="EPU1" s="9"/>
      <c r="EPV1" s="9"/>
      <c r="EPW1" s="9"/>
      <c r="EPX1" s="9"/>
      <c r="EPY1" s="9"/>
      <c r="EPZ1" s="9"/>
      <c r="EQA1" s="9"/>
      <c r="EQB1" s="9"/>
      <c r="EQC1" s="9"/>
      <c r="EQD1" s="9"/>
      <c r="EQE1" s="9"/>
      <c r="EQF1" s="9"/>
      <c r="EQG1" s="9"/>
      <c r="EQH1" s="9"/>
      <c r="EQI1" s="9"/>
      <c r="EQJ1" s="9"/>
      <c r="EQK1" s="9"/>
      <c r="EQL1" s="9"/>
      <c r="EQM1" s="9"/>
      <c r="EQN1" s="9"/>
      <c r="EQO1" s="9"/>
      <c r="EQP1" s="9"/>
      <c r="EQQ1" s="9"/>
      <c r="EQR1" s="9"/>
      <c r="EQS1" s="9"/>
      <c r="EQT1" s="9"/>
      <c r="EQU1" s="9"/>
      <c r="EQV1" s="9"/>
      <c r="EQW1" s="9"/>
      <c r="EQX1" s="9"/>
      <c r="EQY1" s="9"/>
      <c r="EQZ1" s="9"/>
      <c r="ERA1" s="9"/>
      <c r="ERB1" s="9"/>
      <c r="ERC1" s="9"/>
      <c r="ERD1" s="9"/>
      <c r="ERE1" s="9"/>
      <c r="ERF1" s="9"/>
      <c r="ERG1" s="9"/>
      <c r="ERH1" s="9"/>
      <c r="ERI1" s="9"/>
      <c r="ERJ1" s="9"/>
      <c r="ERK1" s="9"/>
      <c r="ERL1" s="9"/>
      <c r="ERM1" s="9"/>
      <c r="ERN1" s="9"/>
      <c r="ERO1" s="9"/>
      <c r="ERP1" s="9"/>
      <c r="ERQ1" s="9"/>
      <c r="ERR1" s="9"/>
      <c r="ERS1" s="9"/>
      <c r="ERT1" s="9"/>
      <c r="ERU1" s="9"/>
      <c r="ERV1" s="9"/>
      <c r="ERW1" s="9"/>
      <c r="ERX1" s="9"/>
      <c r="ERY1" s="9"/>
      <c r="ERZ1" s="9"/>
      <c r="ESA1" s="9"/>
      <c r="ESB1" s="9"/>
      <c r="ESC1" s="9"/>
      <c r="ESD1" s="9"/>
      <c r="ESE1" s="9"/>
      <c r="ESF1" s="9"/>
      <c r="ESG1" s="9"/>
      <c r="ESH1" s="9"/>
      <c r="ESI1" s="9"/>
      <c r="ESJ1" s="9"/>
      <c r="ESK1" s="9"/>
      <c r="ESL1" s="9"/>
      <c r="ESM1" s="9"/>
      <c r="ESN1" s="9"/>
      <c r="ESO1" s="9"/>
      <c r="ESP1" s="9"/>
      <c r="ESQ1" s="9"/>
      <c r="ESR1" s="9"/>
      <c r="ESS1" s="9"/>
      <c r="EST1" s="9"/>
      <c r="ESU1" s="9"/>
      <c r="ESV1" s="9"/>
      <c r="ESW1" s="9"/>
      <c r="ESX1" s="9"/>
      <c r="ESY1" s="9"/>
      <c r="ESZ1" s="9"/>
      <c r="ETA1" s="9"/>
      <c r="ETB1" s="9"/>
      <c r="ETC1" s="9"/>
      <c r="ETD1" s="9"/>
      <c r="ETE1" s="9"/>
      <c r="ETF1" s="9"/>
      <c r="ETG1" s="9"/>
      <c r="ETH1" s="9"/>
      <c r="ETI1" s="9"/>
      <c r="ETJ1" s="9"/>
      <c r="ETK1" s="9"/>
      <c r="ETL1" s="9"/>
      <c r="ETM1" s="9"/>
      <c r="ETN1" s="9"/>
      <c r="ETO1" s="9"/>
      <c r="ETP1" s="9"/>
      <c r="ETQ1" s="9"/>
      <c r="ETR1" s="9"/>
      <c r="ETS1" s="9"/>
      <c r="ETT1" s="9"/>
      <c r="ETU1" s="9"/>
      <c r="ETV1" s="9"/>
      <c r="ETW1" s="9"/>
      <c r="ETX1" s="9"/>
      <c r="ETY1" s="9"/>
      <c r="ETZ1" s="9"/>
      <c r="EUA1" s="9"/>
      <c r="EUB1" s="9"/>
      <c r="EUC1" s="9"/>
      <c r="EUD1" s="9"/>
      <c r="EUE1" s="9"/>
      <c r="EUF1" s="9"/>
      <c r="EUG1" s="9"/>
      <c r="EUH1" s="9"/>
      <c r="EUI1" s="9"/>
      <c r="EUJ1" s="9"/>
      <c r="EUK1" s="9"/>
      <c r="EUL1" s="9"/>
      <c r="EUM1" s="9"/>
      <c r="EUN1" s="9"/>
      <c r="EUO1" s="9"/>
      <c r="EUP1" s="9"/>
      <c r="EUQ1" s="9"/>
      <c r="EUR1" s="9"/>
      <c r="EUS1" s="9"/>
      <c r="EUT1" s="9"/>
      <c r="EUU1" s="9"/>
      <c r="EUV1" s="9"/>
      <c r="EUW1" s="9"/>
      <c r="EUX1" s="9"/>
      <c r="EUY1" s="9"/>
      <c r="EUZ1" s="9"/>
      <c r="EVA1" s="9"/>
      <c r="EVB1" s="9"/>
      <c r="EVC1" s="9"/>
      <c r="EVD1" s="9"/>
      <c r="EVE1" s="9"/>
      <c r="EVF1" s="9"/>
      <c r="EVG1" s="9"/>
      <c r="EVH1" s="9"/>
      <c r="EVI1" s="9"/>
      <c r="EVJ1" s="9"/>
      <c r="EVK1" s="9"/>
      <c r="EVL1" s="9"/>
      <c r="EVM1" s="9"/>
      <c r="EVN1" s="9"/>
      <c r="EVO1" s="9"/>
      <c r="EVP1" s="9"/>
      <c r="EVQ1" s="9"/>
      <c r="EVR1" s="9"/>
      <c r="EVS1" s="9"/>
      <c r="EVT1" s="9"/>
      <c r="EVU1" s="9"/>
      <c r="EVV1" s="9"/>
      <c r="EVW1" s="9"/>
      <c r="EVX1" s="9"/>
      <c r="EVY1" s="9"/>
      <c r="EVZ1" s="9"/>
      <c r="EWA1" s="9"/>
      <c r="EWB1" s="9"/>
      <c r="EWC1" s="9"/>
      <c r="EWD1" s="9"/>
      <c r="EWE1" s="9"/>
      <c r="EWF1" s="9"/>
      <c r="EWG1" s="9"/>
      <c r="EWH1" s="9"/>
      <c r="EWI1" s="9"/>
      <c r="EWJ1" s="9"/>
      <c r="EWK1" s="9"/>
      <c r="EWL1" s="9"/>
      <c r="EWM1" s="9"/>
      <c r="EWN1" s="9"/>
      <c r="EWO1" s="9"/>
      <c r="EWP1" s="9"/>
      <c r="EWQ1" s="9"/>
      <c r="EWR1" s="9"/>
      <c r="EWS1" s="9"/>
      <c r="EWT1" s="9"/>
      <c r="EWU1" s="9"/>
      <c r="EWV1" s="9"/>
      <c r="EWW1" s="9"/>
      <c r="EWX1" s="9"/>
      <c r="EWY1" s="9"/>
      <c r="EWZ1" s="9"/>
      <c r="EXA1" s="9"/>
      <c r="EXB1" s="9"/>
      <c r="EXC1" s="9"/>
      <c r="EXD1" s="9"/>
      <c r="EXE1" s="9"/>
      <c r="EXF1" s="9"/>
      <c r="EXG1" s="9"/>
      <c r="EXH1" s="9"/>
      <c r="EXI1" s="9"/>
      <c r="EXJ1" s="9"/>
      <c r="EXK1" s="9"/>
      <c r="EXL1" s="9"/>
      <c r="EXM1" s="9"/>
      <c r="EXN1" s="9"/>
      <c r="EXO1" s="9"/>
      <c r="EXP1" s="9"/>
      <c r="EXQ1" s="9"/>
      <c r="EXR1" s="9"/>
      <c r="EXS1" s="9"/>
      <c r="EXT1" s="9"/>
      <c r="EXU1" s="9"/>
      <c r="EXV1" s="9"/>
      <c r="EXW1" s="9"/>
      <c r="EXX1" s="9"/>
      <c r="EXY1" s="9"/>
      <c r="EXZ1" s="9"/>
      <c r="EYA1" s="9"/>
      <c r="EYB1" s="9"/>
      <c r="EYC1" s="9"/>
      <c r="EYD1" s="9"/>
      <c r="EYE1" s="9"/>
      <c r="EYF1" s="9"/>
      <c r="EYG1" s="9"/>
      <c r="EYH1" s="9"/>
      <c r="EYI1" s="9"/>
      <c r="EYJ1" s="9"/>
      <c r="EYK1" s="9"/>
      <c r="EYL1" s="9"/>
      <c r="EYM1" s="9"/>
      <c r="EYN1" s="9"/>
      <c r="EYO1" s="9"/>
      <c r="EYP1" s="9"/>
      <c r="EYQ1" s="9"/>
      <c r="EYR1" s="9"/>
      <c r="EYS1" s="9"/>
      <c r="EYT1" s="9"/>
      <c r="EYU1" s="9"/>
      <c r="EYV1" s="9"/>
      <c r="EYW1" s="9"/>
      <c r="EYX1" s="9"/>
      <c r="EYY1" s="9"/>
      <c r="EYZ1" s="9"/>
      <c r="EZA1" s="9"/>
      <c r="EZB1" s="9"/>
      <c r="EZC1" s="9"/>
      <c r="EZD1" s="9"/>
      <c r="EZE1" s="9"/>
      <c r="EZF1" s="9"/>
      <c r="EZG1" s="9"/>
      <c r="EZH1" s="9"/>
      <c r="EZI1" s="9"/>
      <c r="EZJ1" s="9"/>
      <c r="EZK1" s="9"/>
      <c r="EZL1" s="9"/>
      <c r="EZM1" s="9"/>
      <c r="EZN1" s="9"/>
      <c r="EZO1" s="9"/>
      <c r="EZP1" s="9"/>
      <c r="EZQ1" s="9"/>
      <c r="EZR1" s="9"/>
      <c r="EZS1" s="9"/>
      <c r="EZT1" s="9"/>
      <c r="EZU1" s="9"/>
      <c r="EZV1" s="9"/>
      <c r="EZW1" s="9"/>
      <c r="EZX1" s="9"/>
      <c r="EZY1" s="9"/>
      <c r="EZZ1" s="9"/>
      <c r="FAA1" s="9"/>
      <c r="FAB1" s="9"/>
      <c r="FAC1" s="9"/>
      <c r="FAD1" s="9"/>
      <c r="FAE1" s="9"/>
      <c r="FAF1" s="9"/>
      <c r="FAG1" s="9"/>
      <c r="FAH1" s="9"/>
      <c r="FAI1" s="9"/>
      <c r="FAJ1" s="9"/>
      <c r="FAK1" s="9"/>
      <c r="FAL1" s="9"/>
      <c r="FAM1" s="9"/>
      <c r="FAN1" s="9"/>
      <c r="FAO1" s="9"/>
      <c r="FAP1" s="9"/>
      <c r="FAQ1" s="9"/>
      <c r="FAR1" s="9"/>
      <c r="FAS1" s="9"/>
      <c r="FAT1" s="9"/>
      <c r="FAU1" s="9"/>
      <c r="FAV1" s="9"/>
      <c r="FAW1" s="9"/>
      <c r="FAX1" s="9"/>
      <c r="FAY1" s="9"/>
      <c r="FAZ1" s="9"/>
      <c r="FBA1" s="9"/>
      <c r="FBB1" s="9"/>
      <c r="FBC1" s="9"/>
      <c r="FBD1" s="9"/>
      <c r="FBE1" s="9"/>
      <c r="FBF1" s="9"/>
      <c r="FBG1" s="9"/>
      <c r="FBH1" s="9"/>
      <c r="FBI1" s="9"/>
      <c r="FBJ1" s="9"/>
      <c r="FBK1" s="9"/>
      <c r="FBL1" s="9"/>
      <c r="FBM1" s="9"/>
      <c r="FBN1" s="9"/>
      <c r="FBO1" s="9"/>
      <c r="FBP1" s="9"/>
      <c r="FBQ1" s="9"/>
      <c r="FBR1" s="9"/>
      <c r="FBS1" s="9"/>
      <c r="FBT1" s="9"/>
      <c r="FBU1" s="9"/>
      <c r="FBV1" s="9"/>
      <c r="FBW1" s="9"/>
      <c r="FBX1" s="9"/>
      <c r="FBY1" s="9"/>
      <c r="FBZ1" s="9"/>
      <c r="FCA1" s="9"/>
      <c r="FCB1" s="9"/>
      <c r="FCC1" s="9"/>
      <c r="FCD1" s="9"/>
      <c r="FCE1" s="9"/>
      <c r="FCF1" s="9"/>
      <c r="FCG1" s="9"/>
      <c r="FCH1" s="9"/>
      <c r="FCI1" s="9"/>
      <c r="FCJ1" s="9"/>
      <c r="FCK1" s="9"/>
      <c r="FCL1" s="9"/>
      <c r="FCM1" s="9"/>
      <c r="FCN1" s="9"/>
      <c r="FCO1" s="9"/>
      <c r="FCP1" s="9"/>
      <c r="FCQ1" s="9"/>
      <c r="FCR1" s="9"/>
      <c r="FCS1" s="9"/>
      <c r="FCT1" s="9"/>
      <c r="FCU1" s="9"/>
      <c r="FCV1" s="9"/>
      <c r="FCW1" s="9"/>
      <c r="FCX1" s="9"/>
      <c r="FCY1" s="9"/>
      <c r="FCZ1" s="9"/>
      <c r="FDA1" s="9"/>
      <c r="FDB1" s="9"/>
      <c r="FDC1" s="9"/>
      <c r="FDD1" s="9"/>
      <c r="FDE1" s="9"/>
      <c r="FDF1" s="9"/>
      <c r="FDG1" s="9"/>
      <c r="FDH1" s="9"/>
      <c r="FDI1" s="9"/>
      <c r="FDJ1" s="9"/>
      <c r="FDK1" s="9"/>
      <c r="FDL1" s="9"/>
      <c r="FDM1" s="9"/>
      <c r="FDN1" s="9"/>
      <c r="FDO1" s="9"/>
      <c r="FDP1" s="9"/>
      <c r="FDQ1" s="9"/>
      <c r="FDR1" s="9"/>
      <c r="FDS1" s="9"/>
      <c r="FDT1" s="9"/>
      <c r="FDU1" s="9"/>
      <c r="FDV1" s="9"/>
      <c r="FDW1" s="9"/>
      <c r="FDX1" s="9"/>
      <c r="FDY1" s="9"/>
      <c r="FDZ1" s="9"/>
      <c r="FEA1" s="9"/>
      <c r="FEB1" s="9"/>
      <c r="FEC1" s="9"/>
      <c r="FED1" s="9"/>
      <c r="FEE1" s="9"/>
      <c r="FEF1" s="9"/>
      <c r="FEG1" s="9"/>
      <c r="FEH1" s="9"/>
      <c r="FEI1" s="9"/>
      <c r="FEJ1" s="9"/>
      <c r="FEK1" s="9"/>
      <c r="FEL1" s="9"/>
      <c r="FEM1" s="9"/>
      <c r="FEN1" s="9"/>
      <c r="FEO1" s="9"/>
      <c r="FEP1" s="9"/>
      <c r="FEQ1" s="9"/>
      <c r="FER1" s="9"/>
      <c r="FES1" s="9"/>
      <c r="FET1" s="9"/>
      <c r="FEU1" s="9"/>
      <c r="FEV1" s="9"/>
      <c r="FEW1" s="9"/>
      <c r="FEX1" s="9"/>
      <c r="FEY1" s="9"/>
      <c r="FEZ1" s="9"/>
      <c r="FFA1" s="9"/>
      <c r="FFB1" s="9"/>
      <c r="FFC1" s="9"/>
      <c r="FFD1" s="9"/>
      <c r="FFE1" s="9"/>
      <c r="FFF1" s="9"/>
      <c r="FFG1" s="9"/>
      <c r="FFH1" s="9"/>
      <c r="FFI1" s="9"/>
      <c r="FFJ1" s="9"/>
      <c r="FFK1" s="9"/>
      <c r="FFL1" s="9"/>
      <c r="FFM1" s="9"/>
      <c r="FFN1" s="9"/>
      <c r="FFO1" s="9"/>
      <c r="FFP1" s="9"/>
      <c r="FFQ1" s="9"/>
      <c r="FFR1" s="9"/>
      <c r="FFS1" s="9"/>
      <c r="FFT1" s="9"/>
      <c r="FFU1" s="9"/>
      <c r="FFV1" s="9"/>
      <c r="FFW1" s="9"/>
      <c r="FFX1" s="9"/>
      <c r="FFY1" s="9"/>
      <c r="FFZ1" s="9"/>
      <c r="FGA1" s="9"/>
      <c r="FGB1" s="9"/>
      <c r="FGC1" s="9"/>
      <c r="FGD1" s="9"/>
      <c r="FGE1" s="9"/>
      <c r="FGF1" s="9"/>
      <c r="FGG1" s="9"/>
      <c r="FGH1" s="9"/>
      <c r="FGI1" s="9"/>
      <c r="FGJ1" s="9"/>
      <c r="FGK1" s="9"/>
      <c r="FGL1" s="9"/>
      <c r="FGM1" s="9"/>
      <c r="FGN1" s="9"/>
      <c r="FGO1" s="9"/>
      <c r="FGP1" s="9"/>
      <c r="FGQ1" s="9"/>
      <c r="FGR1" s="9"/>
      <c r="FGS1" s="9"/>
      <c r="FGT1" s="9"/>
      <c r="FGU1" s="9"/>
      <c r="FGV1" s="9"/>
      <c r="FGW1" s="9"/>
      <c r="FGX1" s="9"/>
      <c r="FGY1" s="9"/>
      <c r="FGZ1" s="9"/>
      <c r="FHA1" s="9"/>
      <c r="FHB1" s="9"/>
      <c r="FHC1" s="9"/>
      <c r="FHD1" s="9"/>
      <c r="FHE1" s="9"/>
      <c r="FHF1" s="9"/>
      <c r="FHG1" s="9"/>
      <c r="FHH1" s="9"/>
      <c r="FHI1" s="9"/>
      <c r="FHJ1" s="9"/>
      <c r="FHK1" s="9"/>
      <c r="FHL1" s="9"/>
      <c r="FHM1" s="9"/>
      <c r="FHN1" s="9"/>
      <c r="FHO1" s="9"/>
      <c r="FHP1" s="9"/>
      <c r="FHQ1" s="9"/>
      <c r="FHR1" s="9"/>
      <c r="FHS1" s="9"/>
      <c r="FHT1" s="9"/>
      <c r="FHU1" s="9"/>
      <c r="FHV1" s="9"/>
      <c r="FHW1" s="9"/>
      <c r="FHX1" s="9"/>
      <c r="FHY1" s="9"/>
      <c r="FHZ1" s="9"/>
      <c r="FIA1" s="9"/>
      <c r="FIB1" s="9"/>
      <c r="FIC1" s="9"/>
      <c r="FID1" s="9"/>
      <c r="FIE1" s="9"/>
      <c r="FIF1" s="9"/>
      <c r="FIG1" s="9"/>
      <c r="FIH1" s="9"/>
      <c r="FII1" s="9"/>
      <c r="FIJ1" s="9"/>
      <c r="FIK1" s="9"/>
      <c r="FIL1" s="9"/>
      <c r="FIM1" s="9"/>
      <c r="FIN1" s="9"/>
      <c r="FIO1" s="9"/>
      <c r="FIP1" s="9"/>
      <c r="FIQ1" s="9"/>
      <c r="FIR1" s="9"/>
      <c r="FIS1" s="9"/>
      <c r="FIT1" s="9"/>
      <c r="FIU1" s="9"/>
      <c r="FIV1" s="9"/>
      <c r="FIW1" s="9"/>
      <c r="FIX1" s="9"/>
      <c r="FIY1" s="9"/>
      <c r="FIZ1" s="9"/>
      <c r="FJA1" s="9"/>
      <c r="FJB1" s="9"/>
      <c r="FJC1" s="9"/>
      <c r="FJD1" s="9"/>
      <c r="FJE1" s="9"/>
      <c r="FJF1" s="9"/>
      <c r="FJG1" s="9"/>
      <c r="FJH1" s="9"/>
      <c r="FJI1" s="9"/>
      <c r="FJJ1" s="9"/>
      <c r="FJK1" s="9"/>
      <c r="FJL1" s="9"/>
      <c r="FJM1" s="9"/>
      <c r="FJN1" s="9"/>
      <c r="FJO1" s="9"/>
      <c r="FJP1" s="9"/>
      <c r="FJQ1" s="9"/>
      <c r="FJR1" s="9"/>
      <c r="FJS1" s="9"/>
      <c r="FJT1" s="9"/>
      <c r="FJU1" s="9"/>
      <c r="FJV1" s="9"/>
      <c r="FJW1" s="9"/>
      <c r="FJX1" s="9"/>
      <c r="FJY1" s="9"/>
      <c r="FJZ1" s="9"/>
      <c r="FKA1" s="9"/>
      <c r="FKB1" s="9"/>
      <c r="FKC1" s="9"/>
      <c r="FKD1" s="9"/>
      <c r="FKE1" s="9"/>
      <c r="FKF1" s="9"/>
      <c r="FKG1" s="9"/>
      <c r="FKH1" s="9"/>
      <c r="FKI1" s="9"/>
      <c r="FKJ1" s="9"/>
      <c r="FKK1" s="9"/>
      <c r="FKL1" s="9"/>
      <c r="FKM1" s="9"/>
      <c r="FKN1" s="9"/>
      <c r="FKO1" s="9"/>
      <c r="FKP1" s="9"/>
      <c r="FKQ1" s="9"/>
      <c r="FKR1" s="9"/>
      <c r="FKS1" s="9"/>
      <c r="FKT1" s="9"/>
      <c r="FKU1" s="9"/>
      <c r="FKV1" s="9"/>
      <c r="FKW1" s="9"/>
      <c r="FKX1" s="9"/>
      <c r="FKY1" s="9"/>
      <c r="FKZ1" s="9"/>
      <c r="FLA1" s="9"/>
      <c r="FLB1" s="9"/>
      <c r="FLC1" s="9"/>
      <c r="FLD1" s="9"/>
      <c r="FLE1" s="9"/>
      <c r="FLF1" s="9"/>
      <c r="FLG1" s="9"/>
      <c r="FLH1" s="9"/>
      <c r="FLI1" s="9"/>
      <c r="FLJ1" s="9"/>
      <c r="FLK1" s="9"/>
      <c r="FLL1" s="9"/>
      <c r="FLM1" s="9"/>
      <c r="FLN1" s="9"/>
      <c r="FLO1" s="9"/>
      <c r="FLP1" s="9"/>
      <c r="FLQ1" s="9"/>
      <c r="FLR1" s="9"/>
      <c r="FLS1" s="9"/>
      <c r="FLT1" s="9"/>
      <c r="FLU1" s="9"/>
      <c r="FLV1" s="9"/>
      <c r="FLW1" s="9"/>
      <c r="FLX1" s="9"/>
      <c r="FLY1" s="9"/>
      <c r="FLZ1" s="9"/>
      <c r="FMA1" s="9"/>
      <c r="FMB1" s="9"/>
      <c r="FMC1" s="9"/>
      <c r="FMD1" s="9"/>
      <c r="FME1" s="9"/>
      <c r="FMF1" s="9"/>
      <c r="FMG1" s="9"/>
      <c r="FMH1" s="9"/>
      <c r="FMI1" s="9"/>
      <c r="FMJ1" s="9"/>
      <c r="FMK1" s="9"/>
      <c r="FML1" s="9"/>
      <c r="FMM1" s="9"/>
      <c r="FMN1" s="9"/>
      <c r="FMO1" s="9"/>
      <c r="FMP1" s="9"/>
      <c r="FMQ1" s="9"/>
      <c r="FMR1" s="9"/>
      <c r="FMS1" s="9"/>
      <c r="FMT1" s="9"/>
      <c r="FMU1" s="9"/>
      <c r="FMV1" s="9"/>
      <c r="FMW1" s="9"/>
      <c r="FMX1" s="9"/>
      <c r="FMY1" s="9"/>
      <c r="FMZ1" s="9"/>
      <c r="FNA1" s="9"/>
      <c r="FNB1" s="9"/>
      <c r="FNC1" s="9"/>
      <c r="FND1" s="9"/>
      <c r="FNE1" s="9"/>
      <c r="FNF1" s="9"/>
      <c r="FNG1" s="9"/>
      <c r="FNH1" s="9"/>
      <c r="FNI1" s="9"/>
      <c r="FNJ1" s="9"/>
      <c r="FNK1" s="9"/>
      <c r="FNL1" s="9"/>
      <c r="FNM1" s="9"/>
      <c r="FNN1" s="9"/>
      <c r="FNO1" s="9"/>
      <c r="FNP1" s="9"/>
      <c r="FNQ1" s="9"/>
      <c r="FNR1" s="9"/>
      <c r="FNS1" s="9"/>
      <c r="FNT1" s="9"/>
      <c r="FNU1" s="9"/>
      <c r="FNV1" s="9"/>
      <c r="FNW1" s="9"/>
      <c r="FNX1" s="9"/>
      <c r="FNY1" s="9"/>
      <c r="FNZ1" s="9"/>
      <c r="FOA1" s="9"/>
      <c r="FOB1" s="9"/>
      <c r="FOC1" s="9"/>
      <c r="FOD1" s="9"/>
      <c r="FOE1" s="9"/>
      <c r="FOF1" s="9"/>
      <c r="FOG1" s="9"/>
      <c r="FOH1" s="9"/>
      <c r="FOI1" s="9"/>
      <c r="FOJ1" s="9"/>
      <c r="FOK1" s="9"/>
      <c r="FOL1" s="9"/>
      <c r="FOM1" s="9"/>
      <c r="FON1" s="9"/>
      <c r="FOO1" s="9"/>
      <c r="FOP1" s="9"/>
      <c r="FOQ1" s="9"/>
      <c r="FOR1" s="9"/>
      <c r="FOS1" s="9"/>
      <c r="FOT1" s="9"/>
      <c r="FOU1" s="9"/>
      <c r="FOV1" s="9"/>
      <c r="FOW1" s="9"/>
      <c r="FOX1" s="9"/>
      <c r="FOY1" s="9"/>
      <c r="FOZ1" s="9"/>
      <c r="FPA1" s="9"/>
      <c r="FPB1" s="9"/>
      <c r="FPC1" s="9"/>
      <c r="FPD1" s="9"/>
      <c r="FPE1" s="9"/>
      <c r="FPF1" s="9"/>
      <c r="FPG1" s="9"/>
      <c r="FPH1" s="9"/>
      <c r="FPI1" s="9"/>
      <c r="FPJ1" s="9"/>
      <c r="FPK1" s="9"/>
      <c r="FPL1" s="9"/>
      <c r="FPM1" s="9"/>
      <c r="FPN1" s="9"/>
      <c r="FPO1" s="9"/>
      <c r="FPP1" s="9"/>
      <c r="FPQ1" s="9"/>
      <c r="FPR1" s="9"/>
      <c r="FPS1" s="9"/>
      <c r="FPT1" s="9"/>
      <c r="FPU1" s="9"/>
      <c r="FPV1" s="9"/>
      <c r="FPW1" s="9"/>
      <c r="FPX1" s="9"/>
      <c r="FPY1" s="9"/>
      <c r="FPZ1" s="9"/>
      <c r="FQA1" s="9"/>
      <c r="FQB1" s="9"/>
      <c r="FQC1" s="9"/>
      <c r="FQD1" s="9"/>
      <c r="FQE1" s="9"/>
      <c r="FQF1" s="9"/>
      <c r="FQG1" s="9"/>
      <c r="FQH1" s="9"/>
      <c r="FQI1" s="9"/>
      <c r="FQJ1" s="9"/>
      <c r="FQK1" s="9"/>
      <c r="FQL1" s="9"/>
      <c r="FQM1" s="9"/>
      <c r="FQN1" s="9"/>
      <c r="FQO1" s="9"/>
      <c r="FQP1" s="9"/>
      <c r="FQQ1" s="9"/>
      <c r="FQR1" s="9"/>
      <c r="FQS1" s="9"/>
      <c r="FQT1" s="9"/>
      <c r="FQU1" s="9"/>
      <c r="FQV1" s="9"/>
      <c r="FQW1" s="9"/>
      <c r="FQX1" s="9"/>
      <c r="FQY1" s="9"/>
      <c r="FQZ1" s="9"/>
      <c r="FRA1" s="9"/>
      <c r="FRB1" s="9"/>
      <c r="FRC1" s="9"/>
      <c r="FRD1" s="9"/>
      <c r="FRE1" s="9"/>
      <c r="FRF1" s="9"/>
      <c r="FRG1" s="9"/>
      <c r="FRH1" s="9"/>
      <c r="FRI1" s="9"/>
      <c r="FRJ1" s="9"/>
      <c r="FRK1" s="9"/>
      <c r="FRL1" s="9"/>
      <c r="FRM1" s="9"/>
      <c r="FRN1" s="9"/>
      <c r="FRO1" s="9"/>
      <c r="FRP1" s="9"/>
      <c r="FRQ1" s="9"/>
      <c r="FRR1" s="9"/>
      <c r="FRS1" s="9"/>
      <c r="FRT1" s="9"/>
      <c r="FRU1" s="9"/>
      <c r="FRV1" s="9"/>
      <c r="FRW1" s="9"/>
      <c r="FRX1" s="9"/>
      <c r="FRY1" s="9"/>
      <c r="FRZ1" s="9"/>
      <c r="FSA1" s="9"/>
      <c r="FSB1" s="9"/>
      <c r="FSC1" s="9"/>
      <c r="FSD1" s="9"/>
      <c r="FSE1" s="9"/>
      <c r="FSF1" s="9"/>
      <c r="FSG1" s="9"/>
      <c r="FSH1" s="9"/>
      <c r="FSI1" s="9"/>
      <c r="FSJ1" s="9"/>
      <c r="FSK1" s="9"/>
      <c r="FSL1" s="9"/>
      <c r="FSM1" s="9"/>
      <c r="FSN1" s="9"/>
      <c r="FSO1" s="9"/>
      <c r="FSP1" s="9"/>
      <c r="FSQ1" s="9"/>
      <c r="FSR1" s="9"/>
      <c r="FSS1" s="9"/>
      <c r="FST1" s="9"/>
      <c r="FSU1" s="9"/>
      <c r="FSV1" s="9"/>
      <c r="FSW1" s="9"/>
      <c r="FSX1" s="9"/>
      <c r="FSY1" s="9"/>
      <c r="FSZ1" s="9"/>
      <c r="FTA1" s="9"/>
      <c r="FTB1" s="9"/>
      <c r="FTC1" s="9"/>
      <c r="FTD1" s="9"/>
      <c r="FTE1" s="9"/>
      <c r="FTF1" s="9"/>
      <c r="FTG1" s="9"/>
      <c r="FTH1" s="9"/>
      <c r="FTI1" s="9"/>
      <c r="FTJ1" s="9"/>
      <c r="FTK1" s="9"/>
      <c r="FTL1" s="9"/>
      <c r="FTM1" s="9"/>
      <c r="FTN1" s="9"/>
      <c r="FTO1" s="9"/>
      <c r="FTP1" s="9"/>
      <c r="FTQ1" s="9"/>
      <c r="FTR1" s="9"/>
      <c r="FTS1" s="9"/>
      <c r="FTT1" s="9"/>
      <c r="FTU1" s="9"/>
      <c r="FTV1" s="9"/>
      <c r="FTW1" s="9"/>
      <c r="FTX1" s="9"/>
      <c r="FTY1" s="9"/>
      <c r="FTZ1" s="9"/>
      <c r="FUA1" s="9"/>
      <c r="FUB1" s="9"/>
      <c r="FUC1" s="9"/>
      <c r="FUD1" s="9"/>
      <c r="FUE1" s="9"/>
      <c r="FUF1" s="9"/>
      <c r="FUG1" s="9"/>
      <c r="FUH1" s="9"/>
      <c r="FUI1" s="9"/>
      <c r="FUJ1" s="9"/>
      <c r="FUK1" s="9"/>
      <c r="FUL1" s="9"/>
      <c r="FUM1" s="9"/>
      <c r="FUN1" s="9"/>
      <c r="FUO1" s="9"/>
      <c r="FUP1" s="9"/>
      <c r="FUQ1" s="9"/>
      <c r="FUR1" s="9"/>
      <c r="FUS1" s="9"/>
      <c r="FUT1" s="9"/>
      <c r="FUU1" s="9"/>
      <c r="FUV1" s="9"/>
      <c r="FUW1" s="9"/>
      <c r="FUX1" s="9"/>
      <c r="FUY1" s="9"/>
      <c r="FUZ1" s="9"/>
      <c r="FVA1" s="9"/>
      <c r="FVB1" s="9"/>
      <c r="FVC1" s="9"/>
      <c r="FVD1" s="9"/>
      <c r="FVE1" s="9"/>
      <c r="FVF1" s="9"/>
      <c r="FVG1" s="9"/>
      <c r="FVH1" s="9"/>
      <c r="FVI1" s="9"/>
      <c r="FVJ1" s="9"/>
      <c r="FVK1" s="9"/>
      <c r="FVL1" s="9"/>
      <c r="FVM1" s="9"/>
      <c r="FVN1" s="9"/>
      <c r="FVO1" s="9"/>
      <c r="FVP1" s="9"/>
      <c r="FVQ1" s="9"/>
      <c r="FVR1" s="9"/>
      <c r="FVS1" s="9"/>
      <c r="FVT1" s="9"/>
      <c r="FVU1" s="9"/>
      <c r="FVV1" s="9"/>
      <c r="FVW1" s="9"/>
      <c r="FVX1" s="9"/>
      <c r="FVY1" s="9"/>
      <c r="FVZ1" s="9"/>
      <c r="FWA1" s="9"/>
      <c r="FWB1" s="9"/>
      <c r="FWC1" s="9"/>
      <c r="FWD1" s="9"/>
      <c r="FWE1" s="9"/>
      <c r="FWF1" s="9"/>
      <c r="FWG1" s="9"/>
      <c r="FWH1" s="9"/>
      <c r="FWI1" s="9"/>
      <c r="FWJ1" s="9"/>
      <c r="FWK1" s="9"/>
      <c r="FWL1" s="9"/>
      <c r="FWM1" s="9"/>
      <c r="FWN1" s="9"/>
      <c r="FWO1" s="9"/>
      <c r="FWP1" s="9"/>
      <c r="FWQ1" s="9"/>
      <c r="FWR1" s="9"/>
      <c r="FWS1" s="9"/>
      <c r="FWT1" s="9"/>
      <c r="FWU1" s="9"/>
      <c r="FWV1" s="9"/>
      <c r="FWW1" s="9"/>
      <c r="FWX1" s="9"/>
      <c r="FWY1" s="9"/>
      <c r="FWZ1" s="9"/>
      <c r="FXA1" s="9"/>
      <c r="FXB1" s="9"/>
      <c r="FXC1" s="9"/>
      <c r="FXD1" s="9"/>
      <c r="FXE1" s="9"/>
      <c r="FXF1" s="9"/>
      <c r="FXG1" s="9"/>
      <c r="FXH1" s="9"/>
      <c r="FXI1" s="9"/>
      <c r="FXJ1" s="9"/>
      <c r="FXK1" s="9"/>
      <c r="FXL1" s="9"/>
      <c r="FXM1" s="9"/>
      <c r="FXN1" s="9"/>
      <c r="FXO1" s="9"/>
      <c r="FXP1" s="9"/>
      <c r="FXQ1" s="9"/>
      <c r="FXR1" s="9"/>
      <c r="FXS1" s="9"/>
      <c r="FXT1" s="9"/>
      <c r="FXU1" s="9"/>
      <c r="FXV1" s="9"/>
      <c r="FXW1" s="9"/>
      <c r="FXX1" s="9"/>
      <c r="FXY1" s="9"/>
      <c r="FXZ1" s="9"/>
      <c r="FYA1" s="9"/>
      <c r="FYB1" s="9"/>
      <c r="FYC1" s="9"/>
      <c r="FYD1" s="9"/>
      <c r="FYE1" s="9"/>
      <c r="FYF1" s="9"/>
      <c r="FYG1" s="9"/>
      <c r="FYH1" s="9"/>
      <c r="FYI1" s="9"/>
      <c r="FYJ1" s="9"/>
      <c r="FYK1" s="9"/>
      <c r="FYL1" s="9"/>
      <c r="FYM1" s="9"/>
      <c r="FYN1" s="9"/>
      <c r="FYO1" s="9"/>
      <c r="FYP1" s="9"/>
      <c r="FYQ1" s="9"/>
      <c r="FYR1" s="9"/>
      <c r="FYS1" s="9"/>
      <c r="FYT1" s="9"/>
      <c r="FYU1" s="9"/>
      <c r="FYV1" s="9"/>
      <c r="FYW1" s="9"/>
      <c r="FYX1" s="9"/>
      <c r="FYY1" s="9"/>
      <c r="FYZ1" s="9"/>
      <c r="FZA1" s="9"/>
      <c r="FZB1" s="9"/>
      <c r="FZC1" s="9"/>
      <c r="FZD1" s="9"/>
      <c r="FZE1" s="9"/>
      <c r="FZF1" s="9"/>
      <c r="FZG1" s="9"/>
      <c r="FZH1" s="9"/>
      <c r="FZI1" s="9"/>
      <c r="FZJ1" s="9"/>
      <c r="FZK1" s="9"/>
      <c r="FZL1" s="9"/>
      <c r="FZM1" s="9"/>
      <c r="FZN1" s="9"/>
      <c r="FZO1" s="9"/>
      <c r="FZP1" s="9"/>
      <c r="FZQ1" s="9"/>
      <c r="FZR1" s="9"/>
      <c r="FZS1" s="9"/>
      <c r="FZT1" s="9"/>
      <c r="FZU1" s="9"/>
      <c r="FZV1" s="9"/>
      <c r="FZW1" s="9"/>
      <c r="FZX1" s="9"/>
      <c r="FZY1" s="9"/>
      <c r="FZZ1" s="9"/>
      <c r="GAA1" s="9"/>
      <c r="GAB1" s="9"/>
      <c r="GAC1" s="9"/>
      <c r="GAD1" s="9"/>
      <c r="GAE1" s="9"/>
      <c r="GAF1" s="9"/>
      <c r="GAG1" s="9"/>
      <c r="GAH1" s="9"/>
      <c r="GAI1" s="9"/>
      <c r="GAJ1" s="9"/>
      <c r="GAK1" s="9"/>
      <c r="GAL1" s="9"/>
      <c r="GAM1" s="9"/>
      <c r="GAN1" s="9"/>
      <c r="GAO1" s="9"/>
      <c r="GAP1" s="9"/>
      <c r="GAQ1" s="9"/>
      <c r="GAR1" s="9"/>
      <c r="GAS1" s="9"/>
      <c r="GAT1" s="9"/>
      <c r="GAU1" s="9"/>
      <c r="GAV1" s="9"/>
      <c r="GAW1" s="9"/>
      <c r="GAX1" s="9"/>
      <c r="GAY1" s="9"/>
      <c r="GAZ1" s="9"/>
      <c r="GBA1" s="9"/>
      <c r="GBB1" s="9"/>
      <c r="GBC1" s="9"/>
      <c r="GBD1" s="9"/>
      <c r="GBE1" s="9"/>
      <c r="GBF1" s="9"/>
      <c r="GBG1" s="9"/>
      <c r="GBH1" s="9"/>
      <c r="GBI1" s="9"/>
      <c r="GBJ1" s="9"/>
      <c r="GBK1" s="9"/>
      <c r="GBL1" s="9"/>
      <c r="GBM1" s="9"/>
      <c r="GBN1" s="9"/>
      <c r="GBO1" s="9"/>
      <c r="GBP1" s="9"/>
      <c r="GBQ1" s="9"/>
      <c r="GBR1" s="9"/>
      <c r="GBS1" s="9"/>
      <c r="GBT1" s="9"/>
      <c r="GBU1" s="9"/>
      <c r="GBV1" s="9"/>
      <c r="GBW1" s="9"/>
      <c r="GBX1" s="9"/>
      <c r="GBY1" s="9"/>
      <c r="GBZ1" s="9"/>
      <c r="GCA1" s="9"/>
      <c r="GCB1" s="9"/>
      <c r="GCC1" s="9"/>
      <c r="GCD1" s="9"/>
      <c r="GCE1" s="9"/>
      <c r="GCF1" s="9"/>
      <c r="GCG1" s="9"/>
      <c r="GCH1" s="9"/>
      <c r="GCI1" s="9"/>
      <c r="GCJ1" s="9"/>
      <c r="GCK1" s="9"/>
      <c r="GCL1" s="9"/>
      <c r="GCM1" s="9"/>
      <c r="GCN1" s="9"/>
      <c r="GCO1" s="9"/>
      <c r="GCP1" s="9"/>
      <c r="GCQ1" s="9"/>
      <c r="GCR1" s="9"/>
      <c r="GCS1" s="9"/>
      <c r="GCT1" s="9"/>
      <c r="GCU1" s="9"/>
      <c r="GCV1" s="9"/>
      <c r="GCW1" s="9"/>
      <c r="GCX1" s="9"/>
      <c r="GCY1" s="9"/>
      <c r="GCZ1" s="9"/>
      <c r="GDA1" s="9"/>
      <c r="GDB1" s="9"/>
      <c r="GDC1" s="9"/>
      <c r="GDD1" s="9"/>
      <c r="GDE1" s="9"/>
      <c r="GDF1" s="9"/>
      <c r="GDG1" s="9"/>
      <c r="GDH1" s="9"/>
      <c r="GDI1" s="9"/>
      <c r="GDJ1" s="9"/>
      <c r="GDK1" s="9"/>
      <c r="GDL1" s="9"/>
      <c r="GDM1" s="9"/>
      <c r="GDN1" s="9"/>
      <c r="GDO1" s="9"/>
      <c r="GDP1" s="9"/>
      <c r="GDQ1" s="9"/>
      <c r="GDR1" s="9"/>
      <c r="GDS1" s="9"/>
      <c r="GDT1" s="9"/>
      <c r="GDU1" s="9"/>
      <c r="GDV1" s="9"/>
      <c r="GDW1" s="9"/>
      <c r="GDX1" s="9"/>
      <c r="GDY1" s="9"/>
      <c r="GDZ1" s="9"/>
      <c r="GEA1" s="9"/>
      <c r="GEB1" s="9"/>
      <c r="GEC1" s="9"/>
      <c r="GED1" s="9"/>
      <c r="GEE1" s="9"/>
      <c r="GEF1" s="9"/>
      <c r="GEG1" s="9"/>
      <c r="GEH1" s="9"/>
      <c r="GEI1" s="9"/>
      <c r="GEJ1" s="9"/>
      <c r="GEK1" s="9"/>
      <c r="GEL1" s="9"/>
      <c r="GEM1" s="9"/>
      <c r="GEN1" s="9"/>
      <c r="GEO1" s="9"/>
      <c r="GEP1" s="9"/>
      <c r="GEQ1" s="9"/>
      <c r="GER1" s="9"/>
      <c r="GES1" s="9"/>
      <c r="GET1" s="9"/>
      <c r="GEU1" s="9"/>
      <c r="GEV1" s="9"/>
      <c r="GEW1" s="9"/>
      <c r="GEX1" s="9"/>
      <c r="GEY1" s="9"/>
      <c r="GEZ1" s="9"/>
      <c r="GFA1" s="9"/>
      <c r="GFB1" s="9"/>
      <c r="GFC1" s="9"/>
      <c r="GFD1" s="9"/>
      <c r="GFE1" s="9"/>
      <c r="GFF1" s="9"/>
      <c r="GFG1" s="9"/>
      <c r="GFH1" s="9"/>
      <c r="GFI1" s="9"/>
      <c r="GFJ1" s="9"/>
      <c r="GFK1" s="9"/>
      <c r="GFL1" s="9"/>
      <c r="GFM1" s="9"/>
      <c r="GFN1" s="9"/>
      <c r="GFO1" s="9"/>
      <c r="GFP1" s="9"/>
      <c r="GFQ1" s="9"/>
      <c r="GFR1" s="9"/>
      <c r="GFS1" s="9"/>
      <c r="GFT1" s="9"/>
      <c r="GFU1" s="9"/>
      <c r="GFV1" s="9"/>
      <c r="GFW1" s="9"/>
      <c r="GFX1" s="9"/>
      <c r="GFY1" s="9"/>
      <c r="GFZ1" s="9"/>
      <c r="GGA1" s="9"/>
      <c r="GGB1" s="9"/>
      <c r="GGC1" s="9"/>
      <c r="GGD1" s="9"/>
      <c r="GGE1" s="9"/>
      <c r="GGF1" s="9"/>
      <c r="GGG1" s="9"/>
      <c r="GGH1" s="9"/>
      <c r="GGI1" s="9"/>
      <c r="GGJ1" s="9"/>
      <c r="GGK1" s="9"/>
      <c r="GGL1" s="9"/>
      <c r="GGM1" s="9"/>
      <c r="GGN1" s="9"/>
      <c r="GGO1" s="9"/>
      <c r="GGP1" s="9"/>
      <c r="GGQ1" s="9"/>
      <c r="GGR1" s="9"/>
      <c r="GGS1" s="9"/>
      <c r="GGT1" s="9"/>
      <c r="GGU1" s="9"/>
      <c r="GGV1" s="9"/>
      <c r="GGW1" s="9"/>
      <c r="GGX1" s="9"/>
      <c r="GGY1" s="9"/>
      <c r="GGZ1" s="9"/>
      <c r="GHA1" s="9"/>
      <c r="GHB1" s="9"/>
      <c r="GHC1" s="9"/>
      <c r="GHD1" s="9"/>
      <c r="GHE1" s="9"/>
      <c r="GHF1" s="9"/>
      <c r="GHG1" s="9"/>
      <c r="GHH1" s="9"/>
      <c r="GHI1" s="9"/>
      <c r="GHJ1" s="9"/>
      <c r="GHK1" s="9"/>
      <c r="GHL1" s="9"/>
      <c r="GHM1" s="9"/>
      <c r="GHN1" s="9"/>
      <c r="GHO1" s="9"/>
      <c r="GHP1" s="9"/>
      <c r="GHQ1" s="9"/>
      <c r="GHR1" s="9"/>
      <c r="GHS1" s="9"/>
      <c r="GHT1" s="9"/>
      <c r="GHU1" s="9"/>
      <c r="GHV1" s="9"/>
      <c r="GHW1" s="9"/>
      <c r="GHX1" s="9"/>
      <c r="GHY1" s="9"/>
      <c r="GHZ1" s="9"/>
      <c r="GIA1" s="9"/>
      <c r="GIB1" s="9"/>
      <c r="GIC1" s="9"/>
      <c r="GID1" s="9"/>
      <c r="GIE1" s="9"/>
      <c r="GIF1" s="9"/>
      <c r="GIG1" s="9"/>
      <c r="GIH1" s="9"/>
      <c r="GII1" s="9"/>
      <c r="GIJ1" s="9"/>
      <c r="GIK1" s="9"/>
      <c r="GIL1" s="9"/>
      <c r="GIM1" s="9"/>
      <c r="GIN1" s="9"/>
      <c r="GIO1" s="9"/>
      <c r="GIP1" s="9"/>
      <c r="GIQ1" s="9"/>
      <c r="GIR1" s="9"/>
      <c r="GIS1" s="9"/>
      <c r="GIT1" s="9"/>
      <c r="GIU1" s="9"/>
      <c r="GIV1" s="9"/>
      <c r="GIW1" s="9"/>
      <c r="GIX1" s="9"/>
      <c r="GIY1" s="9"/>
      <c r="GIZ1" s="9"/>
      <c r="GJA1" s="9"/>
      <c r="GJB1" s="9"/>
      <c r="GJC1" s="9"/>
      <c r="GJD1" s="9"/>
      <c r="GJE1" s="9"/>
      <c r="GJF1" s="9"/>
      <c r="GJG1" s="9"/>
      <c r="GJH1" s="9"/>
      <c r="GJI1" s="9"/>
      <c r="GJJ1" s="9"/>
      <c r="GJK1" s="9"/>
      <c r="GJL1" s="9"/>
      <c r="GJM1" s="9"/>
      <c r="GJN1" s="9"/>
      <c r="GJO1" s="9"/>
      <c r="GJP1" s="9"/>
      <c r="GJQ1" s="9"/>
      <c r="GJR1" s="9"/>
      <c r="GJS1" s="9"/>
      <c r="GJT1" s="9"/>
      <c r="GJU1" s="9"/>
      <c r="GJV1" s="9"/>
      <c r="GJW1" s="9"/>
      <c r="GJX1" s="9"/>
      <c r="GJY1" s="9"/>
      <c r="GJZ1" s="9"/>
      <c r="GKA1" s="9"/>
      <c r="GKB1" s="9"/>
      <c r="GKC1" s="9"/>
      <c r="GKD1" s="9"/>
      <c r="GKE1" s="9"/>
      <c r="GKF1" s="9"/>
      <c r="GKG1" s="9"/>
      <c r="GKH1" s="9"/>
      <c r="GKI1" s="9"/>
      <c r="GKJ1" s="9"/>
      <c r="GKK1" s="9"/>
      <c r="GKL1" s="9"/>
      <c r="GKM1" s="9"/>
      <c r="GKN1" s="9"/>
      <c r="GKO1" s="9"/>
      <c r="GKP1" s="9"/>
      <c r="GKQ1" s="9"/>
      <c r="GKR1" s="9"/>
      <c r="GKS1" s="9"/>
      <c r="GKT1" s="9"/>
      <c r="GKU1" s="9"/>
      <c r="GKV1" s="9"/>
      <c r="GKW1" s="9"/>
      <c r="GKX1" s="9"/>
      <c r="GKY1" s="9"/>
      <c r="GKZ1" s="9"/>
      <c r="GLA1" s="9"/>
      <c r="GLB1" s="9"/>
      <c r="GLC1" s="9"/>
      <c r="GLD1" s="9"/>
      <c r="GLE1" s="9"/>
      <c r="GLF1" s="9"/>
      <c r="GLG1" s="9"/>
      <c r="GLH1" s="9"/>
      <c r="GLI1" s="9"/>
      <c r="GLJ1" s="9"/>
      <c r="GLK1" s="9"/>
      <c r="GLL1" s="9"/>
      <c r="GLM1" s="9"/>
      <c r="GLN1" s="9"/>
      <c r="GLO1" s="9"/>
      <c r="GLP1" s="9"/>
      <c r="GLQ1" s="9"/>
      <c r="GLR1" s="9"/>
      <c r="GLS1" s="9"/>
      <c r="GLT1" s="9"/>
      <c r="GLU1" s="9"/>
      <c r="GLV1" s="9"/>
      <c r="GLW1" s="9"/>
      <c r="GLX1" s="9"/>
      <c r="GLY1" s="9"/>
      <c r="GLZ1" s="9"/>
      <c r="GMA1" s="9"/>
      <c r="GMB1" s="9"/>
      <c r="GMC1" s="9"/>
      <c r="GMD1" s="9"/>
      <c r="GME1" s="9"/>
      <c r="GMF1" s="9"/>
      <c r="GMG1" s="9"/>
      <c r="GMH1" s="9"/>
      <c r="GMI1" s="9"/>
      <c r="GMJ1" s="9"/>
      <c r="GMK1" s="9"/>
      <c r="GML1" s="9"/>
      <c r="GMM1" s="9"/>
      <c r="GMN1" s="9"/>
      <c r="GMO1" s="9"/>
      <c r="GMP1" s="9"/>
      <c r="GMQ1" s="9"/>
      <c r="GMR1" s="9"/>
      <c r="GMS1" s="9"/>
      <c r="GMT1" s="9"/>
      <c r="GMU1" s="9"/>
      <c r="GMV1" s="9"/>
      <c r="GMW1" s="9"/>
      <c r="GMX1" s="9"/>
      <c r="GMY1" s="9"/>
      <c r="GMZ1" s="9"/>
      <c r="GNA1" s="9"/>
      <c r="GNB1" s="9"/>
      <c r="GNC1" s="9"/>
      <c r="GND1" s="9"/>
      <c r="GNE1" s="9"/>
      <c r="GNF1" s="9"/>
      <c r="GNG1" s="9"/>
      <c r="GNH1" s="9"/>
      <c r="GNI1" s="9"/>
      <c r="GNJ1" s="9"/>
      <c r="GNK1" s="9"/>
      <c r="GNL1" s="9"/>
      <c r="GNM1" s="9"/>
      <c r="GNN1" s="9"/>
      <c r="GNO1" s="9"/>
      <c r="GNP1" s="9"/>
      <c r="GNQ1" s="9"/>
      <c r="GNR1" s="9"/>
      <c r="GNS1" s="9"/>
      <c r="GNT1" s="9"/>
      <c r="GNU1" s="9"/>
      <c r="GNV1" s="9"/>
      <c r="GNW1" s="9"/>
      <c r="GNX1" s="9"/>
      <c r="GNY1" s="9"/>
      <c r="GNZ1" s="9"/>
      <c r="GOA1" s="9"/>
      <c r="GOB1" s="9"/>
      <c r="GOC1" s="9"/>
      <c r="GOD1" s="9"/>
      <c r="GOE1" s="9"/>
      <c r="GOF1" s="9"/>
      <c r="GOG1" s="9"/>
      <c r="GOH1" s="9"/>
      <c r="GOI1" s="9"/>
      <c r="GOJ1" s="9"/>
      <c r="GOK1" s="9"/>
      <c r="GOL1" s="9"/>
      <c r="GOM1" s="9"/>
      <c r="GON1" s="9"/>
      <c r="GOO1" s="9"/>
      <c r="GOP1" s="9"/>
      <c r="GOQ1" s="9"/>
      <c r="GOR1" s="9"/>
      <c r="GOS1" s="9"/>
      <c r="GOT1" s="9"/>
      <c r="GOU1" s="9"/>
      <c r="GOV1" s="9"/>
      <c r="GOW1" s="9"/>
      <c r="GOX1" s="9"/>
      <c r="GOY1" s="9"/>
      <c r="GOZ1" s="9"/>
      <c r="GPA1" s="9"/>
      <c r="GPB1" s="9"/>
      <c r="GPC1" s="9"/>
      <c r="GPD1" s="9"/>
      <c r="GPE1" s="9"/>
      <c r="GPF1" s="9"/>
      <c r="GPG1" s="9"/>
      <c r="GPH1" s="9"/>
      <c r="GPI1" s="9"/>
      <c r="GPJ1" s="9"/>
      <c r="GPK1" s="9"/>
      <c r="GPL1" s="9"/>
      <c r="GPM1" s="9"/>
      <c r="GPN1" s="9"/>
      <c r="GPO1" s="9"/>
      <c r="GPP1" s="9"/>
      <c r="GPQ1" s="9"/>
      <c r="GPR1" s="9"/>
      <c r="GPS1" s="9"/>
      <c r="GPT1" s="9"/>
      <c r="GPU1" s="9"/>
      <c r="GPV1" s="9"/>
      <c r="GPW1" s="9"/>
      <c r="GPX1" s="9"/>
      <c r="GPY1" s="9"/>
      <c r="GPZ1" s="9"/>
      <c r="GQA1" s="9"/>
      <c r="GQB1" s="9"/>
      <c r="GQC1" s="9"/>
      <c r="GQD1" s="9"/>
      <c r="GQE1" s="9"/>
      <c r="GQF1" s="9"/>
      <c r="GQG1" s="9"/>
      <c r="GQH1" s="9"/>
      <c r="GQI1" s="9"/>
      <c r="GQJ1" s="9"/>
      <c r="GQK1" s="9"/>
      <c r="GQL1" s="9"/>
      <c r="GQM1" s="9"/>
      <c r="GQN1" s="9"/>
      <c r="GQO1" s="9"/>
      <c r="GQP1" s="9"/>
      <c r="GQQ1" s="9"/>
      <c r="GQR1" s="9"/>
      <c r="GQS1" s="9"/>
      <c r="GQT1" s="9"/>
      <c r="GQU1" s="9"/>
      <c r="GQV1" s="9"/>
      <c r="GQW1" s="9"/>
      <c r="GQX1" s="9"/>
      <c r="GQY1" s="9"/>
      <c r="GQZ1" s="9"/>
      <c r="GRA1" s="9"/>
      <c r="GRB1" s="9"/>
      <c r="GRC1" s="9"/>
      <c r="GRD1" s="9"/>
      <c r="GRE1" s="9"/>
      <c r="GRF1" s="9"/>
      <c r="GRG1" s="9"/>
      <c r="GRH1" s="9"/>
      <c r="GRI1" s="9"/>
      <c r="GRJ1" s="9"/>
      <c r="GRK1" s="9"/>
      <c r="GRL1" s="9"/>
      <c r="GRM1" s="9"/>
      <c r="GRN1" s="9"/>
      <c r="GRO1" s="9"/>
      <c r="GRP1" s="9"/>
      <c r="GRQ1" s="9"/>
      <c r="GRR1" s="9"/>
      <c r="GRS1" s="9"/>
      <c r="GRT1" s="9"/>
      <c r="GRU1" s="9"/>
      <c r="GRV1" s="9"/>
      <c r="GRW1" s="9"/>
      <c r="GRX1" s="9"/>
      <c r="GRY1" s="9"/>
      <c r="GRZ1" s="9"/>
      <c r="GSA1" s="9"/>
      <c r="GSB1" s="9"/>
      <c r="GSC1" s="9"/>
      <c r="GSD1" s="9"/>
      <c r="GSE1" s="9"/>
      <c r="GSF1" s="9"/>
      <c r="GSG1" s="9"/>
      <c r="GSH1" s="9"/>
      <c r="GSI1" s="9"/>
      <c r="GSJ1" s="9"/>
      <c r="GSK1" s="9"/>
      <c r="GSL1" s="9"/>
      <c r="GSM1" s="9"/>
      <c r="GSN1" s="9"/>
      <c r="GSO1" s="9"/>
      <c r="GSP1" s="9"/>
      <c r="GSQ1" s="9"/>
      <c r="GSR1" s="9"/>
      <c r="GSS1" s="9"/>
      <c r="GST1" s="9"/>
      <c r="GSU1" s="9"/>
      <c r="GSV1" s="9"/>
      <c r="GSW1" s="9"/>
      <c r="GSX1" s="9"/>
      <c r="GSY1" s="9"/>
      <c r="GSZ1" s="9"/>
      <c r="GTA1" s="9"/>
      <c r="GTB1" s="9"/>
      <c r="GTC1" s="9"/>
      <c r="GTD1" s="9"/>
      <c r="GTE1" s="9"/>
      <c r="GTF1" s="9"/>
      <c r="GTG1" s="9"/>
      <c r="GTH1" s="9"/>
      <c r="GTI1" s="9"/>
      <c r="GTJ1" s="9"/>
      <c r="GTK1" s="9"/>
      <c r="GTL1" s="9"/>
      <c r="GTM1" s="9"/>
      <c r="GTN1" s="9"/>
      <c r="GTO1" s="9"/>
      <c r="GTP1" s="9"/>
      <c r="GTQ1" s="9"/>
      <c r="GTR1" s="9"/>
      <c r="GTS1" s="9"/>
      <c r="GTT1" s="9"/>
      <c r="GTU1" s="9"/>
      <c r="GTV1" s="9"/>
      <c r="GTW1" s="9"/>
      <c r="GTX1" s="9"/>
      <c r="GTY1" s="9"/>
      <c r="GTZ1" s="9"/>
      <c r="GUA1" s="9"/>
      <c r="GUB1" s="9"/>
      <c r="GUC1" s="9"/>
      <c r="GUD1" s="9"/>
      <c r="GUE1" s="9"/>
      <c r="GUF1" s="9"/>
      <c r="GUG1" s="9"/>
      <c r="GUH1" s="9"/>
      <c r="GUI1" s="9"/>
      <c r="GUJ1" s="9"/>
      <c r="GUK1" s="9"/>
      <c r="GUL1" s="9"/>
      <c r="GUM1" s="9"/>
      <c r="GUN1" s="9"/>
      <c r="GUO1" s="9"/>
      <c r="GUP1" s="9"/>
      <c r="GUQ1" s="9"/>
      <c r="GUR1" s="9"/>
      <c r="GUS1" s="9"/>
      <c r="GUT1" s="9"/>
      <c r="GUU1" s="9"/>
      <c r="GUV1" s="9"/>
      <c r="GUW1" s="9"/>
      <c r="GUX1" s="9"/>
      <c r="GUY1" s="9"/>
      <c r="GUZ1" s="9"/>
      <c r="GVA1" s="9"/>
      <c r="GVB1" s="9"/>
      <c r="GVC1" s="9"/>
      <c r="GVD1" s="9"/>
      <c r="GVE1" s="9"/>
      <c r="GVF1" s="9"/>
      <c r="GVG1" s="9"/>
      <c r="GVH1" s="9"/>
      <c r="GVI1" s="9"/>
      <c r="GVJ1" s="9"/>
      <c r="GVK1" s="9"/>
      <c r="GVL1" s="9"/>
      <c r="GVM1" s="9"/>
      <c r="GVN1" s="9"/>
      <c r="GVO1" s="9"/>
      <c r="GVP1" s="9"/>
      <c r="GVQ1" s="9"/>
      <c r="GVR1" s="9"/>
      <c r="GVS1" s="9"/>
      <c r="GVT1" s="9"/>
      <c r="GVU1" s="9"/>
      <c r="GVV1" s="9"/>
      <c r="GVW1" s="9"/>
      <c r="GVX1" s="9"/>
      <c r="GVY1" s="9"/>
      <c r="GVZ1" s="9"/>
      <c r="GWA1" s="9"/>
      <c r="GWB1" s="9"/>
      <c r="GWC1" s="9"/>
      <c r="GWD1" s="9"/>
      <c r="GWE1" s="9"/>
      <c r="GWF1" s="9"/>
      <c r="GWG1" s="9"/>
      <c r="GWH1" s="9"/>
      <c r="GWI1" s="9"/>
      <c r="GWJ1" s="9"/>
      <c r="GWK1" s="9"/>
      <c r="GWL1" s="9"/>
      <c r="GWM1" s="9"/>
      <c r="GWN1" s="9"/>
      <c r="GWO1" s="9"/>
      <c r="GWP1" s="9"/>
      <c r="GWQ1" s="9"/>
      <c r="GWR1" s="9"/>
      <c r="GWS1" s="9"/>
      <c r="GWT1" s="9"/>
      <c r="GWU1" s="9"/>
      <c r="GWV1" s="9"/>
      <c r="GWW1" s="9"/>
      <c r="GWX1" s="9"/>
      <c r="GWY1" s="9"/>
      <c r="GWZ1" s="9"/>
      <c r="GXA1" s="9"/>
      <c r="GXB1" s="9"/>
      <c r="GXC1" s="9"/>
      <c r="GXD1" s="9"/>
      <c r="GXE1" s="9"/>
      <c r="GXF1" s="9"/>
      <c r="GXG1" s="9"/>
      <c r="GXH1" s="9"/>
      <c r="GXI1" s="9"/>
      <c r="GXJ1" s="9"/>
      <c r="GXK1" s="9"/>
      <c r="GXL1" s="9"/>
      <c r="GXM1" s="9"/>
      <c r="GXN1" s="9"/>
      <c r="GXO1" s="9"/>
      <c r="GXP1" s="9"/>
      <c r="GXQ1" s="9"/>
      <c r="GXR1" s="9"/>
      <c r="GXS1" s="9"/>
      <c r="GXT1" s="9"/>
      <c r="GXU1" s="9"/>
      <c r="GXV1" s="9"/>
      <c r="GXW1" s="9"/>
      <c r="GXX1" s="9"/>
      <c r="GXY1" s="9"/>
      <c r="GXZ1" s="9"/>
      <c r="GYA1" s="9"/>
      <c r="GYB1" s="9"/>
      <c r="GYC1" s="9"/>
      <c r="GYD1" s="9"/>
      <c r="GYE1" s="9"/>
      <c r="GYF1" s="9"/>
      <c r="GYG1" s="9"/>
      <c r="GYH1" s="9"/>
      <c r="GYI1" s="9"/>
      <c r="GYJ1" s="9"/>
      <c r="GYK1" s="9"/>
      <c r="GYL1" s="9"/>
      <c r="GYM1" s="9"/>
      <c r="GYN1" s="9"/>
      <c r="GYO1" s="9"/>
      <c r="GYP1" s="9"/>
      <c r="GYQ1" s="9"/>
      <c r="GYR1" s="9"/>
      <c r="GYS1" s="9"/>
      <c r="GYT1" s="9"/>
      <c r="GYU1" s="9"/>
      <c r="GYV1" s="9"/>
      <c r="GYW1" s="9"/>
      <c r="GYX1" s="9"/>
      <c r="GYY1" s="9"/>
      <c r="GYZ1" s="9"/>
      <c r="GZA1" s="9"/>
      <c r="GZB1" s="9"/>
      <c r="GZC1" s="9"/>
      <c r="GZD1" s="9"/>
      <c r="GZE1" s="9"/>
      <c r="GZF1" s="9"/>
      <c r="GZG1" s="9"/>
      <c r="GZH1" s="9"/>
      <c r="GZI1" s="9"/>
      <c r="GZJ1" s="9"/>
      <c r="GZK1" s="9"/>
      <c r="GZL1" s="9"/>
      <c r="GZM1" s="9"/>
      <c r="GZN1" s="9"/>
      <c r="GZO1" s="9"/>
      <c r="GZP1" s="9"/>
      <c r="GZQ1" s="9"/>
      <c r="GZR1" s="9"/>
      <c r="GZS1" s="9"/>
      <c r="GZT1" s="9"/>
      <c r="GZU1" s="9"/>
      <c r="GZV1" s="9"/>
      <c r="GZW1" s="9"/>
      <c r="GZX1" s="9"/>
      <c r="GZY1" s="9"/>
      <c r="GZZ1" s="9"/>
      <c r="HAA1" s="9"/>
      <c r="HAB1" s="9"/>
      <c r="HAC1" s="9"/>
      <c r="HAD1" s="9"/>
      <c r="HAE1" s="9"/>
      <c r="HAF1" s="9"/>
      <c r="HAG1" s="9"/>
      <c r="HAH1" s="9"/>
      <c r="HAI1" s="9"/>
      <c r="HAJ1" s="9"/>
      <c r="HAK1" s="9"/>
      <c r="HAL1" s="9"/>
      <c r="HAM1" s="9"/>
      <c r="HAN1" s="9"/>
      <c r="HAO1" s="9"/>
      <c r="HAP1" s="9"/>
      <c r="HAQ1" s="9"/>
      <c r="HAR1" s="9"/>
      <c r="HAS1" s="9"/>
      <c r="HAT1" s="9"/>
      <c r="HAU1" s="9"/>
      <c r="HAV1" s="9"/>
      <c r="HAW1" s="9"/>
      <c r="HAX1" s="9"/>
      <c r="HAY1" s="9"/>
      <c r="HAZ1" s="9"/>
      <c r="HBA1" s="9"/>
      <c r="HBB1" s="9"/>
      <c r="HBC1" s="9"/>
      <c r="HBD1" s="9"/>
      <c r="HBE1" s="9"/>
      <c r="HBF1" s="9"/>
      <c r="HBG1" s="9"/>
      <c r="HBH1" s="9"/>
      <c r="HBI1" s="9"/>
      <c r="HBJ1" s="9"/>
      <c r="HBK1" s="9"/>
      <c r="HBL1" s="9"/>
      <c r="HBM1" s="9"/>
      <c r="HBN1" s="9"/>
      <c r="HBO1" s="9"/>
      <c r="HBP1" s="9"/>
      <c r="HBQ1" s="9"/>
      <c r="HBR1" s="9"/>
      <c r="HBS1" s="9"/>
      <c r="HBT1" s="9"/>
      <c r="HBU1" s="9"/>
      <c r="HBV1" s="9"/>
      <c r="HBW1" s="9"/>
      <c r="HBX1" s="9"/>
      <c r="HBY1" s="9"/>
      <c r="HBZ1" s="9"/>
      <c r="HCA1" s="9"/>
      <c r="HCB1" s="9"/>
      <c r="HCC1" s="9"/>
      <c r="HCD1" s="9"/>
      <c r="HCE1" s="9"/>
      <c r="HCF1" s="9"/>
      <c r="HCG1" s="9"/>
      <c r="HCH1" s="9"/>
      <c r="HCI1" s="9"/>
      <c r="HCJ1" s="9"/>
      <c r="HCK1" s="9"/>
      <c r="HCL1" s="9"/>
      <c r="HCM1" s="9"/>
      <c r="HCN1" s="9"/>
      <c r="HCO1" s="9"/>
      <c r="HCP1" s="9"/>
      <c r="HCQ1" s="9"/>
      <c r="HCR1" s="9"/>
      <c r="HCS1" s="9"/>
      <c r="HCT1" s="9"/>
      <c r="HCU1" s="9"/>
      <c r="HCV1" s="9"/>
      <c r="HCW1" s="9"/>
      <c r="HCX1" s="9"/>
      <c r="HCY1" s="9"/>
      <c r="HCZ1" s="9"/>
      <c r="HDA1" s="9"/>
      <c r="HDB1" s="9"/>
      <c r="HDC1" s="9"/>
      <c r="HDD1" s="9"/>
      <c r="HDE1" s="9"/>
      <c r="HDF1" s="9"/>
      <c r="HDG1" s="9"/>
      <c r="HDH1" s="9"/>
      <c r="HDI1" s="9"/>
      <c r="HDJ1" s="9"/>
      <c r="HDK1" s="9"/>
      <c r="HDL1" s="9"/>
      <c r="HDM1" s="9"/>
      <c r="HDN1" s="9"/>
      <c r="HDO1" s="9"/>
      <c r="HDP1" s="9"/>
      <c r="HDQ1" s="9"/>
      <c r="HDR1" s="9"/>
      <c r="HDS1" s="9"/>
      <c r="HDT1" s="9"/>
      <c r="HDU1" s="9"/>
      <c r="HDV1" s="9"/>
      <c r="HDW1" s="9"/>
      <c r="HDX1" s="9"/>
      <c r="HDY1" s="9"/>
      <c r="HDZ1" s="9"/>
      <c r="HEA1" s="9"/>
      <c r="HEB1" s="9"/>
      <c r="HEC1" s="9"/>
      <c r="HED1" s="9"/>
      <c r="HEE1" s="9"/>
      <c r="HEF1" s="9"/>
      <c r="HEG1" s="9"/>
      <c r="HEH1" s="9"/>
      <c r="HEI1" s="9"/>
      <c r="HEJ1" s="9"/>
      <c r="HEK1" s="9"/>
      <c r="HEL1" s="9"/>
      <c r="HEM1" s="9"/>
      <c r="HEN1" s="9"/>
      <c r="HEO1" s="9"/>
      <c r="HEP1" s="9"/>
      <c r="HEQ1" s="9"/>
      <c r="HER1" s="9"/>
      <c r="HES1" s="9"/>
      <c r="HET1" s="9"/>
      <c r="HEU1" s="9"/>
      <c r="HEV1" s="9"/>
      <c r="HEW1" s="9"/>
      <c r="HEX1" s="9"/>
      <c r="HEY1" s="9"/>
      <c r="HEZ1" s="9"/>
      <c r="HFA1" s="9"/>
      <c r="HFB1" s="9"/>
      <c r="HFC1" s="9"/>
      <c r="HFD1" s="9"/>
      <c r="HFE1" s="9"/>
      <c r="HFF1" s="9"/>
      <c r="HFG1" s="9"/>
      <c r="HFH1" s="9"/>
      <c r="HFI1" s="9"/>
      <c r="HFJ1" s="9"/>
      <c r="HFK1" s="9"/>
      <c r="HFL1" s="9"/>
      <c r="HFM1" s="9"/>
      <c r="HFN1" s="9"/>
      <c r="HFO1" s="9"/>
      <c r="HFP1" s="9"/>
      <c r="HFQ1" s="9"/>
      <c r="HFR1" s="9"/>
      <c r="HFS1" s="9"/>
      <c r="HFT1" s="9"/>
      <c r="HFU1" s="9"/>
      <c r="HFV1" s="9"/>
      <c r="HFW1" s="9"/>
      <c r="HFX1" s="9"/>
      <c r="HFY1" s="9"/>
      <c r="HFZ1" s="9"/>
      <c r="HGA1" s="9"/>
      <c r="HGB1" s="9"/>
      <c r="HGC1" s="9"/>
      <c r="HGD1" s="9"/>
      <c r="HGE1" s="9"/>
      <c r="HGF1" s="9"/>
      <c r="HGG1" s="9"/>
      <c r="HGH1" s="9"/>
      <c r="HGI1" s="9"/>
      <c r="HGJ1" s="9"/>
      <c r="HGK1" s="9"/>
      <c r="HGL1" s="9"/>
      <c r="HGM1" s="9"/>
      <c r="HGN1" s="9"/>
      <c r="HGO1" s="9"/>
      <c r="HGP1" s="9"/>
      <c r="HGQ1" s="9"/>
      <c r="HGR1" s="9"/>
      <c r="HGS1" s="9"/>
      <c r="HGT1" s="9"/>
      <c r="HGU1" s="9"/>
      <c r="HGV1" s="9"/>
      <c r="HGW1" s="9"/>
      <c r="HGX1" s="9"/>
      <c r="HGY1" s="9"/>
      <c r="HGZ1" s="9"/>
      <c r="HHA1" s="9"/>
      <c r="HHB1" s="9"/>
      <c r="HHC1" s="9"/>
      <c r="HHD1" s="9"/>
      <c r="HHE1" s="9"/>
      <c r="HHF1" s="9"/>
      <c r="HHG1" s="9"/>
      <c r="HHH1" s="9"/>
      <c r="HHI1" s="9"/>
      <c r="HHJ1" s="9"/>
      <c r="HHK1" s="9"/>
      <c r="HHL1" s="9"/>
      <c r="HHM1" s="9"/>
      <c r="HHN1" s="9"/>
      <c r="HHO1" s="9"/>
      <c r="HHP1" s="9"/>
      <c r="HHQ1" s="9"/>
      <c r="HHR1" s="9"/>
      <c r="HHS1" s="9"/>
      <c r="HHT1" s="9"/>
      <c r="HHU1" s="9"/>
      <c r="HHV1" s="9"/>
      <c r="HHW1" s="9"/>
      <c r="HHX1" s="9"/>
      <c r="HHY1" s="9"/>
      <c r="HHZ1" s="9"/>
      <c r="HIA1" s="9"/>
      <c r="HIB1" s="9"/>
      <c r="HIC1" s="9"/>
      <c r="HID1" s="9"/>
      <c r="HIE1" s="9"/>
      <c r="HIF1" s="9"/>
      <c r="HIG1" s="9"/>
      <c r="HIH1" s="9"/>
      <c r="HII1" s="9"/>
      <c r="HIJ1" s="9"/>
      <c r="HIK1" s="9"/>
      <c r="HIL1" s="9"/>
      <c r="HIM1" s="9"/>
      <c r="HIN1" s="9"/>
      <c r="HIO1" s="9"/>
      <c r="HIP1" s="9"/>
      <c r="HIQ1" s="9"/>
      <c r="HIR1" s="9"/>
      <c r="HIS1" s="9"/>
      <c r="HIT1" s="9"/>
      <c r="HIU1" s="9"/>
      <c r="HIV1" s="9"/>
      <c r="HIW1" s="9"/>
      <c r="HIX1" s="9"/>
      <c r="HIY1" s="9"/>
      <c r="HIZ1" s="9"/>
      <c r="HJA1" s="9"/>
      <c r="HJB1" s="9"/>
      <c r="HJC1" s="9"/>
      <c r="HJD1" s="9"/>
      <c r="HJE1" s="9"/>
      <c r="HJF1" s="9"/>
      <c r="HJG1" s="9"/>
      <c r="HJH1" s="9"/>
      <c r="HJI1" s="9"/>
      <c r="HJJ1" s="9"/>
      <c r="HJK1" s="9"/>
      <c r="HJL1" s="9"/>
      <c r="HJM1" s="9"/>
      <c r="HJN1" s="9"/>
      <c r="HJO1" s="9"/>
      <c r="HJP1" s="9"/>
      <c r="HJQ1" s="9"/>
      <c r="HJR1" s="9"/>
      <c r="HJS1" s="9"/>
      <c r="HJT1" s="9"/>
      <c r="HJU1" s="9"/>
      <c r="HJV1" s="9"/>
      <c r="HJW1" s="9"/>
      <c r="HJX1" s="9"/>
      <c r="HJY1" s="9"/>
      <c r="HJZ1" s="9"/>
      <c r="HKA1" s="9"/>
      <c r="HKB1" s="9"/>
      <c r="HKC1" s="9"/>
      <c r="HKD1" s="9"/>
      <c r="HKE1" s="9"/>
      <c r="HKF1" s="9"/>
      <c r="HKG1" s="9"/>
      <c r="HKH1" s="9"/>
      <c r="HKI1" s="9"/>
      <c r="HKJ1" s="9"/>
      <c r="HKK1" s="9"/>
      <c r="HKL1" s="9"/>
      <c r="HKM1" s="9"/>
      <c r="HKN1" s="9"/>
      <c r="HKO1" s="9"/>
      <c r="HKP1" s="9"/>
      <c r="HKQ1" s="9"/>
      <c r="HKR1" s="9"/>
      <c r="HKS1" s="9"/>
      <c r="HKT1" s="9"/>
      <c r="HKU1" s="9"/>
      <c r="HKV1" s="9"/>
      <c r="HKW1" s="9"/>
      <c r="HKX1" s="9"/>
      <c r="HKY1" s="9"/>
      <c r="HKZ1" s="9"/>
      <c r="HLA1" s="9"/>
      <c r="HLB1" s="9"/>
      <c r="HLC1" s="9"/>
      <c r="HLD1" s="9"/>
      <c r="HLE1" s="9"/>
      <c r="HLF1" s="9"/>
      <c r="HLG1" s="9"/>
      <c r="HLH1" s="9"/>
      <c r="HLI1" s="9"/>
      <c r="HLJ1" s="9"/>
      <c r="HLK1" s="9"/>
      <c r="HLL1" s="9"/>
      <c r="HLM1" s="9"/>
      <c r="HLN1" s="9"/>
      <c r="HLO1" s="9"/>
      <c r="HLP1" s="9"/>
      <c r="HLQ1" s="9"/>
      <c r="HLR1" s="9"/>
      <c r="HLS1" s="9"/>
      <c r="HLT1" s="9"/>
      <c r="HLU1" s="9"/>
      <c r="HLV1" s="9"/>
      <c r="HLW1" s="9"/>
      <c r="HLX1" s="9"/>
      <c r="HLY1" s="9"/>
      <c r="HLZ1" s="9"/>
      <c r="HMA1" s="9"/>
      <c r="HMB1" s="9"/>
      <c r="HMC1" s="9"/>
      <c r="HMD1" s="9"/>
      <c r="HME1" s="9"/>
      <c r="HMF1" s="9"/>
      <c r="HMG1" s="9"/>
      <c r="HMH1" s="9"/>
      <c r="HMI1" s="9"/>
      <c r="HMJ1" s="9"/>
      <c r="HMK1" s="9"/>
      <c r="HML1" s="9"/>
      <c r="HMM1" s="9"/>
      <c r="HMN1" s="9"/>
      <c r="HMO1" s="9"/>
      <c r="HMP1" s="9"/>
      <c r="HMQ1" s="9"/>
      <c r="HMR1" s="9"/>
      <c r="HMS1" s="9"/>
      <c r="HMT1" s="9"/>
      <c r="HMU1" s="9"/>
      <c r="HMV1" s="9"/>
      <c r="HMW1" s="9"/>
      <c r="HMX1" s="9"/>
      <c r="HMY1" s="9"/>
      <c r="HMZ1" s="9"/>
      <c r="HNA1" s="9"/>
      <c r="HNB1" s="9"/>
      <c r="HNC1" s="9"/>
      <c r="HND1" s="9"/>
      <c r="HNE1" s="9"/>
      <c r="HNF1" s="9"/>
      <c r="HNG1" s="9"/>
      <c r="HNH1" s="9"/>
      <c r="HNI1" s="9"/>
      <c r="HNJ1" s="9"/>
      <c r="HNK1" s="9"/>
      <c r="HNL1" s="9"/>
      <c r="HNM1" s="9"/>
      <c r="HNN1" s="9"/>
      <c r="HNO1" s="9"/>
      <c r="HNP1" s="9"/>
      <c r="HNQ1" s="9"/>
      <c r="HNR1" s="9"/>
      <c r="HNS1" s="9"/>
      <c r="HNT1" s="9"/>
      <c r="HNU1" s="9"/>
      <c r="HNV1" s="9"/>
      <c r="HNW1" s="9"/>
      <c r="HNX1" s="9"/>
      <c r="HNY1" s="9"/>
      <c r="HNZ1" s="9"/>
      <c r="HOA1" s="9"/>
      <c r="HOB1" s="9"/>
      <c r="HOC1" s="9"/>
      <c r="HOD1" s="9"/>
      <c r="HOE1" s="9"/>
      <c r="HOF1" s="9"/>
      <c r="HOG1" s="9"/>
      <c r="HOH1" s="9"/>
      <c r="HOI1" s="9"/>
      <c r="HOJ1" s="9"/>
      <c r="HOK1" s="9"/>
      <c r="HOL1" s="9"/>
      <c r="HOM1" s="9"/>
      <c r="HON1" s="9"/>
      <c r="HOO1" s="9"/>
      <c r="HOP1" s="9"/>
      <c r="HOQ1" s="9"/>
      <c r="HOR1" s="9"/>
      <c r="HOS1" s="9"/>
      <c r="HOT1" s="9"/>
      <c r="HOU1" s="9"/>
      <c r="HOV1" s="9"/>
      <c r="HOW1" s="9"/>
      <c r="HOX1" s="9"/>
      <c r="HOY1" s="9"/>
      <c r="HOZ1" s="9"/>
      <c r="HPA1" s="9"/>
      <c r="HPB1" s="9"/>
      <c r="HPC1" s="9"/>
      <c r="HPD1" s="9"/>
      <c r="HPE1" s="9"/>
      <c r="HPF1" s="9"/>
      <c r="HPG1" s="9"/>
      <c r="HPH1" s="9"/>
      <c r="HPI1" s="9"/>
      <c r="HPJ1" s="9"/>
      <c r="HPK1" s="9"/>
      <c r="HPL1" s="9"/>
      <c r="HPM1" s="9"/>
      <c r="HPN1" s="9"/>
      <c r="HPO1" s="9"/>
      <c r="HPP1" s="9"/>
      <c r="HPQ1" s="9"/>
      <c r="HPR1" s="9"/>
      <c r="HPS1" s="9"/>
      <c r="HPT1" s="9"/>
      <c r="HPU1" s="9"/>
      <c r="HPV1" s="9"/>
      <c r="HPW1" s="9"/>
      <c r="HPX1" s="9"/>
      <c r="HPY1" s="9"/>
      <c r="HPZ1" s="9"/>
      <c r="HQA1" s="9"/>
      <c r="HQB1" s="9"/>
      <c r="HQC1" s="9"/>
      <c r="HQD1" s="9"/>
      <c r="HQE1" s="9"/>
      <c r="HQF1" s="9"/>
      <c r="HQG1" s="9"/>
      <c r="HQH1" s="9"/>
      <c r="HQI1" s="9"/>
      <c r="HQJ1" s="9"/>
      <c r="HQK1" s="9"/>
      <c r="HQL1" s="9"/>
      <c r="HQM1" s="9"/>
      <c r="HQN1" s="9"/>
      <c r="HQO1" s="9"/>
      <c r="HQP1" s="9"/>
      <c r="HQQ1" s="9"/>
      <c r="HQR1" s="9"/>
      <c r="HQS1" s="9"/>
      <c r="HQT1" s="9"/>
      <c r="HQU1" s="9"/>
      <c r="HQV1" s="9"/>
      <c r="HQW1" s="9"/>
      <c r="HQX1" s="9"/>
      <c r="HQY1" s="9"/>
      <c r="HQZ1" s="9"/>
      <c r="HRA1" s="9"/>
      <c r="HRB1" s="9"/>
      <c r="HRC1" s="9"/>
      <c r="HRD1" s="9"/>
      <c r="HRE1" s="9"/>
      <c r="HRF1" s="9"/>
      <c r="HRG1" s="9"/>
      <c r="HRH1" s="9"/>
      <c r="HRI1" s="9"/>
      <c r="HRJ1" s="9"/>
      <c r="HRK1" s="9"/>
      <c r="HRL1" s="9"/>
      <c r="HRM1" s="9"/>
      <c r="HRN1" s="9"/>
      <c r="HRO1" s="9"/>
      <c r="HRP1" s="9"/>
      <c r="HRQ1" s="9"/>
      <c r="HRR1" s="9"/>
      <c r="HRS1" s="9"/>
      <c r="HRT1" s="9"/>
      <c r="HRU1" s="9"/>
      <c r="HRV1" s="9"/>
      <c r="HRW1" s="9"/>
      <c r="HRX1" s="9"/>
      <c r="HRY1" s="9"/>
      <c r="HRZ1" s="9"/>
      <c r="HSA1" s="9"/>
      <c r="HSB1" s="9"/>
      <c r="HSC1" s="9"/>
      <c r="HSD1" s="9"/>
      <c r="HSE1" s="9"/>
      <c r="HSF1" s="9"/>
      <c r="HSG1" s="9"/>
      <c r="HSH1" s="9"/>
      <c r="HSI1" s="9"/>
      <c r="HSJ1" s="9"/>
      <c r="HSK1" s="9"/>
      <c r="HSL1" s="9"/>
      <c r="HSM1" s="9"/>
      <c r="HSN1" s="9"/>
      <c r="HSO1" s="9"/>
      <c r="HSP1" s="9"/>
      <c r="HSQ1" s="9"/>
      <c r="HSR1" s="9"/>
      <c r="HSS1" s="9"/>
      <c r="HST1" s="9"/>
      <c r="HSU1" s="9"/>
      <c r="HSV1" s="9"/>
      <c r="HSW1" s="9"/>
      <c r="HSX1" s="9"/>
      <c r="HSY1" s="9"/>
      <c r="HSZ1" s="9"/>
      <c r="HTA1" s="9"/>
      <c r="HTB1" s="9"/>
      <c r="HTC1" s="9"/>
      <c r="HTD1" s="9"/>
      <c r="HTE1" s="9"/>
      <c r="HTF1" s="9"/>
      <c r="HTG1" s="9"/>
      <c r="HTH1" s="9"/>
      <c r="HTI1" s="9"/>
      <c r="HTJ1" s="9"/>
      <c r="HTK1" s="9"/>
      <c r="HTL1" s="9"/>
      <c r="HTM1" s="9"/>
      <c r="HTN1" s="9"/>
      <c r="HTO1" s="9"/>
      <c r="HTP1" s="9"/>
      <c r="HTQ1" s="9"/>
      <c r="HTR1" s="9"/>
      <c r="HTS1" s="9"/>
      <c r="HTT1" s="9"/>
      <c r="HTU1" s="9"/>
      <c r="HTV1" s="9"/>
      <c r="HTW1" s="9"/>
      <c r="HTX1" s="9"/>
      <c r="HTY1" s="9"/>
      <c r="HTZ1" s="9"/>
      <c r="HUA1" s="9"/>
      <c r="HUB1" s="9"/>
      <c r="HUC1" s="9"/>
      <c r="HUD1" s="9"/>
      <c r="HUE1" s="9"/>
      <c r="HUF1" s="9"/>
      <c r="HUG1" s="9"/>
      <c r="HUH1" s="9"/>
      <c r="HUI1" s="9"/>
      <c r="HUJ1" s="9"/>
      <c r="HUK1" s="9"/>
      <c r="HUL1" s="9"/>
      <c r="HUM1" s="9"/>
      <c r="HUN1" s="9"/>
      <c r="HUO1" s="9"/>
      <c r="HUP1" s="9"/>
      <c r="HUQ1" s="9"/>
      <c r="HUR1" s="9"/>
      <c r="HUS1" s="9"/>
      <c r="HUT1" s="9"/>
      <c r="HUU1" s="9"/>
      <c r="HUV1" s="9"/>
      <c r="HUW1" s="9"/>
      <c r="HUX1" s="9"/>
      <c r="HUY1" s="9"/>
      <c r="HUZ1" s="9"/>
      <c r="HVA1" s="9"/>
      <c r="HVB1" s="9"/>
      <c r="HVC1" s="9"/>
      <c r="HVD1" s="9"/>
      <c r="HVE1" s="9"/>
      <c r="HVF1" s="9"/>
      <c r="HVG1" s="9"/>
      <c r="HVH1" s="9"/>
      <c r="HVI1" s="9"/>
      <c r="HVJ1" s="9"/>
      <c r="HVK1" s="9"/>
      <c r="HVL1" s="9"/>
      <c r="HVM1" s="9"/>
      <c r="HVN1" s="9"/>
      <c r="HVO1" s="9"/>
      <c r="HVP1" s="9"/>
      <c r="HVQ1" s="9"/>
      <c r="HVR1" s="9"/>
      <c r="HVS1" s="9"/>
      <c r="HVT1" s="9"/>
      <c r="HVU1" s="9"/>
      <c r="HVV1" s="9"/>
      <c r="HVW1" s="9"/>
      <c r="HVX1" s="9"/>
      <c r="HVY1" s="9"/>
      <c r="HVZ1" s="9"/>
      <c r="HWA1" s="9"/>
      <c r="HWB1" s="9"/>
      <c r="HWC1" s="9"/>
      <c r="HWD1" s="9"/>
      <c r="HWE1" s="9"/>
      <c r="HWF1" s="9"/>
      <c r="HWG1" s="9"/>
      <c r="HWH1" s="9"/>
      <c r="HWI1" s="9"/>
      <c r="HWJ1" s="9"/>
      <c r="HWK1" s="9"/>
      <c r="HWL1" s="9"/>
      <c r="HWM1" s="9"/>
      <c r="HWN1" s="9"/>
      <c r="HWO1" s="9"/>
      <c r="HWP1" s="9"/>
      <c r="HWQ1" s="9"/>
      <c r="HWR1" s="9"/>
      <c r="HWS1" s="9"/>
      <c r="HWT1" s="9"/>
      <c r="HWU1" s="9"/>
      <c r="HWV1" s="9"/>
      <c r="HWW1" s="9"/>
      <c r="HWX1" s="9"/>
      <c r="HWY1" s="9"/>
      <c r="HWZ1" s="9"/>
      <c r="HXA1" s="9"/>
      <c r="HXB1" s="9"/>
      <c r="HXC1" s="9"/>
      <c r="HXD1" s="9"/>
      <c r="HXE1" s="9"/>
      <c r="HXF1" s="9"/>
      <c r="HXG1" s="9"/>
      <c r="HXH1" s="9"/>
      <c r="HXI1" s="9"/>
      <c r="HXJ1" s="9"/>
      <c r="HXK1" s="9"/>
      <c r="HXL1" s="9"/>
      <c r="HXM1" s="9"/>
      <c r="HXN1" s="9"/>
      <c r="HXO1" s="9"/>
      <c r="HXP1" s="9"/>
      <c r="HXQ1" s="9"/>
      <c r="HXR1" s="9"/>
      <c r="HXS1" s="9"/>
      <c r="HXT1" s="9"/>
      <c r="HXU1" s="9"/>
      <c r="HXV1" s="9"/>
      <c r="HXW1" s="9"/>
      <c r="HXX1" s="9"/>
      <c r="HXY1" s="9"/>
      <c r="HXZ1" s="9"/>
      <c r="HYA1" s="9"/>
      <c r="HYB1" s="9"/>
      <c r="HYC1" s="9"/>
      <c r="HYD1" s="9"/>
      <c r="HYE1" s="9"/>
      <c r="HYF1" s="9"/>
      <c r="HYG1" s="9"/>
      <c r="HYH1" s="9"/>
      <c r="HYI1" s="9"/>
      <c r="HYJ1" s="9"/>
      <c r="HYK1" s="9"/>
      <c r="HYL1" s="9"/>
      <c r="HYM1" s="9"/>
      <c r="HYN1" s="9"/>
      <c r="HYO1" s="9"/>
      <c r="HYP1" s="9"/>
      <c r="HYQ1" s="9"/>
      <c r="HYR1" s="9"/>
      <c r="HYS1" s="9"/>
      <c r="HYT1" s="9"/>
      <c r="HYU1" s="9"/>
      <c r="HYV1" s="9"/>
      <c r="HYW1" s="9"/>
      <c r="HYX1" s="9"/>
      <c r="HYY1" s="9"/>
      <c r="HYZ1" s="9"/>
      <c r="HZA1" s="9"/>
      <c r="HZB1" s="9"/>
      <c r="HZC1" s="9"/>
      <c r="HZD1" s="9"/>
      <c r="HZE1" s="9"/>
      <c r="HZF1" s="9"/>
      <c r="HZG1" s="9"/>
      <c r="HZH1" s="9"/>
      <c r="HZI1" s="9"/>
      <c r="HZJ1" s="9"/>
      <c r="HZK1" s="9"/>
      <c r="HZL1" s="9"/>
      <c r="HZM1" s="9"/>
      <c r="HZN1" s="9"/>
      <c r="HZO1" s="9"/>
      <c r="HZP1" s="9"/>
      <c r="HZQ1" s="9"/>
      <c r="HZR1" s="9"/>
      <c r="HZS1" s="9"/>
      <c r="HZT1" s="9"/>
      <c r="HZU1" s="9"/>
      <c r="HZV1" s="9"/>
      <c r="HZW1" s="9"/>
      <c r="HZX1" s="9"/>
      <c r="HZY1" s="9"/>
      <c r="HZZ1" s="9"/>
      <c r="IAA1" s="9"/>
      <c r="IAB1" s="9"/>
      <c r="IAC1" s="9"/>
      <c r="IAD1" s="9"/>
      <c r="IAE1" s="9"/>
      <c r="IAF1" s="9"/>
      <c r="IAG1" s="9"/>
      <c r="IAH1" s="9"/>
      <c r="IAI1" s="9"/>
      <c r="IAJ1" s="9"/>
      <c r="IAK1" s="9"/>
      <c r="IAL1" s="9"/>
      <c r="IAM1" s="9"/>
      <c r="IAN1" s="9"/>
      <c r="IAO1" s="9"/>
      <c r="IAP1" s="9"/>
      <c r="IAQ1" s="9"/>
      <c r="IAR1" s="9"/>
      <c r="IAS1" s="9"/>
      <c r="IAT1" s="9"/>
      <c r="IAU1" s="9"/>
      <c r="IAV1" s="9"/>
      <c r="IAW1" s="9"/>
      <c r="IAX1" s="9"/>
      <c r="IAY1" s="9"/>
      <c r="IAZ1" s="9"/>
      <c r="IBA1" s="9"/>
      <c r="IBB1" s="9"/>
      <c r="IBC1" s="9"/>
      <c r="IBD1" s="9"/>
      <c r="IBE1" s="9"/>
      <c r="IBF1" s="9"/>
      <c r="IBG1" s="9"/>
      <c r="IBH1" s="9"/>
      <c r="IBI1" s="9"/>
      <c r="IBJ1" s="9"/>
      <c r="IBK1" s="9"/>
      <c r="IBL1" s="9"/>
      <c r="IBM1" s="9"/>
      <c r="IBN1" s="9"/>
      <c r="IBO1" s="9"/>
      <c r="IBP1" s="9"/>
      <c r="IBQ1" s="9"/>
      <c r="IBR1" s="9"/>
      <c r="IBS1" s="9"/>
      <c r="IBT1" s="9"/>
      <c r="IBU1" s="9"/>
      <c r="IBV1" s="9"/>
      <c r="IBW1" s="9"/>
      <c r="IBX1" s="9"/>
      <c r="IBY1" s="9"/>
      <c r="IBZ1" s="9"/>
      <c r="ICA1" s="9"/>
      <c r="ICB1" s="9"/>
      <c r="ICC1" s="9"/>
      <c r="ICD1" s="9"/>
      <c r="ICE1" s="9"/>
      <c r="ICF1" s="9"/>
      <c r="ICG1" s="9"/>
      <c r="ICH1" s="9"/>
      <c r="ICI1" s="9"/>
      <c r="ICJ1" s="9"/>
      <c r="ICK1" s="9"/>
      <c r="ICL1" s="9"/>
      <c r="ICM1" s="9"/>
      <c r="ICN1" s="9"/>
      <c r="ICO1" s="9"/>
      <c r="ICP1" s="9"/>
      <c r="ICQ1" s="9"/>
      <c r="ICR1" s="9"/>
      <c r="ICS1" s="9"/>
      <c r="ICT1" s="9"/>
      <c r="ICU1" s="9"/>
      <c r="ICV1" s="9"/>
      <c r="ICW1" s="9"/>
      <c r="ICX1" s="9"/>
      <c r="ICY1" s="9"/>
      <c r="ICZ1" s="9"/>
      <c r="IDA1" s="9"/>
      <c r="IDB1" s="9"/>
      <c r="IDC1" s="9"/>
      <c r="IDD1" s="9"/>
      <c r="IDE1" s="9"/>
      <c r="IDF1" s="9"/>
      <c r="IDG1" s="9"/>
      <c r="IDH1" s="9"/>
      <c r="IDI1" s="9"/>
      <c r="IDJ1" s="9"/>
      <c r="IDK1" s="9"/>
      <c r="IDL1" s="9"/>
      <c r="IDM1" s="9"/>
      <c r="IDN1" s="9"/>
      <c r="IDO1" s="9"/>
      <c r="IDP1" s="9"/>
      <c r="IDQ1" s="9"/>
      <c r="IDR1" s="9"/>
      <c r="IDS1" s="9"/>
      <c r="IDT1" s="9"/>
      <c r="IDU1" s="9"/>
      <c r="IDV1" s="9"/>
      <c r="IDW1" s="9"/>
      <c r="IDX1" s="9"/>
      <c r="IDY1" s="9"/>
      <c r="IDZ1" s="9"/>
      <c r="IEA1" s="9"/>
      <c r="IEB1" s="9"/>
      <c r="IEC1" s="9"/>
      <c r="IED1" s="9"/>
      <c r="IEE1" s="9"/>
      <c r="IEF1" s="9"/>
      <c r="IEG1" s="9"/>
      <c r="IEH1" s="9"/>
      <c r="IEI1" s="9"/>
      <c r="IEJ1" s="9"/>
      <c r="IEK1" s="9"/>
      <c r="IEL1" s="9"/>
      <c r="IEM1" s="9"/>
      <c r="IEN1" s="9"/>
      <c r="IEO1" s="9"/>
      <c r="IEP1" s="9"/>
      <c r="IEQ1" s="9"/>
      <c r="IER1" s="9"/>
      <c r="IES1" s="9"/>
      <c r="IET1" s="9"/>
      <c r="IEU1" s="9"/>
      <c r="IEV1" s="9"/>
      <c r="IEW1" s="9"/>
      <c r="IEX1" s="9"/>
      <c r="IEY1" s="9"/>
      <c r="IEZ1" s="9"/>
      <c r="IFA1" s="9"/>
      <c r="IFB1" s="9"/>
      <c r="IFC1" s="9"/>
      <c r="IFD1" s="9"/>
      <c r="IFE1" s="9"/>
      <c r="IFF1" s="9"/>
      <c r="IFG1" s="9"/>
      <c r="IFH1" s="9"/>
      <c r="IFI1" s="9"/>
      <c r="IFJ1" s="9"/>
      <c r="IFK1" s="9"/>
      <c r="IFL1" s="9"/>
      <c r="IFM1" s="9"/>
      <c r="IFN1" s="9"/>
      <c r="IFO1" s="9"/>
      <c r="IFP1" s="9"/>
      <c r="IFQ1" s="9"/>
      <c r="IFR1" s="9"/>
      <c r="IFS1" s="9"/>
      <c r="IFT1" s="9"/>
      <c r="IFU1" s="9"/>
      <c r="IFV1" s="9"/>
      <c r="IFW1" s="9"/>
      <c r="IFX1" s="9"/>
      <c r="IFY1" s="9"/>
      <c r="IFZ1" s="9"/>
      <c r="IGA1" s="9"/>
      <c r="IGB1" s="9"/>
      <c r="IGC1" s="9"/>
      <c r="IGD1" s="9"/>
      <c r="IGE1" s="9"/>
      <c r="IGF1" s="9"/>
      <c r="IGG1" s="9"/>
      <c r="IGH1" s="9"/>
      <c r="IGI1" s="9"/>
      <c r="IGJ1" s="9"/>
      <c r="IGK1" s="9"/>
      <c r="IGL1" s="9"/>
      <c r="IGM1" s="9"/>
      <c r="IGN1" s="9"/>
      <c r="IGO1" s="9"/>
      <c r="IGP1" s="9"/>
      <c r="IGQ1" s="9"/>
      <c r="IGR1" s="9"/>
      <c r="IGS1" s="9"/>
      <c r="IGT1" s="9"/>
      <c r="IGU1" s="9"/>
      <c r="IGV1" s="9"/>
      <c r="IGW1" s="9"/>
      <c r="IGX1" s="9"/>
      <c r="IGY1" s="9"/>
      <c r="IGZ1" s="9"/>
      <c r="IHA1" s="9"/>
      <c r="IHB1" s="9"/>
      <c r="IHC1" s="9"/>
      <c r="IHD1" s="9"/>
      <c r="IHE1" s="9"/>
      <c r="IHF1" s="9"/>
      <c r="IHG1" s="9"/>
      <c r="IHH1" s="9"/>
      <c r="IHI1" s="9"/>
      <c r="IHJ1" s="9"/>
      <c r="IHK1" s="9"/>
      <c r="IHL1" s="9"/>
      <c r="IHM1" s="9"/>
      <c r="IHN1" s="9"/>
      <c r="IHO1" s="9"/>
      <c r="IHP1" s="9"/>
      <c r="IHQ1" s="9"/>
      <c r="IHR1" s="9"/>
      <c r="IHS1" s="9"/>
      <c r="IHT1" s="9"/>
      <c r="IHU1" s="9"/>
      <c r="IHV1" s="9"/>
      <c r="IHW1" s="9"/>
      <c r="IHX1" s="9"/>
      <c r="IHY1" s="9"/>
      <c r="IHZ1" s="9"/>
      <c r="IIA1" s="9"/>
      <c r="IIB1" s="9"/>
      <c r="IIC1" s="9"/>
      <c r="IID1" s="9"/>
      <c r="IIE1" s="9"/>
      <c r="IIF1" s="9"/>
      <c r="IIG1" s="9"/>
      <c r="IIH1" s="9"/>
      <c r="III1" s="9"/>
      <c r="IIJ1" s="9"/>
      <c r="IIK1" s="9"/>
      <c r="IIL1" s="9"/>
      <c r="IIM1" s="9"/>
      <c r="IIN1" s="9"/>
      <c r="IIO1" s="9"/>
      <c r="IIP1" s="9"/>
      <c r="IIQ1" s="9"/>
      <c r="IIR1" s="9"/>
      <c r="IIS1" s="9"/>
      <c r="IIT1" s="9"/>
      <c r="IIU1" s="9"/>
      <c r="IIV1" s="9"/>
      <c r="IIW1" s="9"/>
      <c r="IIX1" s="9"/>
      <c r="IIY1" s="9"/>
      <c r="IIZ1" s="9"/>
      <c r="IJA1" s="9"/>
      <c r="IJB1" s="9"/>
      <c r="IJC1" s="9"/>
      <c r="IJD1" s="9"/>
      <c r="IJE1" s="9"/>
      <c r="IJF1" s="9"/>
      <c r="IJG1" s="9"/>
      <c r="IJH1" s="9"/>
      <c r="IJI1" s="9"/>
      <c r="IJJ1" s="9"/>
      <c r="IJK1" s="9"/>
      <c r="IJL1" s="9"/>
      <c r="IJM1" s="9"/>
      <c r="IJN1" s="9"/>
      <c r="IJO1" s="9"/>
      <c r="IJP1" s="9"/>
      <c r="IJQ1" s="9"/>
      <c r="IJR1" s="9"/>
      <c r="IJS1" s="9"/>
      <c r="IJT1" s="9"/>
      <c r="IJU1" s="9"/>
      <c r="IJV1" s="9"/>
      <c r="IJW1" s="9"/>
      <c r="IJX1" s="9"/>
      <c r="IJY1" s="9"/>
      <c r="IJZ1" s="9"/>
      <c r="IKA1" s="9"/>
      <c r="IKB1" s="9"/>
      <c r="IKC1" s="9"/>
      <c r="IKD1" s="9"/>
      <c r="IKE1" s="9"/>
      <c r="IKF1" s="9"/>
      <c r="IKG1" s="9"/>
      <c r="IKH1" s="9"/>
      <c r="IKI1" s="9"/>
      <c r="IKJ1" s="9"/>
      <c r="IKK1" s="9"/>
      <c r="IKL1" s="9"/>
      <c r="IKM1" s="9"/>
      <c r="IKN1" s="9"/>
      <c r="IKO1" s="9"/>
      <c r="IKP1" s="9"/>
      <c r="IKQ1" s="9"/>
      <c r="IKR1" s="9"/>
      <c r="IKS1" s="9"/>
      <c r="IKT1" s="9"/>
      <c r="IKU1" s="9"/>
      <c r="IKV1" s="9"/>
      <c r="IKW1" s="9"/>
      <c r="IKX1" s="9"/>
      <c r="IKY1" s="9"/>
      <c r="IKZ1" s="9"/>
      <c r="ILA1" s="9"/>
      <c r="ILB1" s="9"/>
      <c r="ILC1" s="9"/>
      <c r="ILD1" s="9"/>
      <c r="ILE1" s="9"/>
      <c r="ILF1" s="9"/>
      <c r="ILG1" s="9"/>
      <c r="ILH1" s="9"/>
      <c r="ILI1" s="9"/>
      <c r="ILJ1" s="9"/>
      <c r="ILK1" s="9"/>
      <c r="ILL1" s="9"/>
      <c r="ILM1" s="9"/>
      <c r="ILN1" s="9"/>
      <c r="ILO1" s="9"/>
      <c r="ILP1" s="9"/>
      <c r="ILQ1" s="9"/>
      <c r="ILR1" s="9"/>
      <c r="ILS1" s="9"/>
      <c r="ILT1" s="9"/>
      <c r="ILU1" s="9"/>
      <c r="ILV1" s="9"/>
      <c r="ILW1" s="9"/>
      <c r="ILX1" s="9"/>
      <c r="ILY1" s="9"/>
      <c r="ILZ1" s="9"/>
      <c r="IMA1" s="9"/>
      <c r="IMB1" s="9"/>
      <c r="IMC1" s="9"/>
      <c r="IMD1" s="9"/>
      <c r="IME1" s="9"/>
      <c r="IMF1" s="9"/>
      <c r="IMG1" s="9"/>
      <c r="IMH1" s="9"/>
      <c r="IMI1" s="9"/>
      <c r="IMJ1" s="9"/>
      <c r="IMK1" s="9"/>
      <c r="IML1" s="9"/>
      <c r="IMM1" s="9"/>
      <c r="IMN1" s="9"/>
      <c r="IMO1" s="9"/>
      <c r="IMP1" s="9"/>
      <c r="IMQ1" s="9"/>
      <c r="IMR1" s="9"/>
      <c r="IMS1" s="9"/>
      <c r="IMT1" s="9"/>
      <c r="IMU1" s="9"/>
      <c r="IMV1" s="9"/>
      <c r="IMW1" s="9"/>
      <c r="IMX1" s="9"/>
      <c r="IMY1" s="9"/>
      <c r="IMZ1" s="9"/>
      <c r="INA1" s="9"/>
      <c r="INB1" s="9"/>
      <c r="INC1" s="9"/>
      <c r="IND1" s="9"/>
      <c r="INE1" s="9"/>
      <c r="INF1" s="9"/>
      <c r="ING1" s="9"/>
      <c r="INH1" s="9"/>
      <c r="INI1" s="9"/>
      <c r="INJ1" s="9"/>
      <c r="INK1" s="9"/>
      <c r="INL1" s="9"/>
      <c r="INM1" s="9"/>
      <c r="INN1" s="9"/>
      <c r="INO1" s="9"/>
      <c r="INP1" s="9"/>
      <c r="INQ1" s="9"/>
      <c r="INR1" s="9"/>
      <c r="INS1" s="9"/>
      <c r="INT1" s="9"/>
      <c r="INU1" s="9"/>
      <c r="INV1" s="9"/>
      <c r="INW1" s="9"/>
      <c r="INX1" s="9"/>
      <c r="INY1" s="9"/>
      <c r="INZ1" s="9"/>
      <c r="IOA1" s="9"/>
      <c r="IOB1" s="9"/>
      <c r="IOC1" s="9"/>
      <c r="IOD1" s="9"/>
      <c r="IOE1" s="9"/>
      <c r="IOF1" s="9"/>
      <c r="IOG1" s="9"/>
      <c r="IOH1" s="9"/>
      <c r="IOI1" s="9"/>
      <c r="IOJ1" s="9"/>
      <c r="IOK1" s="9"/>
      <c r="IOL1" s="9"/>
      <c r="IOM1" s="9"/>
      <c r="ION1" s="9"/>
      <c r="IOO1" s="9"/>
      <c r="IOP1" s="9"/>
      <c r="IOQ1" s="9"/>
      <c r="IOR1" s="9"/>
      <c r="IOS1" s="9"/>
      <c r="IOT1" s="9"/>
      <c r="IOU1" s="9"/>
      <c r="IOV1" s="9"/>
      <c r="IOW1" s="9"/>
      <c r="IOX1" s="9"/>
      <c r="IOY1" s="9"/>
      <c r="IOZ1" s="9"/>
      <c r="IPA1" s="9"/>
      <c r="IPB1" s="9"/>
      <c r="IPC1" s="9"/>
      <c r="IPD1" s="9"/>
      <c r="IPE1" s="9"/>
      <c r="IPF1" s="9"/>
      <c r="IPG1" s="9"/>
      <c r="IPH1" s="9"/>
      <c r="IPI1" s="9"/>
      <c r="IPJ1" s="9"/>
      <c r="IPK1" s="9"/>
      <c r="IPL1" s="9"/>
      <c r="IPM1" s="9"/>
      <c r="IPN1" s="9"/>
      <c r="IPO1" s="9"/>
      <c r="IPP1" s="9"/>
      <c r="IPQ1" s="9"/>
      <c r="IPR1" s="9"/>
      <c r="IPS1" s="9"/>
      <c r="IPT1" s="9"/>
      <c r="IPU1" s="9"/>
      <c r="IPV1" s="9"/>
      <c r="IPW1" s="9"/>
      <c r="IPX1" s="9"/>
      <c r="IPY1" s="9"/>
      <c r="IPZ1" s="9"/>
      <c r="IQA1" s="9"/>
      <c r="IQB1" s="9"/>
      <c r="IQC1" s="9"/>
      <c r="IQD1" s="9"/>
      <c r="IQE1" s="9"/>
      <c r="IQF1" s="9"/>
      <c r="IQG1" s="9"/>
      <c r="IQH1" s="9"/>
      <c r="IQI1" s="9"/>
      <c r="IQJ1" s="9"/>
      <c r="IQK1" s="9"/>
      <c r="IQL1" s="9"/>
      <c r="IQM1" s="9"/>
      <c r="IQN1" s="9"/>
      <c r="IQO1" s="9"/>
      <c r="IQP1" s="9"/>
      <c r="IQQ1" s="9"/>
      <c r="IQR1" s="9"/>
      <c r="IQS1" s="9"/>
      <c r="IQT1" s="9"/>
      <c r="IQU1" s="9"/>
      <c r="IQV1" s="9"/>
      <c r="IQW1" s="9"/>
      <c r="IQX1" s="9"/>
      <c r="IQY1" s="9"/>
      <c r="IQZ1" s="9"/>
      <c r="IRA1" s="9"/>
      <c r="IRB1" s="9"/>
      <c r="IRC1" s="9"/>
      <c r="IRD1" s="9"/>
      <c r="IRE1" s="9"/>
      <c r="IRF1" s="9"/>
      <c r="IRG1" s="9"/>
      <c r="IRH1" s="9"/>
      <c r="IRI1" s="9"/>
      <c r="IRJ1" s="9"/>
      <c r="IRK1" s="9"/>
      <c r="IRL1" s="9"/>
      <c r="IRM1" s="9"/>
      <c r="IRN1" s="9"/>
      <c r="IRO1" s="9"/>
      <c r="IRP1" s="9"/>
      <c r="IRQ1" s="9"/>
      <c r="IRR1" s="9"/>
      <c r="IRS1" s="9"/>
      <c r="IRT1" s="9"/>
      <c r="IRU1" s="9"/>
      <c r="IRV1" s="9"/>
      <c r="IRW1" s="9"/>
      <c r="IRX1" s="9"/>
      <c r="IRY1" s="9"/>
      <c r="IRZ1" s="9"/>
      <c r="ISA1" s="9"/>
      <c r="ISB1" s="9"/>
      <c r="ISC1" s="9"/>
      <c r="ISD1" s="9"/>
      <c r="ISE1" s="9"/>
      <c r="ISF1" s="9"/>
      <c r="ISG1" s="9"/>
      <c r="ISH1" s="9"/>
      <c r="ISI1" s="9"/>
      <c r="ISJ1" s="9"/>
      <c r="ISK1" s="9"/>
      <c r="ISL1" s="9"/>
      <c r="ISM1" s="9"/>
      <c r="ISN1" s="9"/>
      <c r="ISO1" s="9"/>
      <c r="ISP1" s="9"/>
      <c r="ISQ1" s="9"/>
      <c r="ISR1" s="9"/>
      <c r="ISS1" s="9"/>
      <c r="IST1" s="9"/>
      <c r="ISU1" s="9"/>
      <c r="ISV1" s="9"/>
      <c r="ISW1" s="9"/>
      <c r="ISX1" s="9"/>
      <c r="ISY1" s="9"/>
      <c r="ISZ1" s="9"/>
      <c r="ITA1" s="9"/>
      <c r="ITB1" s="9"/>
      <c r="ITC1" s="9"/>
      <c r="ITD1" s="9"/>
      <c r="ITE1" s="9"/>
      <c r="ITF1" s="9"/>
      <c r="ITG1" s="9"/>
      <c r="ITH1" s="9"/>
      <c r="ITI1" s="9"/>
      <c r="ITJ1" s="9"/>
      <c r="ITK1" s="9"/>
      <c r="ITL1" s="9"/>
      <c r="ITM1" s="9"/>
      <c r="ITN1" s="9"/>
      <c r="ITO1" s="9"/>
      <c r="ITP1" s="9"/>
      <c r="ITQ1" s="9"/>
      <c r="ITR1" s="9"/>
      <c r="ITS1" s="9"/>
      <c r="ITT1" s="9"/>
      <c r="ITU1" s="9"/>
      <c r="ITV1" s="9"/>
      <c r="ITW1" s="9"/>
      <c r="ITX1" s="9"/>
      <c r="ITY1" s="9"/>
      <c r="ITZ1" s="9"/>
      <c r="IUA1" s="9"/>
      <c r="IUB1" s="9"/>
      <c r="IUC1" s="9"/>
      <c r="IUD1" s="9"/>
      <c r="IUE1" s="9"/>
      <c r="IUF1" s="9"/>
      <c r="IUG1" s="9"/>
      <c r="IUH1" s="9"/>
      <c r="IUI1" s="9"/>
      <c r="IUJ1" s="9"/>
      <c r="IUK1" s="9"/>
      <c r="IUL1" s="9"/>
      <c r="IUM1" s="9"/>
      <c r="IUN1" s="9"/>
      <c r="IUO1" s="9"/>
      <c r="IUP1" s="9"/>
      <c r="IUQ1" s="9"/>
      <c r="IUR1" s="9"/>
      <c r="IUS1" s="9"/>
      <c r="IUT1" s="9"/>
      <c r="IUU1" s="9"/>
      <c r="IUV1" s="9"/>
      <c r="IUW1" s="9"/>
      <c r="IUX1" s="9"/>
      <c r="IUY1" s="9"/>
      <c r="IUZ1" s="9"/>
      <c r="IVA1" s="9"/>
      <c r="IVB1" s="9"/>
      <c r="IVC1" s="9"/>
      <c r="IVD1" s="9"/>
      <c r="IVE1" s="9"/>
      <c r="IVF1" s="9"/>
      <c r="IVG1" s="9"/>
      <c r="IVH1" s="9"/>
      <c r="IVI1" s="9"/>
      <c r="IVJ1" s="9"/>
      <c r="IVK1" s="9"/>
      <c r="IVL1" s="9"/>
      <c r="IVM1" s="9"/>
      <c r="IVN1" s="9"/>
      <c r="IVO1" s="9"/>
      <c r="IVP1" s="9"/>
      <c r="IVQ1" s="9"/>
      <c r="IVR1" s="9"/>
      <c r="IVS1" s="9"/>
      <c r="IVT1" s="9"/>
      <c r="IVU1" s="9"/>
      <c r="IVV1" s="9"/>
      <c r="IVW1" s="9"/>
      <c r="IVX1" s="9"/>
      <c r="IVY1" s="9"/>
      <c r="IVZ1" s="9"/>
      <c r="IWA1" s="9"/>
      <c r="IWB1" s="9"/>
      <c r="IWC1" s="9"/>
      <c r="IWD1" s="9"/>
      <c r="IWE1" s="9"/>
      <c r="IWF1" s="9"/>
      <c r="IWG1" s="9"/>
      <c r="IWH1" s="9"/>
      <c r="IWI1" s="9"/>
      <c r="IWJ1" s="9"/>
      <c r="IWK1" s="9"/>
      <c r="IWL1" s="9"/>
      <c r="IWM1" s="9"/>
      <c r="IWN1" s="9"/>
      <c r="IWO1" s="9"/>
      <c r="IWP1" s="9"/>
      <c r="IWQ1" s="9"/>
      <c r="IWR1" s="9"/>
      <c r="IWS1" s="9"/>
      <c r="IWT1" s="9"/>
      <c r="IWU1" s="9"/>
      <c r="IWV1" s="9"/>
      <c r="IWW1" s="9"/>
      <c r="IWX1" s="9"/>
      <c r="IWY1" s="9"/>
      <c r="IWZ1" s="9"/>
      <c r="IXA1" s="9"/>
      <c r="IXB1" s="9"/>
      <c r="IXC1" s="9"/>
      <c r="IXD1" s="9"/>
      <c r="IXE1" s="9"/>
      <c r="IXF1" s="9"/>
      <c r="IXG1" s="9"/>
      <c r="IXH1" s="9"/>
      <c r="IXI1" s="9"/>
      <c r="IXJ1" s="9"/>
      <c r="IXK1" s="9"/>
      <c r="IXL1" s="9"/>
      <c r="IXM1" s="9"/>
      <c r="IXN1" s="9"/>
      <c r="IXO1" s="9"/>
      <c r="IXP1" s="9"/>
      <c r="IXQ1" s="9"/>
      <c r="IXR1" s="9"/>
      <c r="IXS1" s="9"/>
      <c r="IXT1" s="9"/>
      <c r="IXU1" s="9"/>
      <c r="IXV1" s="9"/>
      <c r="IXW1" s="9"/>
      <c r="IXX1" s="9"/>
      <c r="IXY1" s="9"/>
      <c r="IXZ1" s="9"/>
      <c r="IYA1" s="9"/>
      <c r="IYB1" s="9"/>
      <c r="IYC1" s="9"/>
      <c r="IYD1" s="9"/>
      <c r="IYE1" s="9"/>
      <c r="IYF1" s="9"/>
      <c r="IYG1" s="9"/>
      <c r="IYH1" s="9"/>
      <c r="IYI1" s="9"/>
      <c r="IYJ1" s="9"/>
      <c r="IYK1" s="9"/>
      <c r="IYL1" s="9"/>
      <c r="IYM1" s="9"/>
      <c r="IYN1" s="9"/>
      <c r="IYO1" s="9"/>
      <c r="IYP1" s="9"/>
      <c r="IYQ1" s="9"/>
      <c r="IYR1" s="9"/>
      <c r="IYS1" s="9"/>
      <c r="IYT1" s="9"/>
      <c r="IYU1" s="9"/>
      <c r="IYV1" s="9"/>
      <c r="IYW1" s="9"/>
      <c r="IYX1" s="9"/>
      <c r="IYY1" s="9"/>
      <c r="IYZ1" s="9"/>
      <c r="IZA1" s="9"/>
      <c r="IZB1" s="9"/>
      <c r="IZC1" s="9"/>
      <c r="IZD1" s="9"/>
      <c r="IZE1" s="9"/>
      <c r="IZF1" s="9"/>
      <c r="IZG1" s="9"/>
      <c r="IZH1" s="9"/>
      <c r="IZI1" s="9"/>
      <c r="IZJ1" s="9"/>
      <c r="IZK1" s="9"/>
      <c r="IZL1" s="9"/>
      <c r="IZM1" s="9"/>
      <c r="IZN1" s="9"/>
      <c r="IZO1" s="9"/>
      <c r="IZP1" s="9"/>
      <c r="IZQ1" s="9"/>
      <c r="IZR1" s="9"/>
      <c r="IZS1" s="9"/>
      <c r="IZT1" s="9"/>
      <c r="IZU1" s="9"/>
      <c r="IZV1" s="9"/>
      <c r="IZW1" s="9"/>
      <c r="IZX1" s="9"/>
      <c r="IZY1" s="9"/>
      <c r="IZZ1" s="9"/>
      <c r="JAA1" s="9"/>
      <c r="JAB1" s="9"/>
      <c r="JAC1" s="9"/>
      <c r="JAD1" s="9"/>
      <c r="JAE1" s="9"/>
      <c r="JAF1" s="9"/>
      <c r="JAG1" s="9"/>
      <c r="JAH1" s="9"/>
      <c r="JAI1" s="9"/>
      <c r="JAJ1" s="9"/>
      <c r="JAK1" s="9"/>
      <c r="JAL1" s="9"/>
      <c r="JAM1" s="9"/>
      <c r="JAN1" s="9"/>
      <c r="JAO1" s="9"/>
      <c r="JAP1" s="9"/>
      <c r="JAQ1" s="9"/>
      <c r="JAR1" s="9"/>
      <c r="JAS1" s="9"/>
      <c r="JAT1" s="9"/>
      <c r="JAU1" s="9"/>
      <c r="JAV1" s="9"/>
      <c r="JAW1" s="9"/>
      <c r="JAX1" s="9"/>
      <c r="JAY1" s="9"/>
      <c r="JAZ1" s="9"/>
      <c r="JBA1" s="9"/>
      <c r="JBB1" s="9"/>
      <c r="JBC1" s="9"/>
      <c r="JBD1" s="9"/>
      <c r="JBE1" s="9"/>
      <c r="JBF1" s="9"/>
      <c r="JBG1" s="9"/>
      <c r="JBH1" s="9"/>
      <c r="JBI1" s="9"/>
      <c r="JBJ1" s="9"/>
      <c r="JBK1" s="9"/>
      <c r="JBL1" s="9"/>
      <c r="JBM1" s="9"/>
      <c r="JBN1" s="9"/>
      <c r="JBO1" s="9"/>
      <c r="JBP1" s="9"/>
      <c r="JBQ1" s="9"/>
      <c r="JBR1" s="9"/>
      <c r="JBS1" s="9"/>
      <c r="JBT1" s="9"/>
      <c r="JBU1" s="9"/>
      <c r="JBV1" s="9"/>
      <c r="JBW1" s="9"/>
      <c r="JBX1" s="9"/>
      <c r="JBY1" s="9"/>
      <c r="JBZ1" s="9"/>
      <c r="JCA1" s="9"/>
      <c r="JCB1" s="9"/>
      <c r="JCC1" s="9"/>
      <c r="JCD1" s="9"/>
      <c r="JCE1" s="9"/>
      <c r="JCF1" s="9"/>
      <c r="JCG1" s="9"/>
      <c r="JCH1" s="9"/>
      <c r="JCI1" s="9"/>
      <c r="JCJ1" s="9"/>
      <c r="JCK1" s="9"/>
      <c r="JCL1" s="9"/>
      <c r="JCM1" s="9"/>
      <c r="JCN1" s="9"/>
      <c r="JCO1" s="9"/>
      <c r="JCP1" s="9"/>
      <c r="JCQ1" s="9"/>
      <c r="JCR1" s="9"/>
      <c r="JCS1" s="9"/>
      <c r="JCT1" s="9"/>
      <c r="JCU1" s="9"/>
      <c r="JCV1" s="9"/>
      <c r="JCW1" s="9"/>
      <c r="JCX1" s="9"/>
      <c r="JCY1" s="9"/>
      <c r="JCZ1" s="9"/>
      <c r="JDA1" s="9"/>
      <c r="JDB1" s="9"/>
      <c r="JDC1" s="9"/>
      <c r="JDD1" s="9"/>
      <c r="JDE1" s="9"/>
      <c r="JDF1" s="9"/>
      <c r="JDG1" s="9"/>
      <c r="JDH1" s="9"/>
      <c r="JDI1" s="9"/>
      <c r="JDJ1" s="9"/>
      <c r="JDK1" s="9"/>
      <c r="JDL1" s="9"/>
      <c r="JDM1" s="9"/>
      <c r="JDN1" s="9"/>
      <c r="JDO1" s="9"/>
      <c r="JDP1" s="9"/>
      <c r="JDQ1" s="9"/>
      <c r="JDR1" s="9"/>
      <c r="JDS1" s="9"/>
      <c r="JDT1" s="9"/>
      <c r="JDU1" s="9"/>
      <c r="JDV1" s="9"/>
      <c r="JDW1" s="9"/>
      <c r="JDX1" s="9"/>
      <c r="JDY1" s="9"/>
      <c r="JDZ1" s="9"/>
      <c r="JEA1" s="9"/>
      <c r="JEB1" s="9"/>
      <c r="JEC1" s="9"/>
      <c r="JED1" s="9"/>
      <c r="JEE1" s="9"/>
      <c r="JEF1" s="9"/>
      <c r="JEG1" s="9"/>
      <c r="JEH1" s="9"/>
      <c r="JEI1" s="9"/>
      <c r="JEJ1" s="9"/>
      <c r="JEK1" s="9"/>
      <c r="JEL1" s="9"/>
      <c r="JEM1" s="9"/>
      <c r="JEN1" s="9"/>
      <c r="JEO1" s="9"/>
      <c r="JEP1" s="9"/>
      <c r="JEQ1" s="9"/>
      <c r="JER1" s="9"/>
      <c r="JES1" s="9"/>
      <c r="JET1" s="9"/>
      <c r="JEU1" s="9"/>
      <c r="JEV1" s="9"/>
      <c r="JEW1" s="9"/>
      <c r="JEX1" s="9"/>
      <c r="JEY1" s="9"/>
      <c r="JEZ1" s="9"/>
      <c r="JFA1" s="9"/>
      <c r="JFB1" s="9"/>
      <c r="JFC1" s="9"/>
      <c r="JFD1" s="9"/>
      <c r="JFE1" s="9"/>
      <c r="JFF1" s="9"/>
      <c r="JFG1" s="9"/>
      <c r="JFH1" s="9"/>
      <c r="JFI1" s="9"/>
      <c r="JFJ1" s="9"/>
      <c r="JFK1" s="9"/>
      <c r="JFL1" s="9"/>
      <c r="JFM1" s="9"/>
      <c r="JFN1" s="9"/>
      <c r="JFO1" s="9"/>
      <c r="JFP1" s="9"/>
      <c r="JFQ1" s="9"/>
      <c r="JFR1" s="9"/>
      <c r="JFS1" s="9"/>
      <c r="JFT1" s="9"/>
      <c r="JFU1" s="9"/>
      <c r="JFV1" s="9"/>
      <c r="JFW1" s="9"/>
      <c r="JFX1" s="9"/>
      <c r="JFY1" s="9"/>
      <c r="JFZ1" s="9"/>
      <c r="JGA1" s="9"/>
      <c r="JGB1" s="9"/>
      <c r="JGC1" s="9"/>
      <c r="JGD1" s="9"/>
      <c r="JGE1" s="9"/>
      <c r="JGF1" s="9"/>
      <c r="JGG1" s="9"/>
      <c r="JGH1" s="9"/>
      <c r="JGI1" s="9"/>
      <c r="JGJ1" s="9"/>
      <c r="JGK1" s="9"/>
      <c r="JGL1" s="9"/>
      <c r="JGM1" s="9"/>
      <c r="JGN1" s="9"/>
      <c r="JGO1" s="9"/>
      <c r="JGP1" s="9"/>
      <c r="JGQ1" s="9"/>
      <c r="JGR1" s="9"/>
      <c r="JGS1" s="9"/>
      <c r="JGT1" s="9"/>
      <c r="JGU1" s="9"/>
      <c r="JGV1" s="9"/>
      <c r="JGW1" s="9"/>
      <c r="JGX1" s="9"/>
      <c r="JGY1" s="9"/>
      <c r="JGZ1" s="9"/>
      <c r="JHA1" s="9"/>
      <c r="JHB1" s="9"/>
      <c r="JHC1" s="9"/>
      <c r="JHD1" s="9"/>
      <c r="JHE1" s="9"/>
      <c r="JHF1" s="9"/>
      <c r="JHG1" s="9"/>
      <c r="JHH1" s="9"/>
      <c r="JHI1" s="9"/>
      <c r="JHJ1" s="9"/>
      <c r="JHK1" s="9"/>
      <c r="JHL1" s="9"/>
      <c r="JHM1" s="9"/>
      <c r="JHN1" s="9"/>
      <c r="JHO1" s="9"/>
      <c r="JHP1" s="9"/>
      <c r="JHQ1" s="9"/>
      <c r="JHR1" s="9"/>
      <c r="JHS1" s="9"/>
      <c r="JHT1" s="9"/>
      <c r="JHU1" s="9"/>
      <c r="JHV1" s="9"/>
      <c r="JHW1" s="9"/>
      <c r="JHX1" s="9"/>
      <c r="JHY1" s="9"/>
      <c r="JHZ1" s="9"/>
      <c r="JIA1" s="9"/>
      <c r="JIB1" s="9"/>
      <c r="JIC1" s="9"/>
      <c r="JID1" s="9"/>
      <c r="JIE1" s="9"/>
      <c r="JIF1" s="9"/>
      <c r="JIG1" s="9"/>
      <c r="JIH1" s="9"/>
      <c r="JII1" s="9"/>
      <c r="JIJ1" s="9"/>
      <c r="JIK1" s="9"/>
      <c r="JIL1" s="9"/>
      <c r="JIM1" s="9"/>
      <c r="JIN1" s="9"/>
      <c r="JIO1" s="9"/>
      <c r="JIP1" s="9"/>
      <c r="JIQ1" s="9"/>
      <c r="JIR1" s="9"/>
      <c r="JIS1" s="9"/>
      <c r="JIT1" s="9"/>
      <c r="JIU1" s="9"/>
      <c r="JIV1" s="9"/>
      <c r="JIW1" s="9"/>
      <c r="JIX1" s="9"/>
      <c r="JIY1" s="9"/>
      <c r="JIZ1" s="9"/>
      <c r="JJA1" s="9"/>
      <c r="JJB1" s="9"/>
      <c r="JJC1" s="9"/>
      <c r="JJD1" s="9"/>
      <c r="JJE1" s="9"/>
      <c r="JJF1" s="9"/>
      <c r="JJG1" s="9"/>
      <c r="JJH1" s="9"/>
      <c r="JJI1" s="9"/>
      <c r="JJJ1" s="9"/>
      <c r="JJK1" s="9"/>
      <c r="JJL1" s="9"/>
      <c r="JJM1" s="9"/>
      <c r="JJN1" s="9"/>
      <c r="JJO1" s="9"/>
      <c r="JJP1" s="9"/>
      <c r="JJQ1" s="9"/>
      <c r="JJR1" s="9"/>
      <c r="JJS1" s="9"/>
      <c r="JJT1" s="9"/>
      <c r="JJU1" s="9"/>
      <c r="JJV1" s="9"/>
      <c r="JJW1" s="9"/>
      <c r="JJX1" s="9"/>
      <c r="JJY1" s="9"/>
      <c r="JJZ1" s="9"/>
      <c r="JKA1" s="9"/>
      <c r="JKB1" s="9"/>
      <c r="JKC1" s="9"/>
      <c r="JKD1" s="9"/>
      <c r="JKE1" s="9"/>
      <c r="JKF1" s="9"/>
      <c r="JKG1" s="9"/>
      <c r="JKH1" s="9"/>
      <c r="JKI1" s="9"/>
      <c r="JKJ1" s="9"/>
      <c r="JKK1" s="9"/>
      <c r="JKL1" s="9"/>
      <c r="JKM1" s="9"/>
      <c r="JKN1" s="9"/>
      <c r="JKO1" s="9"/>
      <c r="JKP1" s="9"/>
      <c r="JKQ1" s="9"/>
      <c r="JKR1" s="9"/>
      <c r="JKS1" s="9"/>
      <c r="JKT1" s="9"/>
      <c r="JKU1" s="9"/>
      <c r="JKV1" s="9"/>
      <c r="JKW1" s="9"/>
      <c r="JKX1" s="9"/>
      <c r="JKY1" s="9"/>
      <c r="JKZ1" s="9"/>
      <c r="JLA1" s="9"/>
      <c r="JLB1" s="9"/>
      <c r="JLC1" s="9"/>
      <c r="JLD1" s="9"/>
      <c r="JLE1" s="9"/>
      <c r="JLF1" s="9"/>
      <c r="JLG1" s="9"/>
      <c r="JLH1" s="9"/>
      <c r="JLI1" s="9"/>
      <c r="JLJ1" s="9"/>
      <c r="JLK1" s="9"/>
      <c r="JLL1" s="9"/>
      <c r="JLM1" s="9"/>
      <c r="JLN1" s="9"/>
      <c r="JLO1" s="9"/>
      <c r="JLP1" s="9"/>
      <c r="JLQ1" s="9"/>
      <c r="JLR1" s="9"/>
      <c r="JLS1" s="9"/>
      <c r="JLT1" s="9"/>
      <c r="JLU1" s="9"/>
      <c r="JLV1" s="9"/>
      <c r="JLW1" s="9"/>
      <c r="JLX1" s="9"/>
      <c r="JLY1" s="9"/>
      <c r="JLZ1" s="9"/>
      <c r="JMA1" s="9"/>
      <c r="JMB1" s="9"/>
      <c r="JMC1" s="9"/>
      <c r="JMD1" s="9"/>
      <c r="JME1" s="9"/>
      <c r="JMF1" s="9"/>
      <c r="JMG1" s="9"/>
      <c r="JMH1" s="9"/>
      <c r="JMI1" s="9"/>
      <c r="JMJ1" s="9"/>
      <c r="JMK1" s="9"/>
      <c r="JML1" s="9"/>
      <c r="JMM1" s="9"/>
      <c r="JMN1" s="9"/>
      <c r="JMO1" s="9"/>
      <c r="JMP1" s="9"/>
      <c r="JMQ1" s="9"/>
      <c r="JMR1" s="9"/>
      <c r="JMS1" s="9"/>
      <c r="JMT1" s="9"/>
      <c r="JMU1" s="9"/>
      <c r="JMV1" s="9"/>
      <c r="JMW1" s="9"/>
      <c r="JMX1" s="9"/>
      <c r="JMY1" s="9"/>
      <c r="JMZ1" s="9"/>
      <c r="JNA1" s="9"/>
      <c r="JNB1" s="9"/>
      <c r="JNC1" s="9"/>
      <c r="JND1" s="9"/>
      <c r="JNE1" s="9"/>
      <c r="JNF1" s="9"/>
      <c r="JNG1" s="9"/>
      <c r="JNH1" s="9"/>
      <c r="JNI1" s="9"/>
      <c r="JNJ1" s="9"/>
      <c r="JNK1" s="9"/>
      <c r="JNL1" s="9"/>
      <c r="JNM1" s="9"/>
      <c r="JNN1" s="9"/>
      <c r="JNO1" s="9"/>
      <c r="JNP1" s="9"/>
      <c r="JNQ1" s="9"/>
      <c r="JNR1" s="9"/>
      <c r="JNS1" s="9"/>
      <c r="JNT1" s="9"/>
      <c r="JNU1" s="9"/>
      <c r="JNV1" s="9"/>
      <c r="JNW1" s="9"/>
      <c r="JNX1" s="9"/>
      <c r="JNY1" s="9"/>
      <c r="JNZ1" s="9"/>
      <c r="JOA1" s="9"/>
      <c r="JOB1" s="9"/>
      <c r="JOC1" s="9"/>
      <c r="JOD1" s="9"/>
      <c r="JOE1" s="9"/>
      <c r="JOF1" s="9"/>
      <c r="JOG1" s="9"/>
      <c r="JOH1" s="9"/>
      <c r="JOI1" s="9"/>
      <c r="JOJ1" s="9"/>
      <c r="JOK1" s="9"/>
      <c r="JOL1" s="9"/>
      <c r="JOM1" s="9"/>
      <c r="JON1" s="9"/>
      <c r="JOO1" s="9"/>
      <c r="JOP1" s="9"/>
      <c r="JOQ1" s="9"/>
      <c r="JOR1" s="9"/>
      <c r="JOS1" s="9"/>
      <c r="JOT1" s="9"/>
      <c r="JOU1" s="9"/>
      <c r="JOV1" s="9"/>
      <c r="JOW1" s="9"/>
      <c r="JOX1" s="9"/>
      <c r="JOY1" s="9"/>
      <c r="JOZ1" s="9"/>
      <c r="JPA1" s="9"/>
      <c r="JPB1" s="9"/>
      <c r="JPC1" s="9"/>
      <c r="JPD1" s="9"/>
      <c r="JPE1" s="9"/>
      <c r="JPF1" s="9"/>
      <c r="JPG1" s="9"/>
      <c r="JPH1" s="9"/>
      <c r="JPI1" s="9"/>
      <c r="JPJ1" s="9"/>
      <c r="JPK1" s="9"/>
      <c r="JPL1" s="9"/>
      <c r="JPM1" s="9"/>
      <c r="JPN1" s="9"/>
      <c r="JPO1" s="9"/>
      <c r="JPP1" s="9"/>
      <c r="JPQ1" s="9"/>
      <c r="JPR1" s="9"/>
      <c r="JPS1" s="9"/>
      <c r="JPT1" s="9"/>
      <c r="JPU1" s="9"/>
      <c r="JPV1" s="9"/>
      <c r="JPW1" s="9"/>
      <c r="JPX1" s="9"/>
      <c r="JPY1" s="9"/>
      <c r="JPZ1" s="9"/>
      <c r="JQA1" s="9"/>
      <c r="JQB1" s="9"/>
      <c r="JQC1" s="9"/>
      <c r="JQD1" s="9"/>
      <c r="JQE1" s="9"/>
      <c r="JQF1" s="9"/>
      <c r="JQG1" s="9"/>
      <c r="JQH1" s="9"/>
      <c r="JQI1" s="9"/>
      <c r="JQJ1" s="9"/>
      <c r="JQK1" s="9"/>
      <c r="JQL1" s="9"/>
      <c r="JQM1" s="9"/>
      <c r="JQN1" s="9"/>
      <c r="JQO1" s="9"/>
      <c r="JQP1" s="9"/>
      <c r="JQQ1" s="9"/>
      <c r="JQR1" s="9"/>
      <c r="JQS1" s="9"/>
      <c r="JQT1" s="9"/>
      <c r="JQU1" s="9"/>
      <c r="JQV1" s="9"/>
      <c r="JQW1" s="9"/>
      <c r="JQX1" s="9"/>
      <c r="JQY1" s="9"/>
      <c r="JQZ1" s="9"/>
      <c r="JRA1" s="9"/>
      <c r="JRB1" s="9"/>
      <c r="JRC1" s="9"/>
      <c r="JRD1" s="9"/>
      <c r="JRE1" s="9"/>
      <c r="JRF1" s="9"/>
      <c r="JRG1" s="9"/>
      <c r="JRH1" s="9"/>
      <c r="JRI1" s="9"/>
      <c r="JRJ1" s="9"/>
      <c r="JRK1" s="9"/>
      <c r="JRL1" s="9"/>
      <c r="JRM1" s="9"/>
      <c r="JRN1" s="9"/>
      <c r="JRO1" s="9"/>
      <c r="JRP1" s="9"/>
      <c r="JRQ1" s="9"/>
      <c r="JRR1" s="9"/>
      <c r="JRS1" s="9"/>
      <c r="JRT1" s="9"/>
      <c r="JRU1" s="9"/>
      <c r="JRV1" s="9"/>
      <c r="JRW1" s="9"/>
      <c r="JRX1" s="9"/>
      <c r="JRY1" s="9"/>
      <c r="JRZ1" s="9"/>
      <c r="JSA1" s="9"/>
      <c r="JSB1" s="9"/>
      <c r="JSC1" s="9"/>
      <c r="JSD1" s="9"/>
      <c r="JSE1" s="9"/>
      <c r="JSF1" s="9"/>
      <c r="JSG1" s="9"/>
      <c r="JSH1" s="9"/>
      <c r="JSI1" s="9"/>
      <c r="JSJ1" s="9"/>
      <c r="JSK1" s="9"/>
      <c r="JSL1" s="9"/>
      <c r="JSM1" s="9"/>
      <c r="JSN1" s="9"/>
      <c r="JSO1" s="9"/>
      <c r="JSP1" s="9"/>
      <c r="JSQ1" s="9"/>
      <c r="JSR1" s="9"/>
      <c r="JSS1" s="9"/>
      <c r="JST1" s="9"/>
      <c r="JSU1" s="9"/>
      <c r="JSV1" s="9"/>
      <c r="JSW1" s="9"/>
      <c r="JSX1" s="9"/>
      <c r="JSY1" s="9"/>
      <c r="JSZ1" s="9"/>
      <c r="JTA1" s="9"/>
      <c r="JTB1" s="9"/>
      <c r="JTC1" s="9"/>
      <c r="JTD1" s="9"/>
      <c r="JTE1" s="9"/>
      <c r="JTF1" s="9"/>
      <c r="JTG1" s="9"/>
      <c r="JTH1" s="9"/>
      <c r="JTI1" s="9"/>
      <c r="JTJ1" s="9"/>
      <c r="JTK1" s="9"/>
      <c r="JTL1" s="9"/>
      <c r="JTM1" s="9"/>
      <c r="JTN1" s="9"/>
      <c r="JTO1" s="9"/>
      <c r="JTP1" s="9"/>
      <c r="JTQ1" s="9"/>
      <c r="JTR1" s="9"/>
      <c r="JTS1" s="9"/>
      <c r="JTT1" s="9"/>
      <c r="JTU1" s="9"/>
      <c r="JTV1" s="9"/>
      <c r="JTW1" s="9"/>
      <c r="JTX1" s="9"/>
      <c r="JTY1" s="9"/>
      <c r="JTZ1" s="9"/>
      <c r="JUA1" s="9"/>
      <c r="JUB1" s="9"/>
      <c r="JUC1" s="9"/>
      <c r="JUD1" s="9"/>
      <c r="JUE1" s="9"/>
      <c r="JUF1" s="9"/>
      <c r="JUG1" s="9"/>
      <c r="JUH1" s="9"/>
      <c r="JUI1" s="9"/>
      <c r="JUJ1" s="9"/>
      <c r="JUK1" s="9"/>
      <c r="JUL1" s="9"/>
      <c r="JUM1" s="9"/>
      <c r="JUN1" s="9"/>
      <c r="JUO1" s="9"/>
      <c r="JUP1" s="9"/>
      <c r="JUQ1" s="9"/>
      <c r="JUR1" s="9"/>
      <c r="JUS1" s="9"/>
      <c r="JUT1" s="9"/>
      <c r="JUU1" s="9"/>
      <c r="JUV1" s="9"/>
      <c r="JUW1" s="9"/>
      <c r="JUX1" s="9"/>
      <c r="JUY1" s="9"/>
      <c r="JUZ1" s="9"/>
      <c r="JVA1" s="9"/>
      <c r="JVB1" s="9"/>
      <c r="JVC1" s="9"/>
      <c r="JVD1" s="9"/>
      <c r="JVE1" s="9"/>
      <c r="JVF1" s="9"/>
      <c r="JVG1" s="9"/>
      <c r="JVH1" s="9"/>
      <c r="JVI1" s="9"/>
      <c r="JVJ1" s="9"/>
      <c r="JVK1" s="9"/>
      <c r="JVL1" s="9"/>
      <c r="JVM1" s="9"/>
      <c r="JVN1" s="9"/>
      <c r="JVO1" s="9"/>
      <c r="JVP1" s="9"/>
      <c r="JVQ1" s="9"/>
      <c r="JVR1" s="9"/>
      <c r="JVS1" s="9"/>
      <c r="JVT1" s="9"/>
      <c r="JVU1" s="9"/>
      <c r="JVV1" s="9"/>
      <c r="JVW1" s="9"/>
      <c r="JVX1" s="9"/>
      <c r="JVY1" s="9"/>
      <c r="JVZ1" s="9"/>
      <c r="JWA1" s="9"/>
      <c r="JWB1" s="9"/>
      <c r="JWC1" s="9"/>
      <c r="JWD1" s="9"/>
      <c r="JWE1" s="9"/>
      <c r="JWF1" s="9"/>
      <c r="JWG1" s="9"/>
      <c r="JWH1" s="9"/>
      <c r="JWI1" s="9"/>
      <c r="JWJ1" s="9"/>
      <c r="JWK1" s="9"/>
      <c r="JWL1" s="9"/>
      <c r="JWM1" s="9"/>
      <c r="JWN1" s="9"/>
      <c r="JWO1" s="9"/>
      <c r="JWP1" s="9"/>
      <c r="JWQ1" s="9"/>
      <c r="JWR1" s="9"/>
      <c r="JWS1" s="9"/>
      <c r="JWT1" s="9"/>
      <c r="JWU1" s="9"/>
      <c r="JWV1" s="9"/>
      <c r="JWW1" s="9"/>
      <c r="JWX1" s="9"/>
      <c r="JWY1" s="9"/>
      <c r="JWZ1" s="9"/>
      <c r="JXA1" s="9"/>
      <c r="JXB1" s="9"/>
      <c r="JXC1" s="9"/>
      <c r="JXD1" s="9"/>
      <c r="JXE1" s="9"/>
      <c r="JXF1" s="9"/>
      <c r="JXG1" s="9"/>
      <c r="JXH1" s="9"/>
      <c r="JXI1" s="9"/>
      <c r="JXJ1" s="9"/>
      <c r="JXK1" s="9"/>
      <c r="JXL1" s="9"/>
      <c r="JXM1" s="9"/>
      <c r="JXN1" s="9"/>
      <c r="JXO1" s="9"/>
      <c r="JXP1" s="9"/>
      <c r="JXQ1" s="9"/>
      <c r="JXR1" s="9"/>
      <c r="JXS1" s="9"/>
      <c r="JXT1" s="9"/>
      <c r="JXU1" s="9"/>
      <c r="JXV1" s="9"/>
      <c r="JXW1" s="9"/>
      <c r="JXX1" s="9"/>
      <c r="JXY1" s="9"/>
      <c r="JXZ1" s="9"/>
      <c r="JYA1" s="9"/>
      <c r="JYB1" s="9"/>
      <c r="JYC1" s="9"/>
      <c r="JYD1" s="9"/>
      <c r="JYE1" s="9"/>
      <c r="JYF1" s="9"/>
      <c r="JYG1" s="9"/>
      <c r="JYH1" s="9"/>
      <c r="JYI1" s="9"/>
      <c r="JYJ1" s="9"/>
      <c r="JYK1" s="9"/>
      <c r="JYL1" s="9"/>
      <c r="JYM1" s="9"/>
      <c r="JYN1" s="9"/>
      <c r="JYO1" s="9"/>
      <c r="JYP1" s="9"/>
      <c r="JYQ1" s="9"/>
      <c r="JYR1" s="9"/>
      <c r="JYS1" s="9"/>
      <c r="JYT1" s="9"/>
      <c r="JYU1" s="9"/>
      <c r="JYV1" s="9"/>
      <c r="JYW1" s="9"/>
      <c r="JYX1" s="9"/>
      <c r="JYY1" s="9"/>
      <c r="JYZ1" s="9"/>
      <c r="JZA1" s="9"/>
      <c r="JZB1" s="9"/>
      <c r="JZC1" s="9"/>
      <c r="JZD1" s="9"/>
      <c r="JZE1" s="9"/>
      <c r="JZF1" s="9"/>
      <c r="JZG1" s="9"/>
      <c r="JZH1" s="9"/>
      <c r="JZI1" s="9"/>
      <c r="JZJ1" s="9"/>
      <c r="JZK1" s="9"/>
      <c r="JZL1" s="9"/>
      <c r="JZM1" s="9"/>
      <c r="JZN1" s="9"/>
      <c r="JZO1" s="9"/>
      <c r="JZP1" s="9"/>
      <c r="JZQ1" s="9"/>
      <c r="JZR1" s="9"/>
      <c r="JZS1" s="9"/>
      <c r="JZT1" s="9"/>
      <c r="JZU1" s="9"/>
      <c r="JZV1" s="9"/>
      <c r="JZW1" s="9"/>
      <c r="JZX1" s="9"/>
      <c r="JZY1" s="9"/>
      <c r="JZZ1" s="9"/>
      <c r="KAA1" s="9"/>
      <c r="KAB1" s="9"/>
      <c r="KAC1" s="9"/>
      <c r="KAD1" s="9"/>
      <c r="KAE1" s="9"/>
      <c r="KAF1" s="9"/>
      <c r="KAG1" s="9"/>
      <c r="KAH1" s="9"/>
      <c r="KAI1" s="9"/>
      <c r="KAJ1" s="9"/>
      <c r="KAK1" s="9"/>
      <c r="KAL1" s="9"/>
      <c r="KAM1" s="9"/>
      <c r="KAN1" s="9"/>
      <c r="KAO1" s="9"/>
      <c r="KAP1" s="9"/>
      <c r="KAQ1" s="9"/>
      <c r="KAR1" s="9"/>
      <c r="KAS1" s="9"/>
      <c r="KAT1" s="9"/>
      <c r="KAU1" s="9"/>
      <c r="KAV1" s="9"/>
      <c r="KAW1" s="9"/>
      <c r="KAX1" s="9"/>
      <c r="KAY1" s="9"/>
      <c r="KAZ1" s="9"/>
      <c r="KBA1" s="9"/>
      <c r="KBB1" s="9"/>
      <c r="KBC1" s="9"/>
      <c r="KBD1" s="9"/>
      <c r="KBE1" s="9"/>
      <c r="KBF1" s="9"/>
      <c r="KBG1" s="9"/>
      <c r="KBH1" s="9"/>
      <c r="KBI1" s="9"/>
      <c r="KBJ1" s="9"/>
      <c r="KBK1" s="9"/>
      <c r="KBL1" s="9"/>
      <c r="KBM1" s="9"/>
      <c r="KBN1" s="9"/>
      <c r="KBO1" s="9"/>
      <c r="KBP1" s="9"/>
      <c r="KBQ1" s="9"/>
      <c r="KBR1" s="9"/>
      <c r="KBS1" s="9"/>
      <c r="KBT1" s="9"/>
      <c r="KBU1" s="9"/>
      <c r="KBV1" s="9"/>
      <c r="KBW1" s="9"/>
      <c r="KBX1" s="9"/>
      <c r="KBY1" s="9"/>
      <c r="KBZ1" s="9"/>
      <c r="KCA1" s="9"/>
      <c r="KCB1" s="9"/>
      <c r="KCC1" s="9"/>
      <c r="KCD1" s="9"/>
      <c r="KCE1" s="9"/>
      <c r="KCF1" s="9"/>
      <c r="KCG1" s="9"/>
      <c r="KCH1" s="9"/>
      <c r="KCI1" s="9"/>
      <c r="KCJ1" s="9"/>
      <c r="KCK1" s="9"/>
      <c r="KCL1" s="9"/>
      <c r="KCM1" s="9"/>
      <c r="KCN1" s="9"/>
      <c r="KCO1" s="9"/>
      <c r="KCP1" s="9"/>
      <c r="KCQ1" s="9"/>
      <c r="KCR1" s="9"/>
      <c r="KCS1" s="9"/>
      <c r="KCT1" s="9"/>
      <c r="KCU1" s="9"/>
      <c r="KCV1" s="9"/>
      <c r="KCW1" s="9"/>
      <c r="KCX1" s="9"/>
      <c r="KCY1" s="9"/>
      <c r="KCZ1" s="9"/>
      <c r="KDA1" s="9"/>
      <c r="KDB1" s="9"/>
      <c r="KDC1" s="9"/>
      <c r="KDD1" s="9"/>
      <c r="KDE1" s="9"/>
      <c r="KDF1" s="9"/>
      <c r="KDG1" s="9"/>
      <c r="KDH1" s="9"/>
      <c r="KDI1" s="9"/>
      <c r="KDJ1" s="9"/>
      <c r="KDK1" s="9"/>
      <c r="KDL1" s="9"/>
      <c r="KDM1" s="9"/>
      <c r="KDN1" s="9"/>
      <c r="KDO1" s="9"/>
      <c r="KDP1" s="9"/>
      <c r="KDQ1" s="9"/>
      <c r="KDR1" s="9"/>
      <c r="KDS1" s="9"/>
      <c r="KDT1" s="9"/>
      <c r="KDU1" s="9"/>
      <c r="KDV1" s="9"/>
      <c r="KDW1" s="9"/>
      <c r="KDX1" s="9"/>
      <c r="KDY1" s="9"/>
      <c r="KDZ1" s="9"/>
      <c r="KEA1" s="9"/>
      <c r="KEB1" s="9"/>
      <c r="KEC1" s="9"/>
      <c r="KED1" s="9"/>
      <c r="KEE1" s="9"/>
      <c r="KEF1" s="9"/>
      <c r="KEG1" s="9"/>
      <c r="KEH1" s="9"/>
      <c r="KEI1" s="9"/>
      <c r="KEJ1" s="9"/>
      <c r="KEK1" s="9"/>
      <c r="KEL1" s="9"/>
      <c r="KEM1" s="9"/>
      <c r="KEN1" s="9"/>
      <c r="KEO1" s="9"/>
      <c r="KEP1" s="9"/>
      <c r="KEQ1" s="9"/>
      <c r="KER1" s="9"/>
      <c r="KES1" s="9"/>
      <c r="KET1" s="9"/>
      <c r="KEU1" s="9"/>
      <c r="KEV1" s="9"/>
      <c r="KEW1" s="9"/>
      <c r="KEX1" s="9"/>
      <c r="KEY1" s="9"/>
      <c r="KEZ1" s="9"/>
      <c r="KFA1" s="9"/>
      <c r="KFB1" s="9"/>
      <c r="KFC1" s="9"/>
      <c r="KFD1" s="9"/>
      <c r="KFE1" s="9"/>
      <c r="KFF1" s="9"/>
      <c r="KFG1" s="9"/>
      <c r="KFH1" s="9"/>
      <c r="KFI1" s="9"/>
      <c r="KFJ1" s="9"/>
      <c r="KFK1" s="9"/>
      <c r="KFL1" s="9"/>
      <c r="KFM1" s="9"/>
      <c r="KFN1" s="9"/>
      <c r="KFO1" s="9"/>
      <c r="KFP1" s="9"/>
      <c r="KFQ1" s="9"/>
      <c r="KFR1" s="9"/>
      <c r="KFS1" s="9"/>
      <c r="KFT1" s="9"/>
      <c r="KFU1" s="9"/>
      <c r="KFV1" s="9"/>
      <c r="KFW1" s="9"/>
      <c r="KFX1" s="9"/>
      <c r="KFY1" s="9"/>
      <c r="KFZ1" s="9"/>
      <c r="KGA1" s="9"/>
      <c r="KGB1" s="9"/>
      <c r="KGC1" s="9"/>
      <c r="KGD1" s="9"/>
      <c r="KGE1" s="9"/>
      <c r="KGF1" s="9"/>
      <c r="KGG1" s="9"/>
      <c r="KGH1" s="9"/>
      <c r="KGI1" s="9"/>
      <c r="KGJ1" s="9"/>
      <c r="KGK1" s="9"/>
      <c r="KGL1" s="9"/>
      <c r="KGM1" s="9"/>
      <c r="KGN1" s="9"/>
      <c r="KGO1" s="9"/>
      <c r="KGP1" s="9"/>
      <c r="KGQ1" s="9"/>
      <c r="KGR1" s="9"/>
      <c r="KGS1" s="9"/>
      <c r="KGT1" s="9"/>
      <c r="KGU1" s="9"/>
      <c r="KGV1" s="9"/>
      <c r="KGW1" s="9"/>
      <c r="KGX1" s="9"/>
      <c r="KGY1" s="9"/>
      <c r="KGZ1" s="9"/>
      <c r="KHA1" s="9"/>
      <c r="KHB1" s="9"/>
      <c r="KHC1" s="9"/>
      <c r="KHD1" s="9"/>
      <c r="KHE1" s="9"/>
      <c r="KHF1" s="9"/>
      <c r="KHG1" s="9"/>
      <c r="KHH1" s="9"/>
      <c r="KHI1" s="9"/>
      <c r="KHJ1" s="9"/>
      <c r="KHK1" s="9"/>
      <c r="KHL1" s="9"/>
      <c r="KHM1" s="9"/>
      <c r="KHN1" s="9"/>
      <c r="KHO1" s="9"/>
      <c r="KHP1" s="9"/>
      <c r="KHQ1" s="9"/>
      <c r="KHR1" s="9"/>
      <c r="KHS1" s="9"/>
      <c r="KHT1" s="9"/>
      <c r="KHU1" s="9"/>
      <c r="KHV1" s="9"/>
      <c r="KHW1" s="9"/>
      <c r="KHX1" s="9"/>
      <c r="KHY1" s="9"/>
      <c r="KHZ1" s="9"/>
      <c r="KIA1" s="9"/>
      <c r="KIB1" s="9"/>
      <c r="KIC1" s="9"/>
      <c r="KID1" s="9"/>
      <c r="KIE1" s="9"/>
      <c r="KIF1" s="9"/>
      <c r="KIG1" s="9"/>
      <c r="KIH1" s="9"/>
      <c r="KII1" s="9"/>
      <c r="KIJ1" s="9"/>
      <c r="KIK1" s="9"/>
      <c r="KIL1" s="9"/>
      <c r="KIM1" s="9"/>
      <c r="KIN1" s="9"/>
      <c r="KIO1" s="9"/>
      <c r="KIP1" s="9"/>
      <c r="KIQ1" s="9"/>
      <c r="KIR1" s="9"/>
      <c r="KIS1" s="9"/>
      <c r="KIT1" s="9"/>
      <c r="KIU1" s="9"/>
      <c r="KIV1" s="9"/>
      <c r="KIW1" s="9"/>
      <c r="KIX1" s="9"/>
      <c r="KIY1" s="9"/>
      <c r="KIZ1" s="9"/>
      <c r="KJA1" s="9"/>
      <c r="KJB1" s="9"/>
      <c r="KJC1" s="9"/>
      <c r="KJD1" s="9"/>
      <c r="KJE1" s="9"/>
      <c r="KJF1" s="9"/>
      <c r="KJG1" s="9"/>
      <c r="KJH1" s="9"/>
      <c r="KJI1" s="9"/>
      <c r="KJJ1" s="9"/>
      <c r="KJK1" s="9"/>
      <c r="KJL1" s="9"/>
      <c r="KJM1" s="9"/>
      <c r="KJN1" s="9"/>
      <c r="KJO1" s="9"/>
      <c r="KJP1" s="9"/>
      <c r="KJQ1" s="9"/>
      <c r="KJR1" s="9"/>
      <c r="KJS1" s="9"/>
      <c r="KJT1" s="9"/>
      <c r="KJU1" s="9"/>
      <c r="KJV1" s="9"/>
      <c r="KJW1" s="9"/>
      <c r="KJX1" s="9"/>
      <c r="KJY1" s="9"/>
      <c r="KJZ1" s="9"/>
      <c r="KKA1" s="9"/>
      <c r="KKB1" s="9"/>
      <c r="KKC1" s="9"/>
      <c r="KKD1" s="9"/>
      <c r="KKE1" s="9"/>
      <c r="KKF1" s="9"/>
      <c r="KKG1" s="9"/>
      <c r="KKH1" s="9"/>
      <c r="KKI1" s="9"/>
      <c r="KKJ1" s="9"/>
      <c r="KKK1" s="9"/>
      <c r="KKL1" s="9"/>
      <c r="KKM1" s="9"/>
      <c r="KKN1" s="9"/>
      <c r="KKO1" s="9"/>
      <c r="KKP1" s="9"/>
      <c r="KKQ1" s="9"/>
      <c r="KKR1" s="9"/>
      <c r="KKS1" s="9"/>
      <c r="KKT1" s="9"/>
      <c r="KKU1" s="9"/>
      <c r="KKV1" s="9"/>
      <c r="KKW1" s="9"/>
      <c r="KKX1" s="9"/>
      <c r="KKY1" s="9"/>
      <c r="KKZ1" s="9"/>
      <c r="KLA1" s="9"/>
      <c r="KLB1" s="9"/>
      <c r="KLC1" s="9"/>
      <c r="KLD1" s="9"/>
      <c r="KLE1" s="9"/>
      <c r="KLF1" s="9"/>
      <c r="KLG1" s="9"/>
      <c r="KLH1" s="9"/>
      <c r="KLI1" s="9"/>
      <c r="KLJ1" s="9"/>
      <c r="KLK1" s="9"/>
      <c r="KLL1" s="9"/>
      <c r="KLM1" s="9"/>
      <c r="KLN1" s="9"/>
      <c r="KLO1" s="9"/>
      <c r="KLP1" s="9"/>
      <c r="KLQ1" s="9"/>
      <c r="KLR1" s="9"/>
      <c r="KLS1" s="9"/>
      <c r="KLT1" s="9"/>
      <c r="KLU1" s="9"/>
      <c r="KLV1" s="9"/>
      <c r="KLW1" s="9"/>
      <c r="KLX1" s="9"/>
      <c r="KLY1" s="9"/>
      <c r="KLZ1" s="9"/>
      <c r="KMA1" s="9"/>
      <c r="KMB1" s="9"/>
      <c r="KMC1" s="9"/>
      <c r="KMD1" s="9"/>
      <c r="KME1" s="9"/>
      <c r="KMF1" s="9"/>
      <c r="KMG1" s="9"/>
      <c r="KMH1" s="9"/>
      <c r="KMI1" s="9"/>
      <c r="KMJ1" s="9"/>
      <c r="KMK1" s="9"/>
      <c r="KML1" s="9"/>
      <c r="KMM1" s="9"/>
      <c r="KMN1" s="9"/>
      <c r="KMO1" s="9"/>
      <c r="KMP1" s="9"/>
      <c r="KMQ1" s="9"/>
      <c r="KMR1" s="9"/>
      <c r="KMS1" s="9"/>
      <c r="KMT1" s="9"/>
      <c r="KMU1" s="9"/>
      <c r="KMV1" s="9"/>
      <c r="KMW1" s="9"/>
      <c r="KMX1" s="9"/>
      <c r="KMY1" s="9"/>
      <c r="KMZ1" s="9"/>
      <c r="KNA1" s="9"/>
      <c r="KNB1" s="9"/>
      <c r="KNC1" s="9"/>
      <c r="KND1" s="9"/>
      <c r="KNE1" s="9"/>
      <c r="KNF1" s="9"/>
      <c r="KNG1" s="9"/>
      <c r="KNH1" s="9"/>
      <c r="KNI1" s="9"/>
      <c r="KNJ1" s="9"/>
      <c r="KNK1" s="9"/>
      <c r="KNL1" s="9"/>
      <c r="KNM1" s="9"/>
      <c r="KNN1" s="9"/>
      <c r="KNO1" s="9"/>
      <c r="KNP1" s="9"/>
      <c r="KNQ1" s="9"/>
      <c r="KNR1" s="9"/>
      <c r="KNS1" s="9"/>
      <c r="KNT1" s="9"/>
      <c r="KNU1" s="9"/>
      <c r="KNV1" s="9"/>
      <c r="KNW1" s="9"/>
      <c r="KNX1" s="9"/>
      <c r="KNY1" s="9"/>
      <c r="KNZ1" s="9"/>
      <c r="KOA1" s="9"/>
      <c r="KOB1" s="9"/>
      <c r="KOC1" s="9"/>
      <c r="KOD1" s="9"/>
      <c r="KOE1" s="9"/>
      <c r="KOF1" s="9"/>
      <c r="KOG1" s="9"/>
      <c r="KOH1" s="9"/>
      <c r="KOI1" s="9"/>
      <c r="KOJ1" s="9"/>
      <c r="KOK1" s="9"/>
      <c r="KOL1" s="9"/>
      <c r="KOM1" s="9"/>
      <c r="KON1" s="9"/>
      <c r="KOO1" s="9"/>
      <c r="KOP1" s="9"/>
      <c r="KOQ1" s="9"/>
      <c r="KOR1" s="9"/>
      <c r="KOS1" s="9"/>
      <c r="KOT1" s="9"/>
      <c r="KOU1" s="9"/>
      <c r="KOV1" s="9"/>
      <c r="KOW1" s="9"/>
      <c r="KOX1" s="9"/>
      <c r="KOY1" s="9"/>
      <c r="KOZ1" s="9"/>
      <c r="KPA1" s="9"/>
      <c r="KPB1" s="9"/>
      <c r="KPC1" s="9"/>
      <c r="KPD1" s="9"/>
      <c r="KPE1" s="9"/>
      <c r="KPF1" s="9"/>
      <c r="KPG1" s="9"/>
      <c r="KPH1" s="9"/>
      <c r="KPI1" s="9"/>
      <c r="KPJ1" s="9"/>
      <c r="KPK1" s="9"/>
      <c r="KPL1" s="9"/>
      <c r="KPM1" s="9"/>
      <c r="KPN1" s="9"/>
      <c r="KPO1" s="9"/>
      <c r="KPP1" s="9"/>
      <c r="KPQ1" s="9"/>
      <c r="KPR1" s="9"/>
      <c r="KPS1" s="9"/>
      <c r="KPT1" s="9"/>
      <c r="KPU1" s="9"/>
      <c r="KPV1" s="9"/>
      <c r="KPW1" s="9"/>
      <c r="KPX1" s="9"/>
      <c r="KPY1" s="9"/>
      <c r="KPZ1" s="9"/>
      <c r="KQA1" s="9"/>
      <c r="KQB1" s="9"/>
      <c r="KQC1" s="9"/>
      <c r="KQD1" s="9"/>
      <c r="KQE1" s="9"/>
      <c r="KQF1" s="9"/>
      <c r="KQG1" s="9"/>
      <c r="KQH1" s="9"/>
      <c r="KQI1" s="9"/>
      <c r="KQJ1" s="9"/>
      <c r="KQK1" s="9"/>
      <c r="KQL1" s="9"/>
      <c r="KQM1" s="9"/>
      <c r="KQN1" s="9"/>
      <c r="KQO1" s="9"/>
      <c r="KQP1" s="9"/>
      <c r="KQQ1" s="9"/>
      <c r="KQR1" s="9"/>
      <c r="KQS1" s="9"/>
      <c r="KQT1" s="9"/>
      <c r="KQU1" s="9"/>
      <c r="KQV1" s="9"/>
      <c r="KQW1" s="9"/>
      <c r="KQX1" s="9"/>
      <c r="KQY1" s="9"/>
      <c r="KQZ1" s="9"/>
      <c r="KRA1" s="9"/>
      <c r="KRB1" s="9"/>
      <c r="KRC1" s="9"/>
      <c r="KRD1" s="9"/>
      <c r="KRE1" s="9"/>
      <c r="KRF1" s="9"/>
      <c r="KRG1" s="9"/>
      <c r="KRH1" s="9"/>
      <c r="KRI1" s="9"/>
      <c r="KRJ1" s="9"/>
      <c r="KRK1" s="9"/>
      <c r="KRL1" s="9"/>
      <c r="KRM1" s="9"/>
      <c r="KRN1" s="9"/>
      <c r="KRO1" s="9"/>
      <c r="KRP1" s="9"/>
      <c r="KRQ1" s="9"/>
      <c r="KRR1" s="9"/>
      <c r="KRS1" s="9"/>
      <c r="KRT1" s="9"/>
      <c r="KRU1" s="9"/>
      <c r="KRV1" s="9"/>
      <c r="KRW1" s="9"/>
      <c r="KRX1" s="9"/>
      <c r="KRY1" s="9"/>
      <c r="KRZ1" s="9"/>
      <c r="KSA1" s="9"/>
      <c r="KSB1" s="9"/>
      <c r="KSC1" s="9"/>
      <c r="KSD1" s="9"/>
      <c r="KSE1" s="9"/>
      <c r="KSF1" s="9"/>
      <c r="KSG1" s="9"/>
      <c r="KSH1" s="9"/>
      <c r="KSI1" s="9"/>
      <c r="KSJ1" s="9"/>
      <c r="KSK1" s="9"/>
      <c r="KSL1" s="9"/>
      <c r="KSM1" s="9"/>
      <c r="KSN1" s="9"/>
      <c r="KSO1" s="9"/>
      <c r="KSP1" s="9"/>
      <c r="KSQ1" s="9"/>
      <c r="KSR1" s="9"/>
      <c r="KSS1" s="9"/>
      <c r="KST1" s="9"/>
      <c r="KSU1" s="9"/>
      <c r="KSV1" s="9"/>
      <c r="KSW1" s="9"/>
      <c r="KSX1" s="9"/>
      <c r="KSY1" s="9"/>
      <c r="KSZ1" s="9"/>
      <c r="KTA1" s="9"/>
      <c r="KTB1" s="9"/>
      <c r="KTC1" s="9"/>
      <c r="KTD1" s="9"/>
      <c r="KTE1" s="9"/>
      <c r="KTF1" s="9"/>
      <c r="KTG1" s="9"/>
      <c r="KTH1" s="9"/>
      <c r="KTI1" s="9"/>
      <c r="KTJ1" s="9"/>
      <c r="KTK1" s="9"/>
      <c r="KTL1" s="9"/>
      <c r="KTM1" s="9"/>
      <c r="KTN1" s="9"/>
      <c r="KTO1" s="9"/>
      <c r="KTP1" s="9"/>
      <c r="KTQ1" s="9"/>
      <c r="KTR1" s="9"/>
      <c r="KTS1" s="9"/>
      <c r="KTT1" s="9"/>
      <c r="KTU1" s="9"/>
      <c r="KTV1" s="9"/>
      <c r="KTW1" s="9"/>
      <c r="KTX1" s="9"/>
      <c r="KTY1" s="9"/>
      <c r="KTZ1" s="9"/>
      <c r="KUA1" s="9"/>
      <c r="KUB1" s="9"/>
      <c r="KUC1" s="9"/>
      <c r="KUD1" s="9"/>
      <c r="KUE1" s="9"/>
      <c r="KUF1" s="9"/>
      <c r="KUG1" s="9"/>
      <c r="KUH1" s="9"/>
      <c r="KUI1" s="9"/>
      <c r="KUJ1" s="9"/>
      <c r="KUK1" s="9"/>
      <c r="KUL1" s="9"/>
      <c r="KUM1" s="9"/>
      <c r="KUN1" s="9"/>
      <c r="KUO1" s="9"/>
      <c r="KUP1" s="9"/>
      <c r="KUQ1" s="9"/>
      <c r="KUR1" s="9"/>
      <c r="KUS1" s="9"/>
      <c r="KUT1" s="9"/>
      <c r="KUU1" s="9"/>
      <c r="KUV1" s="9"/>
      <c r="KUW1" s="9"/>
      <c r="KUX1" s="9"/>
      <c r="KUY1" s="9"/>
      <c r="KUZ1" s="9"/>
      <c r="KVA1" s="9"/>
      <c r="KVB1" s="9"/>
      <c r="KVC1" s="9"/>
      <c r="KVD1" s="9"/>
      <c r="KVE1" s="9"/>
      <c r="KVF1" s="9"/>
      <c r="KVG1" s="9"/>
      <c r="KVH1" s="9"/>
      <c r="KVI1" s="9"/>
      <c r="KVJ1" s="9"/>
      <c r="KVK1" s="9"/>
      <c r="KVL1" s="9"/>
      <c r="KVM1" s="9"/>
      <c r="KVN1" s="9"/>
      <c r="KVO1" s="9"/>
      <c r="KVP1" s="9"/>
      <c r="KVQ1" s="9"/>
      <c r="KVR1" s="9"/>
      <c r="KVS1" s="9"/>
      <c r="KVT1" s="9"/>
      <c r="KVU1" s="9"/>
      <c r="KVV1" s="9"/>
      <c r="KVW1" s="9"/>
      <c r="KVX1" s="9"/>
      <c r="KVY1" s="9"/>
      <c r="KVZ1" s="9"/>
      <c r="KWA1" s="9"/>
      <c r="KWB1" s="9"/>
      <c r="KWC1" s="9"/>
      <c r="KWD1" s="9"/>
      <c r="KWE1" s="9"/>
      <c r="KWF1" s="9"/>
      <c r="KWG1" s="9"/>
      <c r="KWH1" s="9"/>
      <c r="KWI1" s="9"/>
      <c r="KWJ1" s="9"/>
      <c r="KWK1" s="9"/>
      <c r="KWL1" s="9"/>
      <c r="KWM1" s="9"/>
      <c r="KWN1" s="9"/>
      <c r="KWO1" s="9"/>
      <c r="KWP1" s="9"/>
      <c r="KWQ1" s="9"/>
      <c r="KWR1" s="9"/>
      <c r="KWS1" s="9"/>
      <c r="KWT1" s="9"/>
      <c r="KWU1" s="9"/>
      <c r="KWV1" s="9"/>
      <c r="KWW1" s="9"/>
      <c r="KWX1" s="9"/>
      <c r="KWY1" s="9"/>
      <c r="KWZ1" s="9"/>
      <c r="KXA1" s="9"/>
      <c r="KXB1" s="9"/>
      <c r="KXC1" s="9"/>
      <c r="KXD1" s="9"/>
      <c r="KXE1" s="9"/>
      <c r="KXF1" s="9"/>
      <c r="KXG1" s="9"/>
      <c r="KXH1" s="9"/>
      <c r="KXI1" s="9"/>
      <c r="KXJ1" s="9"/>
      <c r="KXK1" s="9"/>
      <c r="KXL1" s="9"/>
      <c r="KXM1" s="9"/>
      <c r="KXN1" s="9"/>
      <c r="KXO1" s="9"/>
      <c r="KXP1" s="9"/>
      <c r="KXQ1" s="9"/>
      <c r="KXR1" s="9"/>
      <c r="KXS1" s="9"/>
      <c r="KXT1" s="9"/>
      <c r="KXU1" s="9"/>
      <c r="KXV1" s="9"/>
      <c r="KXW1" s="9"/>
      <c r="KXX1" s="9"/>
      <c r="KXY1" s="9"/>
      <c r="KXZ1" s="9"/>
      <c r="KYA1" s="9"/>
      <c r="KYB1" s="9"/>
      <c r="KYC1" s="9"/>
      <c r="KYD1" s="9"/>
      <c r="KYE1" s="9"/>
      <c r="KYF1" s="9"/>
      <c r="KYG1" s="9"/>
      <c r="KYH1" s="9"/>
      <c r="KYI1" s="9"/>
      <c r="KYJ1" s="9"/>
      <c r="KYK1" s="9"/>
      <c r="KYL1" s="9"/>
      <c r="KYM1" s="9"/>
      <c r="KYN1" s="9"/>
      <c r="KYO1" s="9"/>
      <c r="KYP1" s="9"/>
      <c r="KYQ1" s="9"/>
      <c r="KYR1" s="9"/>
      <c r="KYS1" s="9"/>
      <c r="KYT1" s="9"/>
      <c r="KYU1" s="9"/>
      <c r="KYV1" s="9"/>
      <c r="KYW1" s="9"/>
      <c r="KYX1" s="9"/>
      <c r="KYY1" s="9"/>
      <c r="KYZ1" s="9"/>
      <c r="KZA1" s="9"/>
      <c r="KZB1" s="9"/>
      <c r="KZC1" s="9"/>
      <c r="KZD1" s="9"/>
      <c r="KZE1" s="9"/>
      <c r="KZF1" s="9"/>
      <c r="KZG1" s="9"/>
      <c r="KZH1" s="9"/>
      <c r="KZI1" s="9"/>
      <c r="KZJ1" s="9"/>
      <c r="KZK1" s="9"/>
      <c r="KZL1" s="9"/>
      <c r="KZM1" s="9"/>
      <c r="KZN1" s="9"/>
      <c r="KZO1" s="9"/>
      <c r="KZP1" s="9"/>
      <c r="KZQ1" s="9"/>
      <c r="KZR1" s="9"/>
      <c r="KZS1" s="9"/>
      <c r="KZT1" s="9"/>
      <c r="KZU1" s="9"/>
      <c r="KZV1" s="9"/>
      <c r="KZW1" s="9"/>
      <c r="KZX1" s="9"/>
      <c r="KZY1" s="9"/>
      <c r="KZZ1" s="9"/>
      <c r="LAA1" s="9"/>
      <c r="LAB1" s="9"/>
      <c r="LAC1" s="9"/>
      <c r="LAD1" s="9"/>
      <c r="LAE1" s="9"/>
      <c r="LAF1" s="9"/>
      <c r="LAG1" s="9"/>
      <c r="LAH1" s="9"/>
      <c r="LAI1" s="9"/>
      <c r="LAJ1" s="9"/>
      <c r="LAK1" s="9"/>
      <c r="LAL1" s="9"/>
      <c r="LAM1" s="9"/>
      <c r="LAN1" s="9"/>
      <c r="LAO1" s="9"/>
      <c r="LAP1" s="9"/>
      <c r="LAQ1" s="9"/>
      <c r="LAR1" s="9"/>
      <c r="LAS1" s="9"/>
      <c r="LAT1" s="9"/>
      <c r="LAU1" s="9"/>
      <c r="LAV1" s="9"/>
      <c r="LAW1" s="9"/>
      <c r="LAX1" s="9"/>
      <c r="LAY1" s="9"/>
      <c r="LAZ1" s="9"/>
      <c r="LBA1" s="9"/>
      <c r="LBB1" s="9"/>
      <c r="LBC1" s="9"/>
      <c r="LBD1" s="9"/>
      <c r="LBE1" s="9"/>
      <c r="LBF1" s="9"/>
      <c r="LBG1" s="9"/>
      <c r="LBH1" s="9"/>
      <c r="LBI1" s="9"/>
      <c r="LBJ1" s="9"/>
      <c r="LBK1" s="9"/>
      <c r="LBL1" s="9"/>
      <c r="LBM1" s="9"/>
      <c r="LBN1" s="9"/>
      <c r="LBO1" s="9"/>
      <c r="LBP1" s="9"/>
      <c r="LBQ1" s="9"/>
      <c r="LBR1" s="9"/>
      <c r="LBS1" s="9"/>
      <c r="LBT1" s="9"/>
      <c r="LBU1" s="9"/>
      <c r="LBV1" s="9"/>
      <c r="LBW1" s="9"/>
      <c r="LBX1" s="9"/>
      <c r="LBY1" s="9"/>
      <c r="LBZ1" s="9"/>
      <c r="LCA1" s="9"/>
      <c r="LCB1" s="9"/>
      <c r="LCC1" s="9"/>
      <c r="LCD1" s="9"/>
      <c r="LCE1" s="9"/>
      <c r="LCF1" s="9"/>
      <c r="LCG1" s="9"/>
      <c r="LCH1" s="9"/>
      <c r="LCI1" s="9"/>
      <c r="LCJ1" s="9"/>
      <c r="LCK1" s="9"/>
      <c r="LCL1" s="9"/>
      <c r="LCM1" s="9"/>
      <c r="LCN1" s="9"/>
      <c r="LCO1" s="9"/>
      <c r="LCP1" s="9"/>
      <c r="LCQ1" s="9"/>
      <c r="LCR1" s="9"/>
      <c r="LCS1" s="9"/>
      <c r="LCT1" s="9"/>
      <c r="LCU1" s="9"/>
      <c r="LCV1" s="9"/>
      <c r="LCW1" s="9"/>
      <c r="LCX1" s="9"/>
      <c r="LCY1" s="9"/>
      <c r="LCZ1" s="9"/>
      <c r="LDA1" s="9"/>
      <c r="LDB1" s="9"/>
      <c r="LDC1" s="9"/>
      <c r="LDD1" s="9"/>
      <c r="LDE1" s="9"/>
      <c r="LDF1" s="9"/>
      <c r="LDG1" s="9"/>
      <c r="LDH1" s="9"/>
      <c r="LDI1" s="9"/>
      <c r="LDJ1" s="9"/>
      <c r="LDK1" s="9"/>
      <c r="LDL1" s="9"/>
      <c r="LDM1" s="9"/>
      <c r="LDN1" s="9"/>
      <c r="LDO1" s="9"/>
      <c r="LDP1" s="9"/>
      <c r="LDQ1" s="9"/>
      <c r="LDR1" s="9"/>
      <c r="LDS1" s="9"/>
      <c r="LDT1" s="9"/>
      <c r="LDU1" s="9"/>
      <c r="LDV1" s="9"/>
      <c r="LDW1" s="9"/>
      <c r="LDX1" s="9"/>
      <c r="LDY1" s="9"/>
      <c r="LDZ1" s="9"/>
      <c r="LEA1" s="9"/>
      <c r="LEB1" s="9"/>
      <c r="LEC1" s="9"/>
      <c r="LED1" s="9"/>
      <c r="LEE1" s="9"/>
      <c r="LEF1" s="9"/>
      <c r="LEG1" s="9"/>
      <c r="LEH1" s="9"/>
      <c r="LEI1" s="9"/>
      <c r="LEJ1" s="9"/>
      <c r="LEK1" s="9"/>
      <c r="LEL1" s="9"/>
      <c r="LEM1" s="9"/>
      <c r="LEN1" s="9"/>
      <c r="LEO1" s="9"/>
      <c r="LEP1" s="9"/>
      <c r="LEQ1" s="9"/>
      <c r="LER1" s="9"/>
      <c r="LES1" s="9"/>
      <c r="LET1" s="9"/>
      <c r="LEU1" s="9"/>
      <c r="LEV1" s="9"/>
      <c r="LEW1" s="9"/>
      <c r="LEX1" s="9"/>
      <c r="LEY1" s="9"/>
      <c r="LEZ1" s="9"/>
      <c r="LFA1" s="9"/>
      <c r="LFB1" s="9"/>
      <c r="LFC1" s="9"/>
      <c r="LFD1" s="9"/>
      <c r="LFE1" s="9"/>
      <c r="LFF1" s="9"/>
      <c r="LFG1" s="9"/>
      <c r="LFH1" s="9"/>
      <c r="LFI1" s="9"/>
      <c r="LFJ1" s="9"/>
      <c r="LFK1" s="9"/>
      <c r="LFL1" s="9"/>
      <c r="LFM1" s="9"/>
      <c r="LFN1" s="9"/>
      <c r="LFO1" s="9"/>
      <c r="LFP1" s="9"/>
      <c r="LFQ1" s="9"/>
      <c r="LFR1" s="9"/>
      <c r="LFS1" s="9"/>
      <c r="LFT1" s="9"/>
      <c r="LFU1" s="9"/>
      <c r="LFV1" s="9"/>
      <c r="LFW1" s="9"/>
      <c r="LFX1" s="9"/>
      <c r="LFY1" s="9"/>
      <c r="LFZ1" s="9"/>
      <c r="LGA1" s="9"/>
      <c r="LGB1" s="9"/>
      <c r="LGC1" s="9"/>
      <c r="LGD1" s="9"/>
      <c r="LGE1" s="9"/>
      <c r="LGF1" s="9"/>
      <c r="LGG1" s="9"/>
      <c r="LGH1" s="9"/>
      <c r="LGI1" s="9"/>
      <c r="LGJ1" s="9"/>
      <c r="LGK1" s="9"/>
      <c r="LGL1" s="9"/>
      <c r="LGM1" s="9"/>
      <c r="LGN1" s="9"/>
      <c r="LGO1" s="9"/>
      <c r="LGP1" s="9"/>
      <c r="LGQ1" s="9"/>
      <c r="LGR1" s="9"/>
      <c r="LGS1" s="9"/>
      <c r="LGT1" s="9"/>
      <c r="LGU1" s="9"/>
      <c r="LGV1" s="9"/>
      <c r="LGW1" s="9"/>
      <c r="LGX1" s="9"/>
      <c r="LGY1" s="9"/>
      <c r="LGZ1" s="9"/>
      <c r="LHA1" s="9"/>
      <c r="LHB1" s="9"/>
      <c r="LHC1" s="9"/>
      <c r="LHD1" s="9"/>
      <c r="LHE1" s="9"/>
      <c r="LHF1" s="9"/>
      <c r="LHG1" s="9"/>
      <c r="LHH1" s="9"/>
      <c r="LHI1" s="9"/>
      <c r="LHJ1" s="9"/>
      <c r="LHK1" s="9"/>
      <c r="LHL1" s="9"/>
      <c r="LHM1" s="9"/>
      <c r="LHN1" s="9"/>
      <c r="LHO1" s="9"/>
      <c r="LHP1" s="9"/>
      <c r="LHQ1" s="9"/>
      <c r="LHR1" s="9"/>
      <c r="LHS1" s="9"/>
      <c r="LHT1" s="9"/>
      <c r="LHU1" s="9"/>
      <c r="LHV1" s="9"/>
      <c r="LHW1" s="9"/>
      <c r="LHX1" s="9"/>
      <c r="LHY1" s="9"/>
      <c r="LHZ1" s="9"/>
      <c r="LIA1" s="9"/>
      <c r="LIB1" s="9"/>
      <c r="LIC1" s="9"/>
      <c r="LID1" s="9"/>
      <c r="LIE1" s="9"/>
      <c r="LIF1" s="9"/>
      <c r="LIG1" s="9"/>
      <c r="LIH1" s="9"/>
      <c r="LII1" s="9"/>
      <c r="LIJ1" s="9"/>
      <c r="LIK1" s="9"/>
      <c r="LIL1" s="9"/>
      <c r="LIM1" s="9"/>
      <c r="LIN1" s="9"/>
      <c r="LIO1" s="9"/>
      <c r="LIP1" s="9"/>
      <c r="LIQ1" s="9"/>
      <c r="LIR1" s="9"/>
      <c r="LIS1" s="9"/>
      <c r="LIT1" s="9"/>
      <c r="LIU1" s="9"/>
      <c r="LIV1" s="9"/>
      <c r="LIW1" s="9"/>
      <c r="LIX1" s="9"/>
      <c r="LIY1" s="9"/>
      <c r="LIZ1" s="9"/>
      <c r="LJA1" s="9"/>
      <c r="LJB1" s="9"/>
      <c r="LJC1" s="9"/>
      <c r="LJD1" s="9"/>
      <c r="LJE1" s="9"/>
      <c r="LJF1" s="9"/>
      <c r="LJG1" s="9"/>
      <c r="LJH1" s="9"/>
      <c r="LJI1" s="9"/>
      <c r="LJJ1" s="9"/>
      <c r="LJK1" s="9"/>
      <c r="LJL1" s="9"/>
      <c r="LJM1" s="9"/>
      <c r="LJN1" s="9"/>
      <c r="LJO1" s="9"/>
      <c r="LJP1" s="9"/>
      <c r="LJQ1" s="9"/>
      <c r="LJR1" s="9"/>
      <c r="LJS1" s="9"/>
      <c r="LJT1" s="9"/>
      <c r="LJU1" s="9"/>
      <c r="LJV1" s="9"/>
      <c r="LJW1" s="9"/>
      <c r="LJX1" s="9"/>
      <c r="LJY1" s="9"/>
      <c r="LJZ1" s="9"/>
      <c r="LKA1" s="9"/>
      <c r="LKB1" s="9"/>
      <c r="LKC1" s="9"/>
      <c r="LKD1" s="9"/>
      <c r="LKE1" s="9"/>
      <c r="LKF1" s="9"/>
      <c r="LKG1" s="9"/>
      <c r="LKH1" s="9"/>
      <c r="LKI1" s="9"/>
      <c r="LKJ1" s="9"/>
      <c r="LKK1" s="9"/>
      <c r="LKL1" s="9"/>
      <c r="LKM1" s="9"/>
      <c r="LKN1" s="9"/>
      <c r="LKO1" s="9"/>
      <c r="LKP1" s="9"/>
      <c r="LKQ1" s="9"/>
      <c r="LKR1" s="9"/>
      <c r="LKS1" s="9"/>
      <c r="LKT1" s="9"/>
      <c r="LKU1" s="9"/>
      <c r="LKV1" s="9"/>
      <c r="LKW1" s="9"/>
      <c r="LKX1" s="9"/>
      <c r="LKY1" s="9"/>
      <c r="LKZ1" s="9"/>
      <c r="LLA1" s="9"/>
      <c r="LLB1" s="9"/>
      <c r="LLC1" s="9"/>
      <c r="LLD1" s="9"/>
      <c r="LLE1" s="9"/>
      <c r="LLF1" s="9"/>
      <c r="LLG1" s="9"/>
      <c r="LLH1" s="9"/>
      <c r="LLI1" s="9"/>
      <c r="LLJ1" s="9"/>
      <c r="LLK1" s="9"/>
      <c r="LLL1" s="9"/>
      <c r="LLM1" s="9"/>
      <c r="LLN1" s="9"/>
      <c r="LLO1" s="9"/>
      <c r="LLP1" s="9"/>
      <c r="LLQ1" s="9"/>
      <c r="LLR1" s="9"/>
      <c r="LLS1" s="9"/>
      <c r="LLT1" s="9"/>
      <c r="LLU1" s="9"/>
      <c r="LLV1" s="9"/>
      <c r="LLW1" s="9"/>
      <c r="LLX1" s="9"/>
      <c r="LLY1" s="9"/>
      <c r="LLZ1" s="9"/>
      <c r="LMA1" s="9"/>
      <c r="LMB1" s="9"/>
      <c r="LMC1" s="9"/>
      <c r="LMD1" s="9"/>
      <c r="LME1" s="9"/>
      <c r="LMF1" s="9"/>
      <c r="LMG1" s="9"/>
      <c r="LMH1" s="9"/>
      <c r="LMI1" s="9"/>
      <c r="LMJ1" s="9"/>
      <c r="LMK1" s="9"/>
      <c r="LML1" s="9"/>
      <c r="LMM1" s="9"/>
      <c r="LMN1" s="9"/>
      <c r="LMO1" s="9"/>
      <c r="LMP1" s="9"/>
      <c r="LMQ1" s="9"/>
      <c r="LMR1" s="9"/>
      <c r="LMS1" s="9"/>
      <c r="LMT1" s="9"/>
      <c r="LMU1" s="9"/>
      <c r="LMV1" s="9"/>
      <c r="LMW1" s="9"/>
      <c r="LMX1" s="9"/>
      <c r="LMY1" s="9"/>
      <c r="LMZ1" s="9"/>
      <c r="LNA1" s="9"/>
      <c r="LNB1" s="9"/>
      <c r="LNC1" s="9"/>
      <c r="LND1" s="9"/>
      <c r="LNE1" s="9"/>
      <c r="LNF1" s="9"/>
      <c r="LNG1" s="9"/>
      <c r="LNH1" s="9"/>
      <c r="LNI1" s="9"/>
      <c r="LNJ1" s="9"/>
      <c r="LNK1" s="9"/>
      <c r="LNL1" s="9"/>
      <c r="LNM1" s="9"/>
      <c r="LNN1" s="9"/>
      <c r="LNO1" s="9"/>
      <c r="LNP1" s="9"/>
      <c r="LNQ1" s="9"/>
      <c r="LNR1" s="9"/>
      <c r="LNS1" s="9"/>
      <c r="LNT1" s="9"/>
      <c r="LNU1" s="9"/>
      <c r="LNV1" s="9"/>
      <c r="LNW1" s="9"/>
      <c r="LNX1" s="9"/>
      <c r="LNY1" s="9"/>
      <c r="LNZ1" s="9"/>
      <c r="LOA1" s="9"/>
      <c r="LOB1" s="9"/>
      <c r="LOC1" s="9"/>
      <c r="LOD1" s="9"/>
      <c r="LOE1" s="9"/>
      <c r="LOF1" s="9"/>
      <c r="LOG1" s="9"/>
      <c r="LOH1" s="9"/>
      <c r="LOI1" s="9"/>
      <c r="LOJ1" s="9"/>
      <c r="LOK1" s="9"/>
      <c r="LOL1" s="9"/>
      <c r="LOM1" s="9"/>
      <c r="LON1" s="9"/>
      <c r="LOO1" s="9"/>
      <c r="LOP1" s="9"/>
      <c r="LOQ1" s="9"/>
      <c r="LOR1" s="9"/>
      <c r="LOS1" s="9"/>
      <c r="LOT1" s="9"/>
      <c r="LOU1" s="9"/>
      <c r="LOV1" s="9"/>
      <c r="LOW1" s="9"/>
      <c r="LOX1" s="9"/>
      <c r="LOY1" s="9"/>
      <c r="LOZ1" s="9"/>
      <c r="LPA1" s="9"/>
      <c r="LPB1" s="9"/>
      <c r="LPC1" s="9"/>
      <c r="LPD1" s="9"/>
      <c r="LPE1" s="9"/>
      <c r="LPF1" s="9"/>
      <c r="LPG1" s="9"/>
      <c r="LPH1" s="9"/>
      <c r="LPI1" s="9"/>
      <c r="LPJ1" s="9"/>
      <c r="LPK1" s="9"/>
      <c r="LPL1" s="9"/>
      <c r="LPM1" s="9"/>
      <c r="LPN1" s="9"/>
      <c r="LPO1" s="9"/>
      <c r="LPP1" s="9"/>
      <c r="LPQ1" s="9"/>
      <c r="LPR1" s="9"/>
      <c r="LPS1" s="9"/>
      <c r="LPT1" s="9"/>
      <c r="LPU1" s="9"/>
      <c r="LPV1" s="9"/>
      <c r="LPW1" s="9"/>
      <c r="LPX1" s="9"/>
      <c r="LPY1" s="9"/>
      <c r="LPZ1" s="9"/>
      <c r="LQA1" s="9"/>
      <c r="LQB1" s="9"/>
      <c r="LQC1" s="9"/>
      <c r="LQD1" s="9"/>
      <c r="LQE1" s="9"/>
      <c r="LQF1" s="9"/>
      <c r="LQG1" s="9"/>
      <c r="LQH1" s="9"/>
      <c r="LQI1" s="9"/>
      <c r="LQJ1" s="9"/>
      <c r="LQK1" s="9"/>
      <c r="LQL1" s="9"/>
      <c r="LQM1" s="9"/>
      <c r="LQN1" s="9"/>
      <c r="LQO1" s="9"/>
      <c r="LQP1" s="9"/>
      <c r="LQQ1" s="9"/>
      <c r="LQR1" s="9"/>
      <c r="LQS1" s="9"/>
      <c r="LQT1" s="9"/>
      <c r="LQU1" s="9"/>
      <c r="LQV1" s="9"/>
      <c r="LQW1" s="9"/>
      <c r="LQX1" s="9"/>
      <c r="LQY1" s="9"/>
      <c r="LQZ1" s="9"/>
      <c r="LRA1" s="9"/>
      <c r="LRB1" s="9"/>
      <c r="LRC1" s="9"/>
      <c r="LRD1" s="9"/>
      <c r="LRE1" s="9"/>
      <c r="LRF1" s="9"/>
      <c r="LRG1" s="9"/>
      <c r="LRH1" s="9"/>
      <c r="LRI1" s="9"/>
      <c r="LRJ1" s="9"/>
      <c r="LRK1" s="9"/>
      <c r="LRL1" s="9"/>
      <c r="LRM1" s="9"/>
      <c r="LRN1" s="9"/>
      <c r="LRO1" s="9"/>
      <c r="LRP1" s="9"/>
      <c r="LRQ1" s="9"/>
      <c r="LRR1" s="9"/>
      <c r="LRS1" s="9"/>
      <c r="LRT1" s="9"/>
      <c r="LRU1" s="9"/>
      <c r="LRV1" s="9"/>
      <c r="LRW1" s="9"/>
      <c r="LRX1" s="9"/>
      <c r="LRY1" s="9"/>
      <c r="LRZ1" s="9"/>
      <c r="LSA1" s="9"/>
      <c r="LSB1" s="9"/>
      <c r="LSC1" s="9"/>
      <c r="LSD1" s="9"/>
      <c r="LSE1" s="9"/>
      <c r="LSF1" s="9"/>
      <c r="LSG1" s="9"/>
      <c r="LSH1" s="9"/>
      <c r="LSI1" s="9"/>
      <c r="LSJ1" s="9"/>
      <c r="LSK1" s="9"/>
      <c r="LSL1" s="9"/>
      <c r="LSM1" s="9"/>
      <c r="LSN1" s="9"/>
      <c r="LSO1" s="9"/>
      <c r="LSP1" s="9"/>
      <c r="LSQ1" s="9"/>
      <c r="LSR1" s="9"/>
      <c r="LSS1" s="9"/>
      <c r="LST1" s="9"/>
      <c r="LSU1" s="9"/>
      <c r="LSV1" s="9"/>
      <c r="LSW1" s="9"/>
      <c r="LSX1" s="9"/>
      <c r="LSY1" s="9"/>
      <c r="LSZ1" s="9"/>
      <c r="LTA1" s="9"/>
      <c r="LTB1" s="9"/>
      <c r="LTC1" s="9"/>
      <c r="LTD1" s="9"/>
      <c r="LTE1" s="9"/>
      <c r="LTF1" s="9"/>
      <c r="LTG1" s="9"/>
      <c r="LTH1" s="9"/>
      <c r="LTI1" s="9"/>
      <c r="LTJ1" s="9"/>
      <c r="LTK1" s="9"/>
      <c r="LTL1" s="9"/>
      <c r="LTM1" s="9"/>
      <c r="LTN1" s="9"/>
      <c r="LTO1" s="9"/>
      <c r="LTP1" s="9"/>
      <c r="LTQ1" s="9"/>
      <c r="LTR1" s="9"/>
      <c r="LTS1" s="9"/>
      <c r="LTT1" s="9"/>
      <c r="LTU1" s="9"/>
      <c r="LTV1" s="9"/>
      <c r="LTW1" s="9"/>
      <c r="LTX1" s="9"/>
      <c r="LTY1" s="9"/>
      <c r="LTZ1" s="9"/>
      <c r="LUA1" s="9"/>
      <c r="LUB1" s="9"/>
      <c r="LUC1" s="9"/>
      <c r="LUD1" s="9"/>
      <c r="LUE1" s="9"/>
      <c r="LUF1" s="9"/>
      <c r="LUG1" s="9"/>
      <c r="LUH1" s="9"/>
      <c r="LUI1" s="9"/>
      <c r="LUJ1" s="9"/>
      <c r="LUK1" s="9"/>
      <c r="LUL1" s="9"/>
      <c r="LUM1" s="9"/>
      <c r="LUN1" s="9"/>
      <c r="LUO1" s="9"/>
      <c r="LUP1" s="9"/>
      <c r="LUQ1" s="9"/>
      <c r="LUR1" s="9"/>
      <c r="LUS1" s="9"/>
      <c r="LUT1" s="9"/>
      <c r="LUU1" s="9"/>
      <c r="LUV1" s="9"/>
      <c r="LUW1" s="9"/>
      <c r="LUX1" s="9"/>
      <c r="LUY1" s="9"/>
      <c r="LUZ1" s="9"/>
      <c r="LVA1" s="9"/>
      <c r="LVB1" s="9"/>
      <c r="LVC1" s="9"/>
      <c r="LVD1" s="9"/>
      <c r="LVE1" s="9"/>
      <c r="LVF1" s="9"/>
      <c r="LVG1" s="9"/>
      <c r="LVH1" s="9"/>
      <c r="LVI1" s="9"/>
      <c r="LVJ1" s="9"/>
      <c r="LVK1" s="9"/>
      <c r="LVL1" s="9"/>
      <c r="LVM1" s="9"/>
      <c r="LVN1" s="9"/>
      <c r="LVO1" s="9"/>
      <c r="LVP1" s="9"/>
      <c r="LVQ1" s="9"/>
      <c r="LVR1" s="9"/>
      <c r="LVS1" s="9"/>
      <c r="LVT1" s="9"/>
      <c r="LVU1" s="9"/>
      <c r="LVV1" s="9"/>
      <c r="LVW1" s="9"/>
      <c r="LVX1" s="9"/>
      <c r="LVY1" s="9"/>
      <c r="LVZ1" s="9"/>
      <c r="LWA1" s="9"/>
      <c r="LWB1" s="9"/>
      <c r="LWC1" s="9"/>
      <c r="LWD1" s="9"/>
      <c r="LWE1" s="9"/>
      <c r="LWF1" s="9"/>
      <c r="LWG1" s="9"/>
      <c r="LWH1" s="9"/>
      <c r="LWI1" s="9"/>
      <c r="LWJ1" s="9"/>
      <c r="LWK1" s="9"/>
      <c r="LWL1" s="9"/>
      <c r="LWM1" s="9"/>
      <c r="LWN1" s="9"/>
      <c r="LWO1" s="9"/>
      <c r="LWP1" s="9"/>
      <c r="LWQ1" s="9"/>
      <c r="LWR1" s="9"/>
      <c r="LWS1" s="9"/>
      <c r="LWT1" s="9"/>
      <c r="LWU1" s="9"/>
      <c r="LWV1" s="9"/>
      <c r="LWW1" s="9"/>
      <c r="LWX1" s="9"/>
      <c r="LWY1" s="9"/>
      <c r="LWZ1" s="9"/>
      <c r="LXA1" s="9"/>
      <c r="LXB1" s="9"/>
      <c r="LXC1" s="9"/>
      <c r="LXD1" s="9"/>
      <c r="LXE1" s="9"/>
      <c r="LXF1" s="9"/>
      <c r="LXG1" s="9"/>
      <c r="LXH1" s="9"/>
      <c r="LXI1" s="9"/>
      <c r="LXJ1" s="9"/>
      <c r="LXK1" s="9"/>
      <c r="LXL1" s="9"/>
      <c r="LXM1" s="9"/>
      <c r="LXN1" s="9"/>
      <c r="LXO1" s="9"/>
      <c r="LXP1" s="9"/>
      <c r="LXQ1" s="9"/>
      <c r="LXR1" s="9"/>
      <c r="LXS1" s="9"/>
      <c r="LXT1" s="9"/>
      <c r="LXU1" s="9"/>
      <c r="LXV1" s="9"/>
      <c r="LXW1" s="9"/>
      <c r="LXX1" s="9"/>
      <c r="LXY1" s="9"/>
      <c r="LXZ1" s="9"/>
      <c r="LYA1" s="9"/>
      <c r="LYB1" s="9"/>
      <c r="LYC1" s="9"/>
      <c r="LYD1" s="9"/>
      <c r="LYE1" s="9"/>
      <c r="LYF1" s="9"/>
      <c r="LYG1" s="9"/>
      <c r="LYH1" s="9"/>
      <c r="LYI1" s="9"/>
      <c r="LYJ1" s="9"/>
      <c r="LYK1" s="9"/>
      <c r="LYL1" s="9"/>
      <c r="LYM1" s="9"/>
      <c r="LYN1" s="9"/>
      <c r="LYO1" s="9"/>
      <c r="LYP1" s="9"/>
      <c r="LYQ1" s="9"/>
      <c r="LYR1" s="9"/>
      <c r="LYS1" s="9"/>
      <c r="LYT1" s="9"/>
      <c r="LYU1" s="9"/>
      <c r="LYV1" s="9"/>
      <c r="LYW1" s="9"/>
      <c r="LYX1" s="9"/>
      <c r="LYY1" s="9"/>
      <c r="LYZ1" s="9"/>
      <c r="LZA1" s="9"/>
      <c r="LZB1" s="9"/>
      <c r="LZC1" s="9"/>
      <c r="LZD1" s="9"/>
      <c r="LZE1" s="9"/>
      <c r="LZF1" s="9"/>
      <c r="LZG1" s="9"/>
      <c r="LZH1" s="9"/>
      <c r="LZI1" s="9"/>
      <c r="LZJ1" s="9"/>
      <c r="LZK1" s="9"/>
      <c r="LZL1" s="9"/>
      <c r="LZM1" s="9"/>
      <c r="LZN1" s="9"/>
      <c r="LZO1" s="9"/>
      <c r="LZP1" s="9"/>
      <c r="LZQ1" s="9"/>
      <c r="LZR1" s="9"/>
      <c r="LZS1" s="9"/>
      <c r="LZT1" s="9"/>
      <c r="LZU1" s="9"/>
      <c r="LZV1" s="9"/>
      <c r="LZW1" s="9"/>
      <c r="LZX1" s="9"/>
      <c r="LZY1" s="9"/>
      <c r="LZZ1" s="9"/>
      <c r="MAA1" s="9"/>
      <c r="MAB1" s="9"/>
      <c r="MAC1" s="9"/>
      <c r="MAD1" s="9"/>
      <c r="MAE1" s="9"/>
      <c r="MAF1" s="9"/>
      <c r="MAG1" s="9"/>
      <c r="MAH1" s="9"/>
      <c r="MAI1" s="9"/>
      <c r="MAJ1" s="9"/>
      <c r="MAK1" s="9"/>
      <c r="MAL1" s="9"/>
      <c r="MAM1" s="9"/>
      <c r="MAN1" s="9"/>
      <c r="MAO1" s="9"/>
      <c r="MAP1" s="9"/>
      <c r="MAQ1" s="9"/>
      <c r="MAR1" s="9"/>
      <c r="MAS1" s="9"/>
      <c r="MAT1" s="9"/>
      <c r="MAU1" s="9"/>
      <c r="MAV1" s="9"/>
      <c r="MAW1" s="9"/>
      <c r="MAX1" s="9"/>
      <c r="MAY1" s="9"/>
      <c r="MAZ1" s="9"/>
      <c r="MBA1" s="9"/>
      <c r="MBB1" s="9"/>
      <c r="MBC1" s="9"/>
      <c r="MBD1" s="9"/>
      <c r="MBE1" s="9"/>
      <c r="MBF1" s="9"/>
      <c r="MBG1" s="9"/>
      <c r="MBH1" s="9"/>
      <c r="MBI1" s="9"/>
      <c r="MBJ1" s="9"/>
      <c r="MBK1" s="9"/>
      <c r="MBL1" s="9"/>
      <c r="MBM1" s="9"/>
      <c r="MBN1" s="9"/>
      <c r="MBO1" s="9"/>
      <c r="MBP1" s="9"/>
      <c r="MBQ1" s="9"/>
      <c r="MBR1" s="9"/>
      <c r="MBS1" s="9"/>
      <c r="MBT1" s="9"/>
      <c r="MBU1" s="9"/>
      <c r="MBV1" s="9"/>
      <c r="MBW1" s="9"/>
      <c r="MBX1" s="9"/>
      <c r="MBY1" s="9"/>
      <c r="MBZ1" s="9"/>
      <c r="MCA1" s="9"/>
      <c r="MCB1" s="9"/>
      <c r="MCC1" s="9"/>
      <c r="MCD1" s="9"/>
      <c r="MCE1" s="9"/>
      <c r="MCF1" s="9"/>
      <c r="MCG1" s="9"/>
      <c r="MCH1" s="9"/>
      <c r="MCI1" s="9"/>
      <c r="MCJ1" s="9"/>
      <c r="MCK1" s="9"/>
      <c r="MCL1" s="9"/>
      <c r="MCM1" s="9"/>
      <c r="MCN1" s="9"/>
      <c r="MCO1" s="9"/>
      <c r="MCP1" s="9"/>
      <c r="MCQ1" s="9"/>
      <c r="MCR1" s="9"/>
      <c r="MCS1" s="9"/>
      <c r="MCT1" s="9"/>
      <c r="MCU1" s="9"/>
      <c r="MCV1" s="9"/>
      <c r="MCW1" s="9"/>
      <c r="MCX1" s="9"/>
      <c r="MCY1" s="9"/>
      <c r="MCZ1" s="9"/>
      <c r="MDA1" s="9"/>
      <c r="MDB1" s="9"/>
      <c r="MDC1" s="9"/>
      <c r="MDD1" s="9"/>
      <c r="MDE1" s="9"/>
      <c r="MDF1" s="9"/>
      <c r="MDG1" s="9"/>
      <c r="MDH1" s="9"/>
      <c r="MDI1" s="9"/>
      <c r="MDJ1" s="9"/>
      <c r="MDK1" s="9"/>
      <c r="MDL1" s="9"/>
      <c r="MDM1" s="9"/>
      <c r="MDN1" s="9"/>
      <c r="MDO1" s="9"/>
      <c r="MDP1" s="9"/>
      <c r="MDQ1" s="9"/>
      <c r="MDR1" s="9"/>
      <c r="MDS1" s="9"/>
      <c r="MDT1" s="9"/>
      <c r="MDU1" s="9"/>
      <c r="MDV1" s="9"/>
      <c r="MDW1" s="9"/>
      <c r="MDX1" s="9"/>
      <c r="MDY1" s="9"/>
      <c r="MDZ1" s="9"/>
      <c r="MEA1" s="9"/>
      <c r="MEB1" s="9"/>
      <c r="MEC1" s="9"/>
      <c r="MED1" s="9"/>
      <c r="MEE1" s="9"/>
      <c r="MEF1" s="9"/>
      <c r="MEG1" s="9"/>
      <c r="MEH1" s="9"/>
      <c r="MEI1" s="9"/>
      <c r="MEJ1" s="9"/>
      <c r="MEK1" s="9"/>
      <c r="MEL1" s="9"/>
      <c r="MEM1" s="9"/>
      <c r="MEN1" s="9"/>
      <c r="MEO1" s="9"/>
      <c r="MEP1" s="9"/>
      <c r="MEQ1" s="9"/>
      <c r="MER1" s="9"/>
      <c r="MES1" s="9"/>
      <c r="MET1" s="9"/>
      <c r="MEU1" s="9"/>
      <c r="MEV1" s="9"/>
      <c r="MEW1" s="9"/>
      <c r="MEX1" s="9"/>
      <c r="MEY1" s="9"/>
      <c r="MEZ1" s="9"/>
      <c r="MFA1" s="9"/>
      <c r="MFB1" s="9"/>
      <c r="MFC1" s="9"/>
      <c r="MFD1" s="9"/>
      <c r="MFE1" s="9"/>
      <c r="MFF1" s="9"/>
      <c r="MFG1" s="9"/>
      <c r="MFH1" s="9"/>
      <c r="MFI1" s="9"/>
      <c r="MFJ1" s="9"/>
      <c r="MFK1" s="9"/>
      <c r="MFL1" s="9"/>
      <c r="MFM1" s="9"/>
      <c r="MFN1" s="9"/>
      <c r="MFO1" s="9"/>
      <c r="MFP1" s="9"/>
      <c r="MFQ1" s="9"/>
      <c r="MFR1" s="9"/>
      <c r="MFS1" s="9"/>
      <c r="MFT1" s="9"/>
      <c r="MFU1" s="9"/>
      <c r="MFV1" s="9"/>
      <c r="MFW1" s="9"/>
      <c r="MFX1" s="9"/>
      <c r="MFY1" s="9"/>
      <c r="MFZ1" s="9"/>
      <c r="MGA1" s="9"/>
      <c r="MGB1" s="9"/>
      <c r="MGC1" s="9"/>
      <c r="MGD1" s="9"/>
      <c r="MGE1" s="9"/>
      <c r="MGF1" s="9"/>
      <c r="MGG1" s="9"/>
      <c r="MGH1" s="9"/>
      <c r="MGI1" s="9"/>
      <c r="MGJ1" s="9"/>
      <c r="MGK1" s="9"/>
      <c r="MGL1" s="9"/>
      <c r="MGM1" s="9"/>
      <c r="MGN1" s="9"/>
      <c r="MGO1" s="9"/>
      <c r="MGP1" s="9"/>
      <c r="MGQ1" s="9"/>
      <c r="MGR1" s="9"/>
      <c r="MGS1" s="9"/>
      <c r="MGT1" s="9"/>
      <c r="MGU1" s="9"/>
      <c r="MGV1" s="9"/>
      <c r="MGW1" s="9"/>
      <c r="MGX1" s="9"/>
      <c r="MGY1" s="9"/>
      <c r="MGZ1" s="9"/>
      <c r="MHA1" s="9"/>
      <c r="MHB1" s="9"/>
      <c r="MHC1" s="9"/>
      <c r="MHD1" s="9"/>
      <c r="MHE1" s="9"/>
      <c r="MHF1" s="9"/>
      <c r="MHG1" s="9"/>
      <c r="MHH1" s="9"/>
      <c r="MHI1" s="9"/>
      <c r="MHJ1" s="9"/>
      <c r="MHK1" s="9"/>
      <c r="MHL1" s="9"/>
      <c r="MHM1" s="9"/>
      <c r="MHN1" s="9"/>
      <c r="MHO1" s="9"/>
      <c r="MHP1" s="9"/>
      <c r="MHQ1" s="9"/>
      <c r="MHR1" s="9"/>
      <c r="MHS1" s="9"/>
      <c r="MHT1" s="9"/>
      <c r="MHU1" s="9"/>
      <c r="MHV1" s="9"/>
      <c r="MHW1" s="9"/>
      <c r="MHX1" s="9"/>
      <c r="MHY1" s="9"/>
      <c r="MHZ1" s="9"/>
      <c r="MIA1" s="9"/>
      <c r="MIB1" s="9"/>
      <c r="MIC1" s="9"/>
      <c r="MID1" s="9"/>
      <c r="MIE1" s="9"/>
      <c r="MIF1" s="9"/>
      <c r="MIG1" s="9"/>
      <c r="MIH1" s="9"/>
      <c r="MII1" s="9"/>
      <c r="MIJ1" s="9"/>
      <c r="MIK1" s="9"/>
      <c r="MIL1" s="9"/>
      <c r="MIM1" s="9"/>
      <c r="MIN1" s="9"/>
      <c r="MIO1" s="9"/>
      <c r="MIP1" s="9"/>
      <c r="MIQ1" s="9"/>
      <c r="MIR1" s="9"/>
      <c r="MIS1" s="9"/>
      <c r="MIT1" s="9"/>
      <c r="MIU1" s="9"/>
      <c r="MIV1" s="9"/>
      <c r="MIW1" s="9"/>
      <c r="MIX1" s="9"/>
      <c r="MIY1" s="9"/>
      <c r="MIZ1" s="9"/>
      <c r="MJA1" s="9"/>
      <c r="MJB1" s="9"/>
      <c r="MJC1" s="9"/>
      <c r="MJD1" s="9"/>
      <c r="MJE1" s="9"/>
      <c r="MJF1" s="9"/>
      <c r="MJG1" s="9"/>
      <c r="MJH1" s="9"/>
      <c r="MJI1" s="9"/>
      <c r="MJJ1" s="9"/>
      <c r="MJK1" s="9"/>
      <c r="MJL1" s="9"/>
      <c r="MJM1" s="9"/>
      <c r="MJN1" s="9"/>
      <c r="MJO1" s="9"/>
      <c r="MJP1" s="9"/>
      <c r="MJQ1" s="9"/>
      <c r="MJR1" s="9"/>
      <c r="MJS1" s="9"/>
      <c r="MJT1" s="9"/>
      <c r="MJU1" s="9"/>
      <c r="MJV1" s="9"/>
      <c r="MJW1" s="9"/>
      <c r="MJX1" s="9"/>
      <c r="MJY1" s="9"/>
      <c r="MJZ1" s="9"/>
      <c r="MKA1" s="9"/>
      <c r="MKB1" s="9"/>
      <c r="MKC1" s="9"/>
      <c r="MKD1" s="9"/>
      <c r="MKE1" s="9"/>
      <c r="MKF1" s="9"/>
      <c r="MKG1" s="9"/>
      <c r="MKH1" s="9"/>
      <c r="MKI1" s="9"/>
      <c r="MKJ1" s="9"/>
      <c r="MKK1" s="9"/>
      <c r="MKL1" s="9"/>
      <c r="MKM1" s="9"/>
      <c r="MKN1" s="9"/>
      <c r="MKO1" s="9"/>
      <c r="MKP1" s="9"/>
      <c r="MKQ1" s="9"/>
      <c r="MKR1" s="9"/>
      <c r="MKS1" s="9"/>
      <c r="MKT1" s="9"/>
      <c r="MKU1" s="9"/>
      <c r="MKV1" s="9"/>
      <c r="MKW1" s="9"/>
      <c r="MKX1" s="9"/>
      <c r="MKY1" s="9"/>
      <c r="MKZ1" s="9"/>
      <c r="MLA1" s="9"/>
      <c r="MLB1" s="9"/>
      <c r="MLC1" s="9"/>
      <c r="MLD1" s="9"/>
      <c r="MLE1" s="9"/>
      <c r="MLF1" s="9"/>
      <c r="MLG1" s="9"/>
      <c r="MLH1" s="9"/>
      <c r="MLI1" s="9"/>
      <c r="MLJ1" s="9"/>
      <c r="MLK1" s="9"/>
      <c r="MLL1" s="9"/>
      <c r="MLM1" s="9"/>
      <c r="MLN1" s="9"/>
      <c r="MLO1" s="9"/>
      <c r="MLP1" s="9"/>
      <c r="MLQ1" s="9"/>
      <c r="MLR1" s="9"/>
      <c r="MLS1" s="9"/>
      <c r="MLT1" s="9"/>
      <c r="MLU1" s="9"/>
      <c r="MLV1" s="9"/>
      <c r="MLW1" s="9"/>
      <c r="MLX1" s="9"/>
      <c r="MLY1" s="9"/>
      <c r="MLZ1" s="9"/>
      <c r="MMA1" s="9"/>
      <c r="MMB1" s="9"/>
      <c r="MMC1" s="9"/>
      <c r="MMD1" s="9"/>
      <c r="MME1" s="9"/>
      <c r="MMF1" s="9"/>
      <c r="MMG1" s="9"/>
      <c r="MMH1" s="9"/>
      <c r="MMI1" s="9"/>
      <c r="MMJ1" s="9"/>
      <c r="MMK1" s="9"/>
      <c r="MML1" s="9"/>
      <c r="MMM1" s="9"/>
      <c r="MMN1" s="9"/>
      <c r="MMO1" s="9"/>
      <c r="MMP1" s="9"/>
      <c r="MMQ1" s="9"/>
      <c r="MMR1" s="9"/>
      <c r="MMS1" s="9"/>
      <c r="MMT1" s="9"/>
      <c r="MMU1" s="9"/>
      <c r="MMV1" s="9"/>
      <c r="MMW1" s="9"/>
      <c r="MMX1" s="9"/>
      <c r="MMY1" s="9"/>
      <c r="MMZ1" s="9"/>
      <c r="MNA1" s="9"/>
      <c r="MNB1" s="9"/>
      <c r="MNC1" s="9"/>
      <c r="MND1" s="9"/>
      <c r="MNE1" s="9"/>
      <c r="MNF1" s="9"/>
      <c r="MNG1" s="9"/>
      <c r="MNH1" s="9"/>
      <c r="MNI1" s="9"/>
      <c r="MNJ1" s="9"/>
      <c r="MNK1" s="9"/>
      <c r="MNL1" s="9"/>
      <c r="MNM1" s="9"/>
      <c r="MNN1" s="9"/>
      <c r="MNO1" s="9"/>
      <c r="MNP1" s="9"/>
      <c r="MNQ1" s="9"/>
      <c r="MNR1" s="9"/>
      <c r="MNS1" s="9"/>
      <c r="MNT1" s="9"/>
      <c r="MNU1" s="9"/>
      <c r="MNV1" s="9"/>
      <c r="MNW1" s="9"/>
      <c r="MNX1" s="9"/>
      <c r="MNY1" s="9"/>
      <c r="MNZ1" s="9"/>
      <c r="MOA1" s="9"/>
      <c r="MOB1" s="9"/>
      <c r="MOC1" s="9"/>
      <c r="MOD1" s="9"/>
      <c r="MOE1" s="9"/>
      <c r="MOF1" s="9"/>
      <c r="MOG1" s="9"/>
      <c r="MOH1" s="9"/>
      <c r="MOI1" s="9"/>
      <c r="MOJ1" s="9"/>
      <c r="MOK1" s="9"/>
      <c r="MOL1" s="9"/>
      <c r="MOM1" s="9"/>
      <c r="MON1" s="9"/>
      <c r="MOO1" s="9"/>
      <c r="MOP1" s="9"/>
      <c r="MOQ1" s="9"/>
      <c r="MOR1" s="9"/>
      <c r="MOS1" s="9"/>
      <c r="MOT1" s="9"/>
      <c r="MOU1" s="9"/>
      <c r="MOV1" s="9"/>
      <c r="MOW1" s="9"/>
      <c r="MOX1" s="9"/>
      <c r="MOY1" s="9"/>
      <c r="MOZ1" s="9"/>
      <c r="MPA1" s="9"/>
      <c r="MPB1" s="9"/>
      <c r="MPC1" s="9"/>
      <c r="MPD1" s="9"/>
      <c r="MPE1" s="9"/>
      <c r="MPF1" s="9"/>
      <c r="MPG1" s="9"/>
      <c r="MPH1" s="9"/>
      <c r="MPI1" s="9"/>
      <c r="MPJ1" s="9"/>
      <c r="MPK1" s="9"/>
      <c r="MPL1" s="9"/>
      <c r="MPM1" s="9"/>
      <c r="MPN1" s="9"/>
      <c r="MPO1" s="9"/>
      <c r="MPP1" s="9"/>
      <c r="MPQ1" s="9"/>
      <c r="MPR1" s="9"/>
      <c r="MPS1" s="9"/>
      <c r="MPT1" s="9"/>
      <c r="MPU1" s="9"/>
      <c r="MPV1" s="9"/>
      <c r="MPW1" s="9"/>
      <c r="MPX1" s="9"/>
      <c r="MPY1" s="9"/>
      <c r="MPZ1" s="9"/>
      <c r="MQA1" s="9"/>
      <c r="MQB1" s="9"/>
      <c r="MQC1" s="9"/>
      <c r="MQD1" s="9"/>
      <c r="MQE1" s="9"/>
      <c r="MQF1" s="9"/>
      <c r="MQG1" s="9"/>
      <c r="MQH1" s="9"/>
      <c r="MQI1" s="9"/>
      <c r="MQJ1" s="9"/>
      <c r="MQK1" s="9"/>
      <c r="MQL1" s="9"/>
      <c r="MQM1" s="9"/>
      <c r="MQN1" s="9"/>
      <c r="MQO1" s="9"/>
      <c r="MQP1" s="9"/>
      <c r="MQQ1" s="9"/>
      <c r="MQR1" s="9"/>
      <c r="MQS1" s="9"/>
      <c r="MQT1" s="9"/>
      <c r="MQU1" s="9"/>
      <c r="MQV1" s="9"/>
      <c r="MQW1" s="9"/>
      <c r="MQX1" s="9"/>
      <c r="MQY1" s="9"/>
      <c r="MQZ1" s="9"/>
      <c r="MRA1" s="9"/>
      <c r="MRB1" s="9"/>
      <c r="MRC1" s="9"/>
      <c r="MRD1" s="9"/>
      <c r="MRE1" s="9"/>
      <c r="MRF1" s="9"/>
      <c r="MRG1" s="9"/>
      <c r="MRH1" s="9"/>
      <c r="MRI1" s="9"/>
      <c r="MRJ1" s="9"/>
      <c r="MRK1" s="9"/>
      <c r="MRL1" s="9"/>
      <c r="MRM1" s="9"/>
      <c r="MRN1" s="9"/>
      <c r="MRO1" s="9"/>
      <c r="MRP1" s="9"/>
      <c r="MRQ1" s="9"/>
      <c r="MRR1" s="9"/>
      <c r="MRS1" s="9"/>
      <c r="MRT1" s="9"/>
      <c r="MRU1" s="9"/>
      <c r="MRV1" s="9"/>
      <c r="MRW1" s="9"/>
      <c r="MRX1" s="9"/>
      <c r="MRY1" s="9"/>
      <c r="MRZ1" s="9"/>
      <c r="MSA1" s="9"/>
      <c r="MSB1" s="9"/>
      <c r="MSC1" s="9"/>
      <c r="MSD1" s="9"/>
      <c r="MSE1" s="9"/>
      <c r="MSF1" s="9"/>
      <c r="MSG1" s="9"/>
      <c r="MSH1" s="9"/>
      <c r="MSI1" s="9"/>
      <c r="MSJ1" s="9"/>
      <c r="MSK1" s="9"/>
      <c r="MSL1" s="9"/>
      <c r="MSM1" s="9"/>
      <c r="MSN1" s="9"/>
      <c r="MSO1" s="9"/>
      <c r="MSP1" s="9"/>
      <c r="MSQ1" s="9"/>
      <c r="MSR1" s="9"/>
      <c r="MSS1" s="9"/>
      <c r="MST1" s="9"/>
      <c r="MSU1" s="9"/>
      <c r="MSV1" s="9"/>
      <c r="MSW1" s="9"/>
      <c r="MSX1" s="9"/>
      <c r="MSY1" s="9"/>
      <c r="MSZ1" s="9"/>
      <c r="MTA1" s="9"/>
      <c r="MTB1" s="9"/>
      <c r="MTC1" s="9"/>
      <c r="MTD1" s="9"/>
      <c r="MTE1" s="9"/>
      <c r="MTF1" s="9"/>
      <c r="MTG1" s="9"/>
      <c r="MTH1" s="9"/>
      <c r="MTI1" s="9"/>
      <c r="MTJ1" s="9"/>
      <c r="MTK1" s="9"/>
      <c r="MTL1" s="9"/>
      <c r="MTM1" s="9"/>
      <c r="MTN1" s="9"/>
      <c r="MTO1" s="9"/>
      <c r="MTP1" s="9"/>
      <c r="MTQ1" s="9"/>
      <c r="MTR1" s="9"/>
      <c r="MTS1" s="9"/>
      <c r="MTT1" s="9"/>
      <c r="MTU1" s="9"/>
      <c r="MTV1" s="9"/>
      <c r="MTW1" s="9"/>
      <c r="MTX1" s="9"/>
      <c r="MTY1" s="9"/>
      <c r="MTZ1" s="9"/>
      <c r="MUA1" s="9"/>
      <c r="MUB1" s="9"/>
      <c r="MUC1" s="9"/>
      <c r="MUD1" s="9"/>
      <c r="MUE1" s="9"/>
      <c r="MUF1" s="9"/>
      <c r="MUG1" s="9"/>
      <c r="MUH1" s="9"/>
      <c r="MUI1" s="9"/>
      <c r="MUJ1" s="9"/>
      <c r="MUK1" s="9"/>
      <c r="MUL1" s="9"/>
      <c r="MUM1" s="9"/>
      <c r="MUN1" s="9"/>
      <c r="MUO1" s="9"/>
      <c r="MUP1" s="9"/>
      <c r="MUQ1" s="9"/>
      <c r="MUR1" s="9"/>
      <c r="MUS1" s="9"/>
      <c r="MUT1" s="9"/>
      <c r="MUU1" s="9"/>
      <c r="MUV1" s="9"/>
      <c r="MUW1" s="9"/>
      <c r="MUX1" s="9"/>
      <c r="MUY1" s="9"/>
      <c r="MUZ1" s="9"/>
      <c r="MVA1" s="9"/>
      <c r="MVB1" s="9"/>
      <c r="MVC1" s="9"/>
      <c r="MVD1" s="9"/>
      <c r="MVE1" s="9"/>
      <c r="MVF1" s="9"/>
      <c r="MVG1" s="9"/>
      <c r="MVH1" s="9"/>
      <c r="MVI1" s="9"/>
      <c r="MVJ1" s="9"/>
      <c r="MVK1" s="9"/>
      <c r="MVL1" s="9"/>
      <c r="MVM1" s="9"/>
      <c r="MVN1" s="9"/>
      <c r="MVO1" s="9"/>
      <c r="MVP1" s="9"/>
      <c r="MVQ1" s="9"/>
      <c r="MVR1" s="9"/>
      <c r="MVS1" s="9"/>
      <c r="MVT1" s="9"/>
      <c r="MVU1" s="9"/>
      <c r="MVV1" s="9"/>
      <c r="MVW1" s="9"/>
      <c r="MVX1" s="9"/>
      <c r="MVY1" s="9"/>
      <c r="MVZ1" s="9"/>
      <c r="MWA1" s="9"/>
      <c r="MWB1" s="9"/>
      <c r="MWC1" s="9"/>
      <c r="MWD1" s="9"/>
      <c r="MWE1" s="9"/>
      <c r="MWF1" s="9"/>
      <c r="MWG1" s="9"/>
      <c r="MWH1" s="9"/>
      <c r="MWI1" s="9"/>
      <c r="MWJ1" s="9"/>
      <c r="MWK1" s="9"/>
      <c r="MWL1" s="9"/>
      <c r="MWM1" s="9"/>
      <c r="MWN1" s="9"/>
      <c r="MWO1" s="9"/>
      <c r="MWP1" s="9"/>
      <c r="MWQ1" s="9"/>
      <c r="MWR1" s="9"/>
      <c r="MWS1" s="9"/>
      <c r="MWT1" s="9"/>
      <c r="MWU1" s="9"/>
      <c r="MWV1" s="9"/>
      <c r="MWW1" s="9"/>
      <c r="MWX1" s="9"/>
      <c r="MWY1" s="9"/>
      <c r="MWZ1" s="9"/>
      <c r="MXA1" s="9"/>
      <c r="MXB1" s="9"/>
      <c r="MXC1" s="9"/>
      <c r="MXD1" s="9"/>
      <c r="MXE1" s="9"/>
      <c r="MXF1" s="9"/>
      <c r="MXG1" s="9"/>
      <c r="MXH1" s="9"/>
      <c r="MXI1" s="9"/>
      <c r="MXJ1" s="9"/>
      <c r="MXK1" s="9"/>
      <c r="MXL1" s="9"/>
      <c r="MXM1" s="9"/>
      <c r="MXN1" s="9"/>
      <c r="MXO1" s="9"/>
      <c r="MXP1" s="9"/>
      <c r="MXQ1" s="9"/>
      <c r="MXR1" s="9"/>
      <c r="MXS1" s="9"/>
      <c r="MXT1" s="9"/>
      <c r="MXU1" s="9"/>
      <c r="MXV1" s="9"/>
      <c r="MXW1" s="9"/>
      <c r="MXX1" s="9"/>
      <c r="MXY1" s="9"/>
      <c r="MXZ1" s="9"/>
      <c r="MYA1" s="9"/>
      <c r="MYB1" s="9"/>
      <c r="MYC1" s="9"/>
      <c r="MYD1" s="9"/>
      <c r="MYE1" s="9"/>
      <c r="MYF1" s="9"/>
      <c r="MYG1" s="9"/>
      <c r="MYH1" s="9"/>
      <c r="MYI1" s="9"/>
      <c r="MYJ1" s="9"/>
      <c r="MYK1" s="9"/>
      <c r="MYL1" s="9"/>
      <c r="MYM1" s="9"/>
      <c r="MYN1" s="9"/>
      <c r="MYO1" s="9"/>
      <c r="MYP1" s="9"/>
      <c r="MYQ1" s="9"/>
      <c r="MYR1" s="9"/>
      <c r="MYS1" s="9"/>
      <c r="MYT1" s="9"/>
      <c r="MYU1" s="9"/>
      <c r="MYV1" s="9"/>
      <c r="MYW1" s="9"/>
      <c r="MYX1" s="9"/>
      <c r="MYY1" s="9"/>
      <c r="MYZ1" s="9"/>
      <c r="MZA1" s="9"/>
      <c r="MZB1" s="9"/>
      <c r="MZC1" s="9"/>
      <c r="MZD1" s="9"/>
      <c r="MZE1" s="9"/>
      <c r="MZF1" s="9"/>
      <c r="MZG1" s="9"/>
      <c r="MZH1" s="9"/>
      <c r="MZI1" s="9"/>
      <c r="MZJ1" s="9"/>
      <c r="MZK1" s="9"/>
      <c r="MZL1" s="9"/>
      <c r="MZM1" s="9"/>
      <c r="MZN1" s="9"/>
      <c r="MZO1" s="9"/>
      <c r="MZP1" s="9"/>
      <c r="MZQ1" s="9"/>
      <c r="MZR1" s="9"/>
      <c r="MZS1" s="9"/>
      <c r="MZT1" s="9"/>
      <c r="MZU1" s="9"/>
      <c r="MZV1" s="9"/>
      <c r="MZW1" s="9"/>
      <c r="MZX1" s="9"/>
      <c r="MZY1" s="9"/>
      <c r="MZZ1" s="9"/>
      <c r="NAA1" s="9"/>
      <c r="NAB1" s="9"/>
      <c r="NAC1" s="9"/>
      <c r="NAD1" s="9"/>
      <c r="NAE1" s="9"/>
      <c r="NAF1" s="9"/>
      <c r="NAG1" s="9"/>
      <c r="NAH1" s="9"/>
      <c r="NAI1" s="9"/>
      <c r="NAJ1" s="9"/>
      <c r="NAK1" s="9"/>
      <c r="NAL1" s="9"/>
      <c r="NAM1" s="9"/>
      <c r="NAN1" s="9"/>
      <c r="NAO1" s="9"/>
      <c r="NAP1" s="9"/>
      <c r="NAQ1" s="9"/>
      <c r="NAR1" s="9"/>
      <c r="NAS1" s="9"/>
      <c r="NAT1" s="9"/>
      <c r="NAU1" s="9"/>
      <c r="NAV1" s="9"/>
      <c r="NAW1" s="9"/>
      <c r="NAX1" s="9"/>
      <c r="NAY1" s="9"/>
      <c r="NAZ1" s="9"/>
      <c r="NBA1" s="9"/>
      <c r="NBB1" s="9"/>
      <c r="NBC1" s="9"/>
      <c r="NBD1" s="9"/>
      <c r="NBE1" s="9"/>
      <c r="NBF1" s="9"/>
      <c r="NBG1" s="9"/>
      <c r="NBH1" s="9"/>
      <c r="NBI1" s="9"/>
      <c r="NBJ1" s="9"/>
      <c r="NBK1" s="9"/>
      <c r="NBL1" s="9"/>
      <c r="NBM1" s="9"/>
      <c r="NBN1" s="9"/>
      <c r="NBO1" s="9"/>
      <c r="NBP1" s="9"/>
      <c r="NBQ1" s="9"/>
      <c r="NBR1" s="9"/>
      <c r="NBS1" s="9"/>
      <c r="NBT1" s="9"/>
      <c r="NBU1" s="9"/>
      <c r="NBV1" s="9"/>
      <c r="NBW1" s="9"/>
      <c r="NBX1" s="9"/>
      <c r="NBY1" s="9"/>
      <c r="NBZ1" s="9"/>
      <c r="NCA1" s="9"/>
      <c r="NCB1" s="9"/>
      <c r="NCC1" s="9"/>
      <c r="NCD1" s="9"/>
      <c r="NCE1" s="9"/>
      <c r="NCF1" s="9"/>
      <c r="NCG1" s="9"/>
      <c r="NCH1" s="9"/>
      <c r="NCI1" s="9"/>
      <c r="NCJ1" s="9"/>
      <c r="NCK1" s="9"/>
      <c r="NCL1" s="9"/>
      <c r="NCM1" s="9"/>
      <c r="NCN1" s="9"/>
      <c r="NCO1" s="9"/>
      <c r="NCP1" s="9"/>
      <c r="NCQ1" s="9"/>
      <c r="NCR1" s="9"/>
      <c r="NCS1" s="9"/>
      <c r="NCT1" s="9"/>
      <c r="NCU1" s="9"/>
      <c r="NCV1" s="9"/>
      <c r="NCW1" s="9"/>
      <c r="NCX1" s="9"/>
      <c r="NCY1" s="9"/>
      <c r="NCZ1" s="9"/>
      <c r="NDA1" s="9"/>
      <c r="NDB1" s="9"/>
      <c r="NDC1" s="9"/>
      <c r="NDD1" s="9"/>
      <c r="NDE1" s="9"/>
      <c r="NDF1" s="9"/>
      <c r="NDG1" s="9"/>
      <c r="NDH1" s="9"/>
      <c r="NDI1" s="9"/>
      <c r="NDJ1" s="9"/>
      <c r="NDK1" s="9"/>
      <c r="NDL1" s="9"/>
      <c r="NDM1" s="9"/>
      <c r="NDN1" s="9"/>
      <c r="NDO1" s="9"/>
      <c r="NDP1" s="9"/>
      <c r="NDQ1" s="9"/>
      <c r="NDR1" s="9"/>
      <c r="NDS1" s="9"/>
      <c r="NDT1" s="9"/>
      <c r="NDU1" s="9"/>
      <c r="NDV1" s="9"/>
      <c r="NDW1" s="9"/>
      <c r="NDX1" s="9"/>
      <c r="NDY1" s="9"/>
      <c r="NDZ1" s="9"/>
      <c r="NEA1" s="9"/>
      <c r="NEB1" s="9"/>
      <c r="NEC1" s="9"/>
      <c r="NED1" s="9"/>
      <c r="NEE1" s="9"/>
      <c r="NEF1" s="9"/>
      <c r="NEG1" s="9"/>
      <c r="NEH1" s="9"/>
      <c r="NEI1" s="9"/>
      <c r="NEJ1" s="9"/>
      <c r="NEK1" s="9"/>
      <c r="NEL1" s="9"/>
      <c r="NEM1" s="9"/>
      <c r="NEN1" s="9"/>
      <c r="NEO1" s="9"/>
      <c r="NEP1" s="9"/>
      <c r="NEQ1" s="9"/>
      <c r="NER1" s="9"/>
      <c r="NES1" s="9"/>
      <c r="NET1" s="9"/>
      <c r="NEU1" s="9"/>
      <c r="NEV1" s="9"/>
      <c r="NEW1" s="9"/>
      <c r="NEX1" s="9"/>
      <c r="NEY1" s="9"/>
      <c r="NEZ1" s="9"/>
      <c r="NFA1" s="9"/>
      <c r="NFB1" s="9"/>
      <c r="NFC1" s="9"/>
      <c r="NFD1" s="9"/>
      <c r="NFE1" s="9"/>
      <c r="NFF1" s="9"/>
      <c r="NFG1" s="9"/>
      <c r="NFH1" s="9"/>
      <c r="NFI1" s="9"/>
      <c r="NFJ1" s="9"/>
      <c r="NFK1" s="9"/>
      <c r="NFL1" s="9"/>
      <c r="NFM1" s="9"/>
      <c r="NFN1" s="9"/>
      <c r="NFO1" s="9"/>
      <c r="NFP1" s="9"/>
      <c r="NFQ1" s="9"/>
      <c r="NFR1" s="9"/>
      <c r="NFS1" s="9"/>
      <c r="NFT1" s="9"/>
      <c r="NFU1" s="9"/>
      <c r="NFV1" s="9"/>
      <c r="NFW1" s="9"/>
      <c r="NFX1" s="9"/>
      <c r="NFY1" s="9"/>
      <c r="NFZ1" s="9"/>
      <c r="NGA1" s="9"/>
      <c r="NGB1" s="9"/>
      <c r="NGC1" s="9"/>
      <c r="NGD1" s="9"/>
      <c r="NGE1" s="9"/>
      <c r="NGF1" s="9"/>
      <c r="NGG1" s="9"/>
      <c r="NGH1" s="9"/>
      <c r="NGI1" s="9"/>
      <c r="NGJ1" s="9"/>
      <c r="NGK1" s="9"/>
      <c r="NGL1" s="9"/>
      <c r="NGM1" s="9"/>
      <c r="NGN1" s="9"/>
      <c r="NGO1" s="9"/>
      <c r="NGP1" s="9"/>
      <c r="NGQ1" s="9"/>
      <c r="NGR1" s="9"/>
      <c r="NGS1" s="9"/>
      <c r="NGT1" s="9"/>
      <c r="NGU1" s="9"/>
      <c r="NGV1" s="9"/>
      <c r="NGW1" s="9"/>
      <c r="NGX1" s="9"/>
      <c r="NGY1" s="9"/>
      <c r="NGZ1" s="9"/>
      <c r="NHA1" s="9"/>
      <c r="NHB1" s="9"/>
      <c r="NHC1" s="9"/>
      <c r="NHD1" s="9"/>
      <c r="NHE1" s="9"/>
      <c r="NHF1" s="9"/>
      <c r="NHG1" s="9"/>
      <c r="NHH1" s="9"/>
      <c r="NHI1" s="9"/>
      <c r="NHJ1" s="9"/>
      <c r="NHK1" s="9"/>
      <c r="NHL1" s="9"/>
      <c r="NHM1" s="9"/>
      <c r="NHN1" s="9"/>
      <c r="NHO1" s="9"/>
      <c r="NHP1" s="9"/>
      <c r="NHQ1" s="9"/>
      <c r="NHR1" s="9"/>
      <c r="NHS1" s="9"/>
      <c r="NHT1" s="9"/>
      <c r="NHU1" s="9"/>
      <c r="NHV1" s="9"/>
      <c r="NHW1" s="9"/>
      <c r="NHX1" s="9"/>
      <c r="NHY1" s="9"/>
      <c r="NHZ1" s="9"/>
      <c r="NIA1" s="9"/>
      <c r="NIB1" s="9"/>
      <c r="NIC1" s="9"/>
      <c r="NID1" s="9"/>
      <c r="NIE1" s="9"/>
      <c r="NIF1" s="9"/>
      <c r="NIG1" s="9"/>
      <c r="NIH1" s="9"/>
      <c r="NII1" s="9"/>
      <c r="NIJ1" s="9"/>
      <c r="NIK1" s="9"/>
      <c r="NIL1" s="9"/>
      <c r="NIM1" s="9"/>
      <c r="NIN1" s="9"/>
      <c r="NIO1" s="9"/>
      <c r="NIP1" s="9"/>
      <c r="NIQ1" s="9"/>
      <c r="NIR1" s="9"/>
      <c r="NIS1" s="9"/>
      <c r="NIT1" s="9"/>
      <c r="NIU1" s="9"/>
      <c r="NIV1" s="9"/>
      <c r="NIW1" s="9"/>
      <c r="NIX1" s="9"/>
      <c r="NIY1" s="9"/>
      <c r="NIZ1" s="9"/>
      <c r="NJA1" s="9"/>
      <c r="NJB1" s="9"/>
      <c r="NJC1" s="9"/>
      <c r="NJD1" s="9"/>
      <c r="NJE1" s="9"/>
      <c r="NJF1" s="9"/>
      <c r="NJG1" s="9"/>
      <c r="NJH1" s="9"/>
      <c r="NJI1" s="9"/>
      <c r="NJJ1" s="9"/>
      <c r="NJK1" s="9"/>
      <c r="NJL1" s="9"/>
      <c r="NJM1" s="9"/>
      <c r="NJN1" s="9"/>
      <c r="NJO1" s="9"/>
      <c r="NJP1" s="9"/>
      <c r="NJQ1" s="9"/>
      <c r="NJR1" s="9"/>
      <c r="NJS1" s="9"/>
      <c r="NJT1" s="9"/>
      <c r="NJU1" s="9"/>
      <c r="NJV1" s="9"/>
      <c r="NJW1" s="9"/>
      <c r="NJX1" s="9"/>
      <c r="NJY1" s="9"/>
      <c r="NJZ1" s="9"/>
      <c r="NKA1" s="9"/>
      <c r="NKB1" s="9"/>
      <c r="NKC1" s="9"/>
      <c r="NKD1" s="9"/>
      <c r="NKE1" s="9"/>
      <c r="NKF1" s="9"/>
      <c r="NKG1" s="9"/>
      <c r="NKH1" s="9"/>
      <c r="NKI1" s="9"/>
      <c r="NKJ1" s="9"/>
      <c r="NKK1" s="9"/>
      <c r="NKL1" s="9"/>
      <c r="NKM1" s="9"/>
      <c r="NKN1" s="9"/>
      <c r="NKO1" s="9"/>
      <c r="NKP1" s="9"/>
      <c r="NKQ1" s="9"/>
      <c r="NKR1" s="9"/>
      <c r="NKS1" s="9"/>
      <c r="NKT1" s="9"/>
      <c r="NKU1" s="9"/>
      <c r="NKV1" s="9"/>
      <c r="NKW1" s="9"/>
      <c r="NKX1" s="9"/>
      <c r="NKY1" s="9"/>
      <c r="NKZ1" s="9"/>
      <c r="NLA1" s="9"/>
      <c r="NLB1" s="9"/>
      <c r="NLC1" s="9"/>
      <c r="NLD1" s="9"/>
      <c r="NLE1" s="9"/>
      <c r="NLF1" s="9"/>
      <c r="NLG1" s="9"/>
      <c r="NLH1" s="9"/>
      <c r="NLI1" s="9"/>
      <c r="NLJ1" s="9"/>
      <c r="NLK1" s="9"/>
      <c r="NLL1" s="9"/>
      <c r="NLM1" s="9"/>
      <c r="NLN1" s="9"/>
      <c r="NLO1" s="9"/>
      <c r="NLP1" s="9"/>
      <c r="NLQ1" s="9"/>
      <c r="NLR1" s="9"/>
      <c r="NLS1" s="9"/>
      <c r="NLT1" s="9"/>
      <c r="NLU1" s="9"/>
      <c r="NLV1" s="9"/>
      <c r="NLW1" s="9"/>
      <c r="NLX1" s="9"/>
      <c r="NLY1" s="9"/>
      <c r="NLZ1" s="9"/>
      <c r="NMA1" s="9"/>
      <c r="NMB1" s="9"/>
      <c r="NMC1" s="9"/>
      <c r="NMD1" s="9"/>
      <c r="NME1" s="9"/>
      <c r="NMF1" s="9"/>
      <c r="NMG1" s="9"/>
      <c r="NMH1" s="9"/>
      <c r="NMI1" s="9"/>
      <c r="NMJ1" s="9"/>
      <c r="NMK1" s="9"/>
      <c r="NML1" s="9"/>
      <c r="NMM1" s="9"/>
      <c r="NMN1" s="9"/>
      <c r="NMO1" s="9"/>
      <c r="NMP1" s="9"/>
      <c r="NMQ1" s="9"/>
      <c r="NMR1" s="9"/>
      <c r="NMS1" s="9"/>
      <c r="NMT1" s="9"/>
      <c r="NMU1" s="9"/>
      <c r="NMV1" s="9"/>
      <c r="NMW1" s="9"/>
      <c r="NMX1" s="9"/>
      <c r="NMY1" s="9"/>
      <c r="NMZ1" s="9"/>
      <c r="NNA1" s="9"/>
      <c r="NNB1" s="9"/>
      <c r="NNC1" s="9"/>
      <c r="NND1" s="9"/>
      <c r="NNE1" s="9"/>
      <c r="NNF1" s="9"/>
      <c r="NNG1" s="9"/>
      <c r="NNH1" s="9"/>
      <c r="NNI1" s="9"/>
      <c r="NNJ1" s="9"/>
      <c r="NNK1" s="9"/>
      <c r="NNL1" s="9"/>
      <c r="NNM1" s="9"/>
      <c r="NNN1" s="9"/>
      <c r="NNO1" s="9"/>
      <c r="NNP1" s="9"/>
      <c r="NNQ1" s="9"/>
      <c r="NNR1" s="9"/>
      <c r="NNS1" s="9"/>
      <c r="NNT1" s="9"/>
      <c r="NNU1" s="9"/>
      <c r="NNV1" s="9"/>
      <c r="NNW1" s="9"/>
      <c r="NNX1" s="9"/>
      <c r="NNY1" s="9"/>
      <c r="NNZ1" s="9"/>
      <c r="NOA1" s="9"/>
      <c r="NOB1" s="9"/>
      <c r="NOC1" s="9"/>
      <c r="NOD1" s="9"/>
      <c r="NOE1" s="9"/>
      <c r="NOF1" s="9"/>
      <c r="NOG1" s="9"/>
      <c r="NOH1" s="9"/>
      <c r="NOI1" s="9"/>
      <c r="NOJ1" s="9"/>
      <c r="NOK1" s="9"/>
      <c r="NOL1" s="9"/>
      <c r="NOM1" s="9"/>
      <c r="NON1" s="9"/>
      <c r="NOO1" s="9"/>
      <c r="NOP1" s="9"/>
      <c r="NOQ1" s="9"/>
      <c r="NOR1" s="9"/>
      <c r="NOS1" s="9"/>
      <c r="NOT1" s="9"/>
      <c r="NOU1" s="9"/>
      <c r="NOV1" s="9"/>
      <c r="NOW1" s="9"/>
      <c r="NOX1" s="9"/>
      <c r="NOY1" s="9"/>
      <c r="NOZ1" s="9"/>
      <c r="NPA1" s="9"/>
      <c r="NPB1" s="9"/>
      <c r="NPC1" s="9"/>
      <c r="NPD1" s="9"/>
      <c r="NPE1" s="9"/>
      <c r="NPF1" s="9"/>
      <c r="NPG1" s="9"/>
      <c r="NPH1" s="9"/>
      <c r="NPI1" s="9"/>
      <c r="NPJ1" s="9"/>
      <c r="NPK1" s="9"/>
      <c r="NPL1" s="9"/>
      <c r="NPM1" s="9"/>
      <c r="NPN1" s="9"/>
      <c r="NPO1" s="9"/>
      <c r="NPP1" s="9"/>
      <c r="NPQ1" s="9"/>
      <c r="NPR1" s="9"/>
      <c r="NPS1" s="9"/>
      <c r="NPT1" s="9"/>
      <c r="NPU1" s="9"/>
      <c r="NPV1" s="9"/>
      <c r="NPW1" s="9"/>
      <c r="NPX1" s="9"/>
      <c r="NPY1" s="9"/>
      <c r="NPZ1" s="9"/>
      <c r="NQA1" s="9"/>
      <c r="NQB1" s="9"/>
      <c r="NQC1" s="9"/>
      <c r="NQD1" s="9"/>
      <c r="NQE1" s="9"/>
      <c r="NQF1" s="9"/>
      <c r="NQG1" s="9"/>
      <c r="NQH1" s="9"/>
      <c r="NQI1" s="9"/>
      <c r="NQJ1" s="9"/>
      <c r="NQK1" s="9"/>
      <c r="NQL1" s="9"/>
      <c r="NQM1" s="9"/>
      <c r="NQN1" s="9"/>
      <c r="NQO1" s="9"/>
      <c r="NQP1" s="9"/>
      <c r="NQQ1" s="9"/>
      <c r="NQR1" s="9"/>
      <c r="NQS1" s="9"/>
      <c r="NQT1" s="9"/>
      <c r="NQU1" s="9"/>
      <c r="NQV1" s="9"/>
      <c r="NQW1" s="9"/>
      <c r="NQX1" s="9"/>
      <c r="NQY1" s="9"/>
      <c r="NQZ1" s="9"/>
      <c r="NRA1" s="9"/>
      <c r="NRB1" s="9"/>
      <c r="NRC1" s="9"/>
      <c r="NRD1" s="9"/>
      <c r="NRE1" s="9"/>
      <c r="NRF1" s="9"/>
      <c r="NRG1" s="9"/>
      <c r="NRH1" s="9"/>
      <c r="NRI1" s="9"/>
      <c r="NRJ1" s="9"/>
      <c r="NRK1" s="9"/>
      <c r="NRL1" s="9"/>
      <c r="NRM1" s="9"/>
      <c r="NRN1" s="9"/>
      <c r="NRO1" s="9"/>
      <c r="NRP1" s="9"/>
      <c r="NRQ1" s="9"/>
      <c r="NRR1" s="9"/>
      <c r="NRS1" s="9"/>
      <c r="NRT1" s="9"/>
      <c r="NRU1" s="9"/>
      <c r="NRV1" s="9"/>
      <c r="NRW1" s="9"/>
      <c r="NRX1" s="9"/>
      <c r="NRY1" s="9"/>
      <c r="NRZ1" s="9"/>
      <c r="NSA1" s="9"/>
      <c r="NSB1" s="9"/>
      <c r="NSC1" s="9"/>
      <c r="NSD1" s="9"/>
      <c r="NSE1" s="9"/>
      <c r="NSF1" s="9"/>
      <c r="NSG1" s="9"/>
      <c r="NSH1" s="9"/>
      <c r="NSI1" s="9"/>
      <c r="NSJ1" s="9"/>
      <c r="NSK1" s="9"/>
      <c r="NSL1" s="9"/>
      <c r="NSM1" s="9"/>
      <c r="NSN1" s="9"/>
      <c r="NSO1" s="9"/>
      <c r="NSP1" s="9"/>
      <c r="NSQ1" s="9"/>
      <c r="NSR1" s="9"/>
      <c r="NSS1" s="9"/>
      <c r="NST1" s="9"/>
      <c r="NSU1" s="9"/>
      <c r="NSV1" s="9"/>
      <c r="NSW1" s="9"/>
      <c r="NSX1" s="9"/>
      <c r="NSY1" s="9"/>
      <c r="NSZ1" s="9"/>
      <c r="NTA1" s="9"/>
      <c r="NTB1" s="9"/>
      <c r="NTC1" s="9"/>
      <c r="NTD1" s="9"/>
      <c r="NTE1" s="9"/>
      <c r="NTF1" s="9"/>
      <c r="NTG1" s="9"/>
      <c r="NTH1" s="9"/>
      <c r="NTI1" s="9"/>
      <c r="NTJ1" s="9"/>
      <c r="NTK1" s="9"/>
      <c r="NTL1" s="9"/>
      <c r="NTM1" s="9"/>
      <c r="NTN1" s="9"/>
      <c r="NTO1" s="9"/>
      <c r="NTP1" s="9"/>
      <c r="NTQ1" s="9"/>
      <c r="NTR1" s="9"/>
      <c r="NTS1" s="9"/>
      <c r="NTT1" s="9"/>
      <c r="NTU1" s="9"/>
      <c r="NTV1" s="9"/>
      <c r="NTW1" s="9"/>
      <c r="NTX1" s="9"/>
      <c r="NTY1" s="9"/>
      <c r="NTZ1" s="9"/>
      <c r="NUA1" s="9"/>
      <c r="NUB1" s="9"/>
      <c r="NUC1" s="9"/>
      <c r="NUD1" s="9"/>
      <c r="NUE1" s="9"/>
      <c r="NUF1" s="9"/>
      <c r="NUG1" s="9"/>
      <c r="NUH1" s="9"/>
      <c r="NUI1" s="9"/>
      <c r="NUJ1" s="9"/>
      <c r="NUK1" s="9"/>
      <c r="NUL1" s="9"/>
      <c r="NUM1" s="9"/>
      <c r="NUN1" s="9"/>
      <c r="NUO1" s="9"/>
      <c r="NUP1" s="9"/>
      <c r="NUQ1" s="9"/>
      <c r="NUR1" s="9"/>
      <c r="NUS1" s="9"/>
      <c r="NUT1" s="9"/>
      <c r="NUU1" s="9"/>
      <c r="NUV1" s="9"/>
      <c r="NUW1" s="9"/>
      <c r="NUX1" s="9"/>
      <c r="NUY1" s="9"/>
      <c r="NUZ1" s="9"/>
      <c r="NVA1" s="9"/>
      <c r="NVB1" s="9"/>
      <c r="NVC1" s="9"/>
      <c r="NVD1" s="9"/>
      <c r="NVE1" s="9"/>
      <c r="NVF1" s="9"/>
      <c r="NVG1" s="9"/>
      <c r="NVH1" s="9"/>
      <c r="NVI1" s="9"/>
      <c r="NVJ1" s="9"/>
      <c r="NVK1" s="9"/>
      <c r="NVL1" s="9"/>
      <c r="NVM1" s="9"/>
      <c r="NVN1" s="9"/>
      <c r="NVO1" s="9"/>
      <c r="NVP1" s="9"/>
      <c r="NVQ1" s="9"/>
      <c r="NVR1" s="9"/>
      <c r="NVS1" s="9"/>
      <c r="NVT1" s="9"/>
      <c r="NVU1" s="9"/>
      <c r="NVV1" s="9"/>
      <c r="NVW1" s="9"/>
      <c r="NVX1" s="9"/>
      <c r="NVY1" s="9"/>
      <c r="NVZ1" s="9"/>
      <c r="NWA1" s="9"/>
      <c r="NWB1" s="9"/>
      <c r="NWC1" s="9"/>
      <c r="NWD1" s="9"/>
      <c r="NWE1" s="9"/>
      <c r="NWF1" s="9"/>
      <c r="NWG1" s="9"/>
      <c r="NWH1" s="9"/>
      <c r="NWI1" s="9"/>
      <c r="NWJ1" s="9"/>
      <c r="NWK1" s="9"/>
      <c r="NWL1" s="9"/>
      <c r="NWM1" s="9"/>
      <c r="NWN1" s="9"/>
      <c r="NWO1" s="9"/>
      <c r="NWP1" s="9"/>
      <c r="NWQ1" s="9"/>
      <c r="NWR1" s="9"/>
      <c r="NWS1" s="9"/>
      <c r="NWT1" s="9"/>
      <c r="NWU1" s="9"/>
      <c r="NWV1" s="9"/>
      <c r="NWW1" s="9"/>
      <c r="NWX1" s="9"/>
      <c r="NWY1" s="9"/>
      <c r="NWZ1" s="9"/>
      <c r="NXA1" s="9"/>
      <c r="NXB1" s="9"/>
      <c r="NXC1" s="9"/>
      <c r="NXD1" s="9"/>
      <c r="NXE1" s="9"/>
      <c r="NXF1" s="9"/>
      <c r="NXG1" s="9"/>
      <c r="NXH1" s="9"/>
      <c r="NXI1" s="9"/>
      <c r="NXJ1" s="9"/>
      <c r="NXK1" s="9"/>
      <c r="NXL1" s="9"/>
      <c r="NXM1" s="9"/>
      <c r="NXN1" s="9"/>
      <c r="NXO1" s="9"/>
      <c r="NXP1" s="9"/>
      <c r="NXQ1" s="9"/>
      <c r="NXR1" s="9"/>
      <c r="NXS1" s="9"/>
      <c r="NXT1" s="9"/>
      <c r="NXU1" s="9"/>
      <c r="NXV1" s="9"/>
      <c r="NXW1" s="9"/>
      <c r="NXX1" s="9"/>
      <c r="NXY1" s="9"/>
      <c r="NXZ1" s="9"/>
      <c r="NYA1" s="9"/>
      <c r="NYB1" s="9"/>
      <c r="NYC1" s="9"/>
      <c r="NYD1" s="9"/>
      <c r="NYE1" s="9"/>
      <c r="NYF1" s="9"/>
      <c r="NYG1" s="9"/>
      <c r="NYH1" s="9"/>
      <c r="NYI1" s="9"/>
      <c r="NYJ1" s="9"/>
      <c r="NYK1" s="9"/>
      <c r="NYL1" s="9"/>
      <c r="NYM1" s="9"/>
      <c r="NYN1" s="9"/>
      <c r="NYO1" s="9"/>
      <c r="NYP1" s="9"/>
      <c r="NYQ1" s="9"/>
      <c r="NYR1" s="9"/>
      <c r="NYS1" s="9"/>
      <c r="NYT1" s="9"/>
      <c r="NYU1" s="9"/>
      <c r="NYV1" s="9"/>
      <c r="NYW1" s="9"/>
      <c r="NYX1" s="9"/>
      <c r="NYY1" s="9"/>
      <c r="NYZ1" s="9"/>
      <c r="NZA1" s="9"/>
      <c r="NZB1" s="9"/>
      <c r="NZC1" s="9"/>
      <c r="NZD1" s="9"/>
      <c r="NZE1" s="9"/>
      <c r="NZF1" s="9"/>
      <c r="NZG1" s="9"/>
      <c r="NZH1" s="9"/>
      <c r="NZI1" s="9"/>
      <c r="NZJ1" s="9"/>
      <c r="NZK1" s="9"/>
      <c r="NZL1" s="9"/>
      <c r="NZM1" s="9"/>
      <c r="NZN1" s="9"/>
      <c r="NZO1" s="9"/>
      <c r="NZP1" s="9"/>
      <c r="NZQ1" s="9"/>
      <c r="NZR1" s="9"/>
      <c r="NZS1" s="9"/>
      <c r="NZT1" s="9"/>
      <c r="NZU1" s="9"/>
      <c r="NZV1" s="9"/>
      <c r="NZW1" s="9"/>
      <c r="NZX1" s="9"/>
      <c r="NZY1" s="9"/>
      <c r="NZZ1" s="9"/>
      <c r="OAA1" s="9"/>
      <c r="OAB1" s="9"/>
      <c r="OAC1" s="9"/>
      <c r="OAD1" s="9"/>
      <c r="OAE1" s="9"/>
      <c r="OAF1" s="9"/>
      <c r="OAG1" s="9"/>
      <c r="OAH1" s="9"/>
      <c r="OAI1" s="9"/>
      <c r="OAJ1" s="9"/>
      <c r="OAK1" s="9"/>
      <c r="OAL1" s="9"/>
      <c r="OAM1" s="9"/>
      <c r="OAN1" s="9"/>
      <c r="OAO1" s="9"/>
      <c r="OAP1" s="9"/>
      <c r="OAQ1" s="9"/>
      <c r="OAR1" s="9"/>
      <c r="OAS1" s="9"/>
      <c r="OAT1" s="9"/>
      <c r="OAU1" s="9"/>
      <c r="OAV1" s="9"/>
      <c r="OAW1" s="9"/>
      <c r="OAX1" s="9"/>
      <c r="OAY1" s="9"/>
      <c r="OAZ1" s="9"/>
      <c r="OBA1" s="9"/>
      <c r="OBB1" s="9"/>
      <c r="OBC1" s="9"/>
      <c r="OBD1" s="9"/>
      <c r="OBE1" s="9"/>
      <c r="OBF1" s="9"/>
      <c r="OBG1" s="9"/>
      <c r="OBH1" s="9"/>
      <c r="OBI1" s="9"/>
      <c r="OBJ1" s="9"/>
      <c r="OBK1" s="9"/>
      <c r="OBL1" s="9"/>
      <c r="OBM1" s="9"/>
      <c r="OBN1" s="9"/>
      <c r="OBO1" s="9"/>
      <c r="OBP1" s="9"/>
      <c r="OBQ1" s="9"/>
      <c r="OBR1" s="9"/>
      <c r="OBS1" s="9"/>
      <c r="OBT1" s="9"/>
      <c r="OBU1" s="9"/>
      <c r="OBV1" s="9"/>
      <c r="OBW1" s="9"/>
      <c r="OBX1" s="9"/>
      <c r="OBY1" s="9"/>
      <c r="OBZ1" s="9"/>
      <c r="OCA1" s="9"/>
      <c r="OCB1" s="9"/>
      <c r="OCC1" s="9"/>
      <c r="OCD1" s="9"/>
      <c r="OCE1" s="9"/>
      <c r="OCF1" s="9"/>
      <c r="OCG1" s="9"/>
      <c r="OCH1" s="9"/>
      <c r="OCI1" s="9"/>
      <c r="OCJ1" s="9"/>
      <c r="OCK1" s="9"/>
      <c r="OCL1" s="9"/>
      <c r="OCM1" s="9"/>
      <c r="OCN1" s="9"/>
      <c r="OCO1" s="9"/>
      <c r="OCP1" s="9"/>
      <c r="OCQ1" s="9"/>
      <c r="OCR1" s="9"/>
      <c r="OCS1" s="9"/>
      <c r="OCT1" s="9"/>
      <c r="OCU1" s="9"/>
      <c r="OCV1" s="9"/>
      <c r="OCW1" s="9"/>
      <c r="OCX1" s="9"/>
      <c r="OCY1" s="9"/>
      <c r="OCZ1" s="9"/>
      <c r="ODA1" s="9"/>
      <c r="ODB1" s="9"/>
      <c r="ODC1" s="9"/>
      <c r="ODD1" s="9"/>
      <c r="ODE1" s="9"/>
      <c r="ODF1" s="9"/>
      <c r="ODG1" s="9"/>
      <c r="ODH1" s="9"/>
      <c r="ODI1" s="9"/>
      <c r="ODJ1" s="9"/>
      <c r="ODK1" s="9"/>
      <c r="ODL1" s="9"/>
      <c r="ODM1" s="9"/>
      <c r="ODN1" s="9"/>
      <c r="ODO1" s="9"/>
      <c r="ODP1" s="9"/>
      <c r="ODQ1" s="9"/>
      <c r="ODR1" s="9"/>
      <c r="ODS1" s="9"/>
      <c r="ODT1" s="9"/>
      <c r="ODU1" s="9"/>
      <c r="ODV1" s="9"/>
      <c r="ODW1" s="9"/>
      <c r="ODX1" s="9"/>
      <c r="ODY1" s="9"/>
      <c r="ODZ1" s="9"/>
      <c r="OEA1" s="9"/>
      <c r="OEB1" s="9"/>
      <c r="OEC1" s="9"/>
      <c r="OED1" s="9"/>
      <c r="OEE1" s="9"/>
      <c r="OEF1" s="9"/>
      <c r="OEG1" s="9"/>
      <c r="OEH1" s="9"/>
      <c r="OEI1" s="9"/>
      <c r="OEJ1" s="9"/>
      <c r="OEK1" s="9"/>
      <c r="OEL1" s="9"/>
      <c r="OEM1" s="9"/>
      <c r="OEN1" s="9"/>
      <c r="OEO1" s="9"/>
      <c r="OEP1" s="9"/>
      <c r="OEQ1" s="9"/>
      <c r="OER1" s="9"/>
      <c r="OES1" s="9"/>
      <c r="OET1" s="9"/>
      <c r="OEU1" s="9"/>
      <c r="OEV1" s="9"/>
      <c r="OEW1" s="9"/>
      <c r="OEX1" s="9"/>
      <c r="OEY1" s="9"/>
      <c r="OEZ1" s="9"/>
      <c r="OFA1" s="9"/>
      <c r="OFB1" s="9"/>
      <c r="OFC1" s="9"/>
      <c r="OFD1" s="9"/>
      <c r="OFE1" s="9"/>
      <c r="OFF1" s="9"/>
      <c r="OFG1" s="9"/>
      <c r="OFH1" s="9"/>
      <c r="OFI1" s="9"/>
      <c r="OFJ1" s="9"/>
      <c r="OFK1" s="9"/>
      <c r="OFL1" s="9"/>
      <c r="OFM1" s="9"/>
      <c r="OFN1" s="9"/>
      <c r="OFO1" s="9"/>
      <c r="OFP1" s="9"/>
      <c r="OFQ1" s="9"/>
      <c r="OFR1" s="9"/>
      <c r="OFS1" s="9"/>
      <c r="OFT1" s="9"/>
      <c r="OFU1" s="9"/>
      <c r="OFV1" s="9"/>
      <c r="OFW1" s="9"/>
      <c r="OFX1" s="9"/>
      <c r="OFY1" s="9"/>
      <c r="OFZ1" s="9"/>
      <c r="OGA1" s="9"/>
      <c r="OGB1" s="9"/>
      <c r="OGC1" s="9"/>
      <c r="OGD1" s="9"/>
      <c r="OGE1" s="9"/>
      <c r="OGF1" s="9"/>
      <c r="OGG1" s="9"/>
      <c r="OGH1" s="9"/>
      <c r="OGI1" s="9"/>
      <c r="OGJ1" s="9"/>
      <c r="OGK1" s="9"/>
      <c r="OGL1" s="9"/>
      <c r="OGM1" s="9"/>
      <c r="OGN1" s="9"/>
      <c r="OGO1" s="9"/>
      <c r="OGP1" s="9"/>
      <c r="OGQ1" s="9"/>
      <c r="OGR1" s="9"/>
      <c r="OGS1" s="9"/>
      <c r="OGT1" s="9"/>
      <c r="OGU1" s="9"/>
      <c r="OGV1" s="9"/>
      <c r="OGW1" s="9"/>
      <c r="OGX1" s="9"/>
      <c r="OGY1" s="9"/>
      <c r="OGZ1" s="9"/>
      <c r="OHA1" s="9"/>
      <c r="OHB1" s="9"/>
      <c r="OHC1" s="9"/>
      <c r="OHD1" s="9"/>
      <c r="OHE1" s="9"/>
      <c r="OHF1" s="9"/>
      <c r="OHG1" s="9"/>
      <c r="OHH1" s="9"/>
      <c r="OHI1" s="9"/>
      <c r="OHJ1" s="9"/>
      <c r="OHK1" s="9"/>
      <c r="OHL1" s="9"/>
      <c r="OHM1" s="9"/>
      <c r="OHN1" s="9"/>
      <c r="OHO1" s="9"/>
      <c r="OHP1" s="9"/>
      <c r="OHQ1" s="9"/>
      <c r="OHR1" s="9"/>
      <c r="OHS1" s="9"/>
      <c r="OHT1" s="9"/>
      <c r="OHU1" s="9"/>
      <c r="OHV1" s="9"/>
      <c r="OHW1" s="9"/>
      <c r="OHX1" s="9"/>
      <c r="OHY1" s="9"/>
      <c r="OHZ1" s="9"/>
      <c r="OIA1" s="9"/>
      <c r="OIB1" s="9"/>
      <c r="OIC1" s="9"/>
      <c r="OID1" s="9"/>
      <c r="OIE1" s="9"/>
      <c r="OIF1" s="9"/>
      <c r="OIG1" s="9"/>
      <c r="OIH1" s="9"/>
      <c r="OII1" s="9"/>
      <c r="OIJ1" s="9"/>
      <c r="OIK1" s="9"/>
      <c r="OIL1" s="9"/>
      <c r="OIM1" s="9"/>
      <c r="OIN1" s="9"/>
      <c r="OIO1" s="9"/>
      <c r="OIP1" s="9"/>
      <c r="OIQ1" s="9"/>
      <c r="OIR1" s="9"/>
      <c r="OIS1" s="9"/>
      <c r="OIT1" s="9"/>
      <c r="OIU1" s="9"/>
      <c r="OIV1" s="9"/>
      <c r="OIW1" s="9"/>
      <c r="OIX1" s="9"/>
      <c r="OIY1" s="9"/>
      <c r="OIZ1" s="9"/>
      <c r="OJA1" s="9"/>
      <c r="OJB1" s="9"/>
      <c r="OJC1" s="9"/>
      <c r="OJD1" s="9"/>
      <c r="OJE1" s="9"/>
      <c r="OJF1" s="9"/>
      <c r="OJG1" s="9"/>
      <c r="OJH1" s="9"/>
      <c r="OJI1" s="9"/>
      <c r="OJJ1" s="9"/>
      <c r="OJK1" s="9"/>
      <c r="OJL1" s="9"/>
      <c r="OJM1" s="9"/>
      <c r="OJN1" s="9"/>
      <c r="OJO1" s="9"/>
      <c r="OJP1" s="9"/>
      <c r="OJQ1" s="9"/>
      <c r="OJR1" s="9"/>
      <c r="OJS1" s="9"/>
      <c r="OJT1" s="9"/>
      <c r="OJU1" s="9"/>
      <c r="OJV1" s="9"/>
      <c r="OJW1" s="9"/>
      <c r="OJX1" s="9"/>
      <c r="OJY1" s="9"/>
      <c r="OJZ1" s="9"/>
      <c r="OKA1" s="9"/>
      <c r="OKB1" s="9"/>
      <c r="OKC1" s="9"/>
      <c r="OKD1" s="9"/>
      <c r="OKE1" s="9"/>
      <c r="OKF1" s="9"/>
      <c r="OKG1" s="9"/>
      <c r="OKH1" s="9"/>
      <c r="OKI1" s="9"/>
      <c r="OKJ1" s="9"/>
      <c r="OKK1" s="9"/>
      <c r="OKL1" s="9"/>
      <c r="OKM1" s="9"/>
      <c r="OKN1" s="9"/>
      <c r="OKO1" s="9"/>
      <c r="OKP1" s="9"/>
      <c r="OKQ1" s="9"/>
      <c r="OKR1" s="9"/>
      <c r="OKS1" s="9"/>
      <c r="OKT1" s="9"/>
      <c r="OKU1" s="9"/>
      <c r="OKV1" s="9"/>
      <c r="OKW1" s="9"/>
      <c r="OKX1" s="9"/>
      <c r="OKY1" s="9"/>
      <c r="OKZ1" s="9"/>
      <c r="OLA1" s="9"/>
      <c r="OLB1" s="9"/>
      <c r="OLC1" s="9"/>
      <c r="OLD1" s="9"/>
      <c r="OLE1" s="9"/>
      <c r="OLF1" s="9"/>
      <c r="OLG1" s="9"/>
      <c r="OLH1" s="9"/>
      <c r="OLI1" s="9"/>
      <c r="OLJ1" s="9"/>
      <c r="OLK1" s="9"/>
      <c r="OLL1" s="9"/>
      <c r="OLM1" s="9"/>
      <c r="OLN1" s="9"/>
      <c r="OLO1" s="9"/>
      <c r="OLP1" s="9"/>
      <c r="OLQ1" s="9"/>
      <c r="OLR1" s="9"/>
      <c r="OLS1" s="9"/>
      <c r="OLT1" s="9"/>
      <c r="OLU1" s="9"/>
      <c r="OLV1" s="9"/>
      <c r="OLW1" s="9"/>
      <c r="OLX1" s="9"/>
      <c r="OLY1" s="9"/>
      <c r="OLZ1" s="9"/>
      <c r="OMA1" s="9"/>
      <c r="OMB1" s="9"/>
      <c r="OMC1" s="9"/>
      <c r="OMD1" s="9"/>
      <c r="OME1" s="9"/>
      <c r="OMF1" s="9"/>
      <c r="OMG1" s="9"/>
      <c r="OMH1" s="9"/>
      <c r="OMI1" s="9"/>
      <c r="OMJ1" s="9"/>
      <c r="OMK1" s="9"/>
      <c r="OML1" s="9"/>
      <c r="OMM1" s="9"/>
      <c r="OMN1" s="9"/>
      <c r="OMO1" s="9"/>
      <c r="OMP1" s="9"/>
      <c r="OMQ1" s="9"/>
      <c r="OMR1" s="9"/>
      <c r="OMS1" s="9"/>
      <c r="OMT1" s="9"/>
      <c r="OMU1" s="9"/>
      <c r="OMV1" s="9"/>
      <c r="OMW1" s="9"/>
      <c r="OMX1" s="9"/>
      <c r="OMY1" s="9"/>
      <c r="OMZ1" s="9"/>
      <c r="ONA1" s="9"/>
      <c r="ONB1" s="9"/>
      <c r="ONC1" s="9"/>
      <c r="OND1" s="9"/>
      <c r="ONE1" s="9"/>
      <c r="ONF1" s="9"/>
      <c r="ONG1" s="9"/>
      <c r="ONH1" s="9"/>
      <c r="ONI1" s="9"/>
      <c r="ONJ1" s="9"/>
      <c r="ONK1" s="9"/>
      <c r="ONL1" s="9"/>
      <c r="ONM1" s="9"/>
      <c r="ONN1" s="9"/>
      <c r="ONO1" s="9"/>
      <c r="ONP1" s="9"/>
      <c r="ONQ1" s="9"/>
      <c r="ONR1" s="9"/>
      <c r="ONS1" s="9"/>
      <c r="ONT1" s="9"/>
      <c r="ONU1" s="9"/>
      <c r="ONV1" s="9"/>
      <c r="ONW1" s="9"/>
      <c r="ONX1" s="9"/>
      <c r="ONY1" s="9"/>
      <c r="ONZ1" s="9"/>
      <c r="OOA1" s="9"/>
      <c r="OOB1" s="9"/>
      <c r="OOC1" s="9"/>
      <c r="OOD1" s="9"/>
      <c r="OOE1" s="9"/>
      <c r="OOF1" s="9"/>
      <c r="OOG1" s="9"/>
      <c r="OOH1" s="9"/>
      <c r="OOI1" s="9"/>
      <c r="OOJ1" s="9"/>
      <c r="OOK1" s="9"/>
      <c r="OOL1" s="9"/>
      <c r="OOM1" s="9"/>
      <c r="OON1" s="9"/>
      <c r="OOO1" s="9"/>
      <c r="OOP1" s="9"/>
      <c r="OOQ1" s="9"/>
      <c r="OOR1" s="9"/>
      <c r="OOS1" s="9"/>
      <c r="OOT1" s="9"/>
      <c r="OOU1" s="9"/>
      <c r="OOV1" s="9"/>
      <c r="OOW1" s="9"/>
      <c r="OOX1" s="9"/>
      <c r="OOY1" s="9"/>
      <c r="OOZ1" s="9"/>
      <c r="OPA1" s="9"/>
      <c r="OPB1" s="9"/>
      <c r="OPC1" s="9"/>
      <c r="OPD1" s="9"/>
      <c r="OPE1" s="9"/>
      <c r="OPF1" s="9"/>
      <c r="OPG1" s="9"/>
      <c r="OPH1" s="9"/>
      <c r="OPI1" s="9"/>
      <c r="OPJ1" s="9"/>
      <c r="OPK1" s="9"/>
      <c r="OPL1" s="9"/>
      <c r="OPM1" s="9"/>
      <c r="OPN1" s="9"/>
      <c r="OPO1" s="9"/>
      <c r="OPP1" s="9"/>
      <c r="OPQ1" s="9"/>
      <c r="OPR1" s="9"/>
      <c r="OPS1" s="9"/>
      <c r="OPT1" s="9"/>
      <c r="OPU1" s="9"/>
      <c r="OPV1" s="9"/>
      <c r="OPW1" s="9"/>
      <c r="OPX1" s="9"/>
      <c r="OPY1" s="9"/>
      <c r="OPZ1" s="9"/>
      <c r="OQA1" s="9"/>
      <c r="OQB1" s="9"/>
      <c r="OQC1" s="9"/>
      <c r="OQD1" s="9"/>
      <c r="OQE1" s="9"/>
      <c r="OQF1" s="9"/>
      <c r="OQG1" s="9"/>
      <c r="OQH1" s="9"/>
      <c r="OQI1" s="9"/>
      <c r="OQJ1" s="9"/>
      <c r="OQK1" s="9"/>
      <c r="OQL1" s="9"/>
      <c r="OQM1" s="9"/>
      <c r="OQN1" s="9"/>
      <c r="OQO1" s="9"/>
      <c r="OQP1" s="9"/>
      <c r="OQQ1" s="9"/>
      <c r="OQR1" s="9"/>
      <c r="OQS1" s="9"/>
      <c r="OQT1" s="9"/>
      <c r="OQU1" s="9"/>
      <c r="OQV1" s="9"/>
      <c r="OQW1" s="9"/>
      <c r="OQX1" s="9"/>
      <c r="OQY1" s="9"/>
      <c r="OQZ1" s="9"/>
      <c r="ORA1" s="9"/>
      <c r="ORB1" s="9"/>
      <c r="ORC1" s="9"/>
      <c r="ORD1" s="9"/>
      <c r="ORE1" s="9"/>
      <c r="ORF1" s="9"/>
      <c r="ORG1" s="9"/>
      <c r="ORH1" s="9"/>
      <c r="ORI1" s="9"/>
      <c r="ORJ1" s="9"/>
      <c r="ORK1" s="9"/>
      <c r="ORL1" s="9"/>
      <c r="ORM1" s="9"/>
      <c r="ORN1" s="9"/>
      <c r="ORO1" s="9"/>
      <c r="ORP1" s="9"/>
      <c r="ORQ1" s="9"/>
      <c r="ORR1" s="9"/>
      <c r="ORS1" s="9"/>
      <c r="ORT1" s="9"/>
      <c r="ORU1" s="9"/>
      <c r="ORV1" s="9"/>
      <c r="ORW1" s="9"/>
      <c r="ORX1" s="9"/>
      <c r="ORY1" s="9"/>
      <c r="ORZ1" s="9"/>
      <c r="OSA1" s="9"/>
      <c r="OSB1" s="9"/>
      <c r="OSC1" s="9"/>
      <c r="OSD1" s="9"/>
      <c r="OSE1" s="9"/>
      <c r="OSF1" s="9"/>
      <c r="OSG1" s="9"/>
      <c r="OSH1" s="9"/>
      <c r="OSI1" s="9"/>
      <c r="OSJ1" s="9"/>
      <c r="OSK1" s="9"/>
      <c r="OSL1" s="9"/>
      <c r="OSM1" s="9"/>
      <c r="OSN1" s="9"/>
      <c r="OSO1" s="9"/>
      <c r="OSP1" s="9"/>
      <c r="OSQ1" s="9"/>
      <c r="OSR1" s="9"/>
      <c r="OSS1" s="9"/>
      <c r="OST1" s="9"/>
      <c r="OSU1" s="9"/>
      <c r="OSV1" s="9"/>
      <c r="OSW1" s="9"/>
      <c r="OSX1" s="9"/>
      <c r="OSY1" s="9"/>
      <c r="OSZ1" s="9"/>
      <c r="OTA1" s="9"/>
      <c r="OTB1" s="9"/>
      <c r="OTC1" s="9"/>
      <c r="OTD1" s="9"/>
      <c r="OTE1" s="9"/>
      <c r="OTF1" s="9"/>
      <c r="OTG1" s="9"/>
      <c r="OTH1" s="9"/>
      <c r="OTI1" s="9"/>
      <c r="OTJ1" s="9"/>
      <c r="OTK1" s="9"/>
      <c r="OTL1" s="9"/>
      <c r="OTM1" s="9"/>
      <c r="OTN1" s="9"/>
      <c r="OTO1" s="9"/>
      <c r="OTP1" s="9"/>
      <c r="OTQ1" s="9"/>
      <c r="OTR1" s="9"/>
      <c r="OTS1" s="9"/>
      <c r="OTT1" s="9"/>
      <c r="OTU1" s="9"/>
      <c r="OTV1" s="9"/>
      <c r="OTW1" s="9"/>
      <c r="OTX1" s="9"/>
      <c r="OTY1" s="9"/>
      <c r="OTZ1" s="9"/>
      <c r="OUA1" s="9"/>
      <c r="OUB1" s="9"/>
      <c r="OUC1" s="9"/>
      <c r="OUD1" s="9"/>
      <c r="OUE1" s="9"/>
      <c r="OUF1" s="9"/>
      <c r="OUG1" s="9"/>
      <c r="OUH1" s="9"/>
      <c r="OUI1" s="9"/>
      <c r="OUJ1" s="9"/>
      <c r="OUK1" s="9"/>
      <c r="OUL1" s="9"/>
      <c r="OUM1" s="9"/>
      <c r="OUN1" s="9"/>
      <c r="OUO1" s="9"/>
      <c r="OUP1" s="9"/>
      <c r="OUQ1" s="9"/>
      <c r="OUR1" s="9"/>
      <c r="OUS1" s="9"/>
      <c r="OUT1" s="9"/>
      <c r="OUU1" s="9"/>
      <c r="OUV1" s="9"/>
      <c r="OUW1" s="9"/>
      <c r="OUX1" s="9"/>
      <c r="OUY1" s="9"/>
      <c r="OUZ1" s="9"/>
      <c r="OVA1" s="9"/>
      <c r="OVB1" s="9"/>
      <c r="OVC1" s="9"/>
      <c r="OVD1" s="9"/>
      <c r="OVE1" s="9"/>
      <c r="OVF1" s="9"/>
      <c r="OVG1" s="9"/>
      <c r="OVH1" s="9"/>
      <c r="OVI1" s="9"/>
      <c r="OVJ1" s="9"/>
      <c r="OVK1" s="9"/>
      <c r="OVL1" s="9"/>
      <c r="OVM1" s="9"/>
      <c r="OVN1" s="9"/>
      <c r="OVO1" s="9"/>
      <c r="OVP1" s="9"/>
      <c r="OVQ1" s="9"/>
      <c r="OVR1" s="9"/>
      <c r="OVS1" s="9"/>
      <c r="OVT1" s="9"/>
      <c r="OVU1" s="9"/>
      <c r="OVV1" s="9"/>
      <c r="OVW1" s="9"/>
      <c r="OVX1" s="9"/>
      <c r="OVY1" s="9"/>
      <c r="OVZ1" s="9"/>
      <c r="OWA1" s="9"/>
      <c r="OWB1" s="9"/>
      <c r="OWC1" s="9"/>
      <c r="OWD1" s="9"/>
      <c r="OWE1" s="9"/>
      <c r="OWF1" s="9"/>
      <c r="OWG1" s="9"/>
      <c r="OWH1" s="9"/>
      <c r="OWI1" s="9"/>
      <c r="OWJ1" s="9"/>
      <c r="OWK1" s="9"/>
      <c r="OWL1" s="9"/>
      <c r="OWM1" s="9"/>
      <c r="OWN1" s="9"/>
      <c r="OWO1" s="9"/>
      <c r="OWP1" s="9"/>
      <c r="OWQ1" s="9"/>
      <c r="OWR1" s="9"/>
      <c r="OWS1" s="9"/>
      <c r="OWT1" s="9"/>
      <c r="OWU1" s="9"/>
      <c r="OWV1" s="9"/>
      <c r="OWW1" s="9"/>
      <c r="OWX1" s="9"/>
      <c r="OWY1" s="9"/>
      <c r="OWZ1" s="9"/>
      <c r="OXA1" s="9"/>
      <c r="OXB1" s="9"/>
      <c r="OXC1" s="9"/>
      <c r="OXD1" s="9"/>
      <c r="OXE1" s="9"/>
      <c r="OXF1" s="9"/>
      <c r="OXG1" s="9"/>
      <c r="OXH1" s="9"/>
      <c r="OXI1" s="9"/>
      <c r="OXJ1" s="9"/>
      <c r="OXK1" s="9"/>
      <c r="OXL1" s="9"/>
      <c r="OXM1" s="9"/>
      <c r="OXN1" s="9"/>
      <c r="OXO1" s="9"/>
      <c r="OXP1" s="9"/>
      <c r="OXQ1" s="9"/>
      <c r="OXR1" s="9"/>
      <c r="OXS1" s="9"/>
      <c r="OXT1" s="9"/>
      <c r="OXU1" s="9"/>
      <c r="OXV1" s="9"/>
      <c r="OXW1" s="9"/>
      <c r="OXX1" s="9"/>
      <c r="OXY1" s="9"/>
      <c r="OXZ1" s="9"/>
      <c r="OYA1" s="9"/>
      <c r="OYB1" s="9"/>
      <c r="OYC1" s="9"/>
      <c r="OYD1" s="9"/>
      <c r="OYE1" s="9"/>
      <c r="OYF1" s="9"/>
      <c r="OYG1" s="9"/>
      <c r="OYH1" s="9"/>
      <c r="OYI1" s="9"/>
      <c r="OYJ1" s="9"/>
      <c r="OYK1" s="9"/>
      <c r="OYL1" s="9"/>
      <c r="OYM1" s="9"/>
      <c r="OYN1" s="9"/>
      <c r="OYO1" s="9"/>
      <c r="OYP1" s="9"/>
      <c r="OYQ1" s="9"/>
      <c r="OYR1" s="9"/>
      <c r="OYS1" s="9"/>
      <c r="OYT1" s="9"/>
      <c r="OYU1" s="9"/>
      <c r="OYV1" s="9"/>
      <c r="OYW1" s="9"/>
      <c r="OYX1" s="9"/>
      <c r="OYY1" s="9"/>
      <c r="OYZ1" s="9"/>
      <c r="OZA1" s="9"/>
      <c r="OZB1" s="9"/>
      <c r="OZC1" s="9"/>
      <c r="OZD1" s="9"/>
      <c r="OZE1" s="9"/>
      <c r="OZF1" s="9"/>
      <c r="OZG1" s="9"/>
      <c r="OZH1" s="9"/>
      <c r="OZI1" s="9"/>
      <c r="OZJ1" s="9"/>
      <c r="OZK1" s="9"/>
      <c r="OZL1" s="9"/>
      <c r="OZM1" s="9"/>
      <c r="OZN1" s="9"/>
      <c r="OZO1" s="9"/>
      <c r="OZP1" s="9"/>
      <c r="OZQ1" s="9"/>
      <c r="OZR1" s="9"/>
      <c r="OZS1" s="9"/>
      <c r="OZT1" s="9"/>
      <c r="OZU1" s="9"/>
      <c r="OZV1" s="9"/>
      <c r="OZW1" s="9"/>
      <c r="OZX1" s="9"/>
      <c r="OZY1" s="9"/>
      <c r="OZZ1" s="9"/>
      <c r="PAA1" s="9"/>
      <c r="PAB1" s="9"/>
      <c r="PAC1" s="9"/>
      <c r="PAD1" s="9"/>
      <c r="PAE1" s="9"/>
      <c r="PAF1" s="9"/>
      <c r="PAG1" s="9"/>
      <c r="PAH1" s="9"/>
      <c r="PAI1" s="9"/>
      <c r="PAJ1" s="9"/>
      <c r="PAK1" s="9"/>
      <c r="PAL1" s="9"/>
      <c r="PAM1" s="9"/>
      <c r="PAN1" s="9"/>
      <c r="PAO1" s="9"/>
      <c r="PAP1" s="9"/>
      <c r="PAQ1" s="9"/>
      <c r="PAR1" s="9"/>
      <c r="PAS1" s="9"/>
      <c r="PAT1" s="9"/>
      <c r="PAU1" s="9"/>
      <c r="PAV1" s="9"/>
      <c r="PAW1" s="9"/>
      <c r="PAX1" s="9"/>
      <c r="PAY1" s="9"/>
      <c r="PAZ1" s="9"/>
      <c r="PBA1" s="9"/>
      <c r="PBB1" s="9"/>
      <c r="PBC1" s="9"/>
      <c r="PBD1" s="9"/>
      <c r="PBE1" s="9"/>
      <c r="PBF1" s="9"/>
      <c r="PBG1" s="9"/>
      <c r="PBH1" s="9"/>
      <c r="PBI1" s="9"/>
      <c r="PBJ1" s="9"/>
      <c r="PBK1" s="9"/>
      <c r="PBL1" s="9"/>
      <c r="PBM1" s="9"/>
      <c r="PBN1" s="9"/>
      <c r="PBO1" s="9"/>
      <c r="PBP1" s="9"/>
      <c r="PBQ1" s="9"/>
      <c r="PBR1" s="9"/>
      <c r="PBS1" s="9"/>
      <c r="PBT1" s="9"/>
      <c r="PBU1" s="9"/>
      <c r="PBV1" s="9"/>
      <c r="PBW1" s="9"/>
      <c r="PBX1" s="9"/>
      <c r="PBY1" s="9"/>
      <c r="PBZ1" s="9"/>
      <c r="PCA1" s="9"/>
      <c r="PCB1" s="9"/>
      <c r="PCC1" s="9"/>
      <c r="PCD1" s="9"/>
      <c r="PCE1" s="9"/>
      <c r="PCF1" s="9"/>
      <c r="PCG1" s="9"/>
      <c r="PCH1" s="9"/>
      <c r="PCI1" s="9"/>
      <c r="PCJ1" s="9"/>
      <c r="PCK1" s="9"/>
      <c r="PCL1" s="9"/>
      <c r="PCM1" s="9"/>
      <c r="PCN1" s="9"/>
      <c r="PCO1" s="9"/>
      <c r="PCP1" s="9"/>
      <c r="PCQ1" s="9"/>
      <c r="PCR1" s="9"/>
      <c r="PCS1" s="9"/>
      <c r="PCT1" s="9"/>
      <c r="PCU1" s="9"/>
      <c r="PCV1" s="9"/>
      <c r="PCW1" s="9"/>
      <c r="PCX1" s="9"/>
      <c r="PCY1" s="9"/>
      <c r="PCZ1" s="9"/>
      <c r="PDA1" s="9"/>
      <c r="PDB1" s="9"/>
      <c r="PDC1" s="9"/>
      <c r="PDD1" s="9"/>
      <c r="PDE1" s="9"/>
      <c r="PDF1" s="9"/>
      <c r="PDG1" s="9"/>
      <c r="PDH1" s="9"/>
      <c r="PDI1" s="9"/>
      <c r="PDJ1" s="9"/>
      <c r="PDK1" s="9"/>
      <c r="PDL1" s="9"/>
      <c r="PDM1" s="9"/>
      <c r="PDN1" s="9"/>
      <c r="PDO1" s="9"/>
      <c r="PDP1" s="9"/>
      <c r="PDQ1" s="9"/>
      <c r="PDR1" s="9"/>
      <c r="PDS1" s="9"/>
      <c r="PDT1" s="9"/>
      <c r="PDU1" s="9"/>
      <c r="PDV1" s="9"/>
      <c r="PDW1" s="9"/>
      <c r="PDX1" s="9"/>
      <c r="PDY1" s="9"/>
      <c r="PDZ1" s="9"/>
      <c r="PEA1" s="9"/>
      <c r="PEB1" s="9"/>
      <c r="PEC1" s="9"/>
      <c r="PED1" s="9"/>
      <c r="PEE1" s="9"/>
      <c r="PEF1" s="9"/>
      <c r="PEG1" s="9"/>
      <c r="PEH1" s="9"/>
      <c r="PEI1" s="9"/>
      <c r="PEJ1" s="9"/>
      <c r="PEK1" s="9"/>
      <c r="PEL1" s="9"/>
      <c r="PEM1" s="9"/>
      <c r="PEN1" s="9"/>
      <c r="PEO1" s="9"/>
      <c r="PEP1" s="9"/>
      <c r="PEQ1" s="9"/>
      <c r="PER1" s="9"/>
      <c r="PES1" s="9"/>
      <c r="PET1" s="9"/>
      <c r="PEU1" s="9"/>
      <c r="PEV1" s="9"/>
      <c r="PEW1" s="9"/>
      <c r="PEX1" s="9"/>
      <c r="PEY1" s="9"/>
      <c r="PEZ1" s="9"/>
      <c r="PFA1" s="9"/>
      <c r="PFB1" s="9"/>
      <c r="PFC1" s="9"/>
      <c r="PFD1" s="9"/>
      <c r="PFE1" s="9"/>
      <c r="PFF1" s="9"/>
      <c r="PFG1" s="9"/>
      <c r="PFH1" s="9"/>
      <c r="PFI1" s="9"/>
      <c r="PFJ1" s="9"/>
      <c r="PFK1" s="9"/>
      <c r="PFL1" s="9"/>
      <c r="PFM1" s="9"/>
      <c r="PFN1" s="9"/>
      <c r="PFO1" s="9"/>
      <c r="PFP1" s="9"/>
      <c r="PFQ1" s="9"/>
      <c r="PFR1" s="9"/>
      <c r="PFS1" s="9"/>
      <c r="PFT1" s="9"/>
      <c r="PFU1" s="9"/>
      <c r="PFV1" s="9"/>
      <c r="PFW1" s="9"/>
      <c r="PFX1" s="9"/>
      <c r="PFY1" s="9"/>
      <c r="PFZ1" s="9"/>
      <c r="PGA1" s="9"/>
      <c r="PGB1" s="9"/>
      <c r="PGC1" s="9"/>
      <c r="PGD1" s="9"/>
      <c r="PGE1" s="9"/>
      <c r="PGF1" s="9"/>
      <c r="PGG1" s="9"/>
      <c r="PGH1" s="9"/>
      <c r="PGI1" s="9"/>
      <c r="PGJ1" s="9"/>
      <c r="PGK1" s="9"/>
      <c r="PGL1" s="9"/>
      <c r="PGM1" s="9"/>
      <c r="PGN1" s="9"/>
      <c r="PGO1" s="9"/>
      <c r="PGP1" s="9"/>
      <c r="PGQ1" s="9"/>
      <c r="PGR1" s="9"/>
      <c r="PGS1" s="9"/>
      <c r="PGT1" s="9"/>
      <c r="PGU1" s="9"/>
      <c r="PGV1" s="9"/>
      <c r="PGW1" s="9"/>
      <c r="PGX1" s="9"/>
      <c r="PGY1" s="9"/>
      <c r="PGZ1" s="9"/>
      <c r="PHA1" s="9"/>
      <c r="PHB1" s="9"/>
      <c r="PHC1" s="9"/>
      <c r="PHD1" s="9"/>
      <c r="PHE1" s="9"/>
      <c r="PHF1" s="9"/>
      <c r="PHG1" s="9"/>
      <c r="PHH1" s="9"/>
      <c r="PHI1" s="9"/>
      <c r="PHJ1" s="9"/>
      <c r="PHK1" s="9"/>
      <c r="PHL1" s="9"/>
      <c r="PHM1" s="9"/>
      <c r="PHN1" s="9"/>
      <c r="PHO1" s="9"/>
      <c r="PHP1" s="9"/>
      <c r="PHQ1" s="9"/>
      <c r="PHR1" s="9"/>
      <c r="PHS1" s="9"/>
      <c r="PHT1" s="9"/>
      <c r="PHU1" s="9"/>
      <c r="PHV1" s="9"/>
      <c r="PHW1" s="9"/>
      <c r="PHX1" s="9"/>
      <c r="PHY1" s="9"/>
      <c r="PHZ1" s="9"/>
      <c r="PIA1" s="9"/>
      <c r="PIB1" s="9"/>
      <c r="PIC1" s="9"/>
      <c r="PID1" s="9"/>
      <c r="PIE1" s="9"/>
      <c r="PIF1" s="9"/>
      <c r="PIG1" s="9"/>
      <c r="PIH1" s="9"/>
      <c r="PII1" s="9"/>
      <c r="PIJ1" s="9"/>
      <c r="PIK1" s="9"/>
      <c r="PIL1" s="9"/>
      <c r="PIM1" s="9"/>
      <c r="PIN1" s="9"/>
      <c r="PIO1" s="9"/>
      <c r="PIP1" s="9"/>
      <c r="PIQ1" s="9"/>
      <c r="PIR1" s="9"/>
      <c r="PIS1" s="9"/>
      <c r="PIT1" s="9"/>
      <c r="PIU1" s="9"/>
      <c r="PIV1" s="9"/>
      <c r="PIW1" s="9"/>
      <c r="PIX1" s="9"/>
      <c r="PIY1" s="9"/>
      <c r="PIZ1" s="9"/>
      <c r="PJA1" s="9"/>
      <c r="PJB1" s="9"/>
      <c r="PJC1" s="9"/>
      <c r="PJD1" s="9"/>
      <c r="PJE1" s="9"/>
      <c r="PJF1" s="9"/>
      <c r="PJG1" s="9"/>
      <c r="PJH1" s="9"/>
      <c r="PJI1" s="9"/>
      <c r="PJJ1" s="9"/>
      <c r="PJK1" s="9"/>
      <c r="PJL1" s="9"/>
      <c r="PJM1" s="9"/>
      <c r="PJN1" s="9"/>
      <c r="PJO1" s="9"/>
      <c r="PJP1" s="9"/>
      <c r="PJQ1" s="9"/>
      <c r="PJR1" s="9"/>
      <c r="PJS1" s="9"/>
      <c r="PJT1" s="9"/>
      <c r="PJU1" s="9"/>
      <c r="PJV1" s="9"/>
      <c r="PJW1" s="9"/>
      <c r="PJX1" s="9"/>
      <c r="PJY1" s="9"/>
      <c r="PJZ1" s="9"/>
      <c r="PKA1" s="9"/>
      <c r="PKB1" s="9"/>
      <c r="PKC1" s="9"/>
      <c r="PKD1" s="9"/>
      <c r="PKE1" s="9"/>
      <c r="PKF1" s="9"/>
      <c r="PKG1" s="9"/>
      <c r="PKH1" s="9"/>
      <c r="PKI1" s="9"/>
      <c r="PKJ1" s="9"/>
      <c r="PKK1" s="9"/>
      <c r="PKL1" s="9"/>
      <c r="PKM1" s="9"/>
      <c r="PKN1" s="9"/>
      <c r="PKO1" s="9"/>
      <c r="PKP1" s="9"/>
      <c r="PKQ1" s="9"/>
      <c r="PKR1" s="9"/>
      <c r="PKS1" s="9"/>
      <c r="PKT1" s="9"/>
      <c r="PKU1" s="9"/>
      <c r="PKV1" s="9"/>
      <c r="PKW1" s="9"/>
      <c r="PKX1" s="9"/>
      <c r="PKY1" s="9"/>
      <c r="PKZ1" s="9"/>
      <c r="PLA1" s="9"/>
      <c r="PLB1" s="9"/>
      <c r="PLC1" s="9"/>
      <c r="PLD1" s="9"/>
      <c r="PLE1" s="9"/>
      <c r="PLF1" s="9"/>
      <c r="PLG1" s="9"/>
      <c r="PLH1" s="9"/>
      <c r="PLI1" s="9"/>
      <c r="PLJ1" s="9"/>
      <c r="PLK1" s="9"/>
      <c r="PLL1" s="9"/>
      <c r="PLM1" s="9"/>
      <c r="PLN1" s="9"/>
      <c r="PLO1" s="9"/>
      <c r="PLP1" s="9"/>
      <c r="PLQ1" s="9"/>
      <c r="PLR1" s="9"/>
      <c r="PLS1" s="9"/>
      <c r="PLT1" s="9"/>
      <c r="PLU1" s="9"/>
      <c r="PLV1" s="9"/>
      <c r="PLW1" s="9"/>
      <c r="PLX1" s="9"/>
      <c r="PLY1" s="9"/>
      <c r="PLZ1" s="9"/>
      <c r="PMA1" s="9"/>
      <c r="PMB1" s="9"/>
      <c r="PMC1" s="9"/>
      <c r="PMD1" s="9"/>
      <c r="PME1" s="9"/>
      <c r="PMF1" s="9"/>
      <c r="PMG1" s="9"/>
      <c r="PMH1" s="9"/>
      <c r="PMI1" s="9"/>
      <c r="PMJ1" s="9"/>
      <c r="PMK1" s="9"/>
      <c r="PML1" s="9"/>
      <c r="PMM1" s="9"/>
      <c r="PMN1" s="9"/>
      <c r="PMO1" s="9"/>
      <c r="PMP1" s="9"/>
      <c r="PMQ1" s="9"/>
      <c r="PMR1" s="9"/>
      <c r="PMS1" s="9"/>
      <c r="PMT1" s="9"/>
      <c r="PMU1" s="9"/>
      <c r="PMV1" s="9"/>
      <c r="PMW1" s="9"/>
      <c r="PMX1" s="9"/>
      <c r="PMY1" s="9"/>
      <c r="PMZ1" s="9"/>
      <c r="PNA1" s="9"/>
      <c r="PNB1" s="9"/>
      <c r="PNC1" s="9"/>
      <c r="PND1" s="9"/>
      <c r="PNE1" s="9"/>
      <c r="PNF1" s="9"/>
      <c r="PNG1" s="9"/>
      <c r="PNH1" s="9"/>
      <c r="PNI1" s="9"/>
      <c r="PNJ1" s="9"/>
      <c r="PNK1" s="9"/>
      <c r="PNL1" s="9"/>
      <c r="PNM1" s="9"/>
      <c r="PNN1" s="9"/>
      <c r="PNO1" s="9"/>
      <c r="PNP1" s="9"/>
      <c r="PNQ1" s="9"/>
      <c r="PNR1" s="9"/>
      <c r="PNS1" s="9"/>
      <c r="PNT1" s="9"/>
      <c r="PNU1" s="9"/>
      <c r="PNV1" s="9"/>
      <c r="PNW1" s="9"/>
      <c r="PNX1" s="9"/>
      <c r="PNY1" s="9"/>
      <c r="PNZ1" s="9"/>
      <c r="POA1" s="9"/>
      <c r="POB1" s="9"/>
      <c r="POC1" s="9"/>
      <c r="POD1" s="9"/>
      <c r="POE1" s="9"/>
      <c r="POF1" s="9"/>
      <c r="POG1" s="9"/>
      <c r="POH1" s="9"/>
      <c r="POI1" s="9"/>
      <c r="POJ1" s="9"/>
      <c r="POK1" s="9"/>
      <c r="POL1" s="9"/>
      <c r="POM1" s="9"/>
      <c r="PON1" s="9"/>
      <c r="POO1" s="9"/>
      <c r="POP1" s="9"/>
      <c r="POQ1" s="9"/>
      <c r="POR1" s="9"/>
      <c r="POS1" s="9"/>
      <c r="POT1" s="9"/>
      <c r="POU1" s="9"/>
      <c r="POV1" s="9"/>
      <c r="POW1" s="9"/>
      <c r="POX1" s="9"/>
      <c r="POY1" s="9"/>
      <c r="POZ1" s="9"/>
      <c r="PPA1" s="9"/>
      <c r="PPB1" s="9"/>
      <c r="PPC1" s="9"/>
      <c r="PPD1" s="9"/>
      <c r="PPE1" s="9"/>
      <c r="PPF1" s="9"/>
      <c r="PPG1" s="9"/>
      <c r="PPH1" s="9"/>
      <c r="PPI1" s="9"/>
      <c r="PPJ1" s="9"/>
      <c r="PPK1" s="9"/>
      <c r="PPL1" s="9"/>
      <c r="PPM1" s="9"/>
      <c r="PPN1" s="9"/>
      <c r="PPO1" s="9"/>
      <c r="PPP1" s="9"/>
      <c r="PPQ1" s="9"/>
      <c r="PPR1" s="9"/>
      <c r="PPS1" s="9"/>
      <c r="PPT1" s="9"/>
      <c r="PPU1" s="9"/>
      <c r="PPV1" s="9"/>
      <c r="PPW1" s="9"/>
      <c r="PPX1" s="9"/>
      <c r="PPY1" s="9"/>
      <c r="PPZ1" s="9"/>
      <c r="PQA1" s="9"/>
      <c r="PQB1" s="9"/>
      <c r="PQC1" s="9"/>
      <c r="PQD1" s="9"/>
      <c r="PQE1" s="9"/>
      <c r="PQF1" s="9"/>
      <c r="PQG1" s="9"/>
      <c r="PQH1" s="9"/>
      <c r="PQI1" s="9"/>
      <c r="PQJ1" s="9"/>
      <c r="PQK1" s="9"/>
      <c r="PQL1" s="9"/>
      <c r="PQM1" s="9"/>
      <c r="PQN1" s="9"/>
      <c r="PQO1" s="9"/>
      <c r="PQP1" s="9"/>
      <c r="PQQ1" s="9"/>
      <c r="PQR1" s="9"/>
      <c r="PQS1" s="9"/>
      <c r="PQT1" s="9"/>
      <c r="PQU1" s="9"/>
      <c r="PQV1" s="9"/>
      <c r="PQW1" s="9"/>
      <c r="PQX1" s="9"/>
      <c r="PQY1" s="9"/>
      <c r="PQZ1" s="9"/>
      <c r="PRA1" s="9"/>
      <c r="PRB1" s="9"/>
      <c r="PRC1" s="9"/>
      <c r="PRD1" s="9"/>
      <c r="PRE1" s="9"/>
      <c r="PRF1" s="9"/>
      <c r="PRG1" s="9"/>
      <c r="PRH1" s="9"/>
      <c r="PRI1" s="9"/>
      <c r="PRJ1" s="9"/>
      <c r="PRK1" s="9"/>
      <c r="PRL1" s="9"/>
      <c r="PRM1" s="9"/>
      <c r="PRN1" s="9"/>
      <c r="PRO1" s="9"/>
      <c r="PRP1" s="9"/>
      <c r="PRQ1" s="9"/>
      <c r="PRR1" s="9"/>
      <c r="PRS1" s="9"/>
      <c r="PRT1" s="9"/>
      <c r="PRU1" s="9"/>
      <c r="PRV1" s="9"/>
      <c r="PRW1" s="9"/>
      <c r="PRX1" s="9"/>
      <c r="PRY1" s="9"/>
      <c r="PRZ1" s="9"/>
      <c r="PSA1" s="9"/>
      <c r="PSB1" s="9"/>
      <c r="PSC1" s="9"/>
      <c r="PSD1" s="9"/>
      <c r="PSE1" s="9"/>
      <c r="PSF1" s="9"/>
      <c r="PSG1" s="9"/>
      <c r="PSH1" s="9"/>
      <c r="PSI1" s="9"/>
      <c r="PSJ1" s="9"/>
      <c r="PSK1" s="9"/>
      <c r="PSL1" s="9"/>
      <c r="PSM1" s="9"/>
      <c r="PSN1" s="9"/>
      <c r="PSO1" s="9"/>
      <c r="PSP1" s="9"/>
      <c r="PSQ1" s="9"/>
      <c r="PSR1" s="9"/>
      <c r="PSS1" s="9"/>
      <c r="PST1" s="9"/>
      <c r="PSU1" s="9"/>
      <c r="PSV1" s="9"/>
      <c r="PSW1" s="9"/>
      <c r="PSX1" s="9"/>
      <c r="PSY1" s="9"/>
      <c r="PSZ1" s="9"/>
      <c r="PTA1" s="9"/>
      <c r="PTB1" s="9"/>
      <c r="PTC1" s="9"/>
      <c r="PTD1" s="9"/>
      <c r="PTE1" s="9"/>
      <c r="PTF1" s="9"/>
      <c r="PTG1" s="9"/>
      <c r="PTH1" s="9"/>
      <c r="PTI1" s="9"/>
      <c r="PTJ1" s="9"/>
      <c r="PTK1" s="9"/>
      <c r="PTL1" s="9"/>
      <c r="PTM1" s="9"/>
      <c r="PTN1" s="9"/>
      <c r="PTO1" s="9"/>
      <c r="PTP1" s="9"/>
      <c r="PTQ1" s="9"/>
      <c r="PTR1" s="9"/>
      <c r="PTS1" s="9"/>
      <c r="PTT1" s="9"/>
      <c r="PTU1" s="9"/>
      <c r="PTV1" s="9"/>
      <c r="PTW1" s="9"/>
      <c r="PTX1" s="9"/>
      <c r="PTY1" s="9"/>
      <c r="PTZ1" s="9"/>
      <c r="PUA1" s="9"/>
      <c r="PUB1" s="9"/>
      <c r="PUC1" s="9"/>
      <c r="PUD1" s="9"/>
      <c r="PUE1" s="9"/>
      <c r="PUF1" s="9"/>
      <c r="PUG1" s="9"/>
      <c r="PUH1" s="9"/>
      <c r="PUI1" s="9"/>
      <c r="PUJ1" s="9"/>
      <c r="PUK1" s="9"/>
      <c r="PUL1" s="9"/>
      <c r="PUM1" s="9"/>
      <c r="PUN1" s="9"/>
      <c r="PUO1" s="9"/>
      <c r="PUP1" s="9"/>
      <c r="PUQ1" s="9"/>
      <c r="PUR1" s="9"/>
      <c r="PUS1" s="9"/>
      <c r="PUT1" s="9"/>
      <c r="PUU1" s="9"/>
      <c r="PUV1" s="9"/>
      <c r="PUW1" s="9"/>
      <c r="PUX1" s="9"/>
      <c r="PUY1" s="9"/>
      <c r="PUZ1" s="9"/>
      <c r="PVA1" s="9"/>
      <c r="PVB1" s="9"/>
      <c r="PVC1" s="9"/>
      <c r="PVD1" s="9"/>
      <c r="PVE1" s="9"/>
      <c r="PVF1" s="9"/>
      <c r="PVG1" s="9"/>
      <c r="PVH1" s="9"/>
      <c r="PVI1" s="9"/>
      <c r="PVJ1" s="9"/>
      <c r="PVK1" s="9"/>
      <c r="PVL1" s="9"/>
      <c r="PVM1" s="9"/>
      <c r="PVN1" s="9"/>
      <c r="PVO1" s="9"/>
      <c r="PVP1" s="9"/>
      <c r="PVQ1" s="9"/>
      <c r="PVR1" s="9"/>
      <c r="PVS1" s="9"/>
      <c r="PVT1" s="9"/>
      <c r="PVU1" s="9"/>
      <c r="PVV1" s="9"/>
      <c r="PVW1" s="9"/>
      <c r="PVX1" s="9"/>
      <c r="PVY1" s="9"/>
      <c r="PVZ1" s="9"/>
      <c r="PWA1" s="9"/>
      <c r="PWB1" s="9"/>
      <c r="PWC1" s="9"/>
      <c r="PWD1" s="9"/>
      <c r="PWE1" s="9"/>
      <c r="PWF1" s="9"/>
      <c r="PWG1" s="9"/>
      <c r="PWH1" s="9"/>
      <c r="PWI1" s="9"/>
      <c r="PWJ1" s="9"/>
      <c r="PWK1" s="9"/>
      <c r="PWL1" s="9"/>
      <c r="PWM1" s="9"/>
      <c r="PWN1" s="9"/>
      <c r="PWO1" s="9"/>
      <c r="PWP1" s="9"/>
      <c r="PWQ1" s="9"/>
      <c r="PWR1" s="9"/>
      <c r="PWS1" s="9"/>
      <c r="PWT1" s="9"/>
      <c r="PWU1" s="9"/>
      <c r="PWV1" s="9"/>
      <c r="PWW1" s="9"/>
      <c r="PWX1" s="9"/>
      <c r="PWY1" s="9"/>
      <c r="PWZ1" s="9"/>
      <c r="PXA1" s="9"/>
      <c r="PXB1" s="9"/>
      <c r="PXC1" s="9"/>
      <c r="PXD1" s="9"/>
      <c r="PXE1" s="9"/>
      <c r="PXF1" s="9"/>
      <c r="PXG1" s="9"/>
      <c r="PXH1" s="9"/>
      <c r="PXI1" s="9"/>
      <c r="PXJ1" s="9"/>
      <c r="PXK1" s="9"/>
      <c r="PXL1" s="9"/>
      <c r="PXM1" s="9"/>
      <c r="PXN1" s="9"/>
      <c r="PXO1" s="9"/>
      <c r="PXP1" s="9"/>
      <c r="PXQ1" s="9"/>
      <c r="PXR1" s="9"/>
      <c r="PXS1" s="9"/>
      <c r="PXT1" s="9"/>
      <c r="PXU1" s="9"/>
      <c r="PXV1" s="9"/>
      <c r="PXW1" s="9"/>
      <c r="PXX1" s="9"/>
      <c r="PXY1" s="9"/>
      <c r="PXZ1" s="9"/>
      <c r="PYA1" s="9"/>
      <c r="PYB1" s="9"/>
      <c r="PYC1" s="9"/>
      <c r="PYD1" s="9"/>
      <c r="PYE1" s="9"/>
      <c r="PYF1" s="9"/>
      <c r="PYG1" s="9"/>
      <c r="PYH1" s="9"/>
      <c r="PYI1" s="9"/>
      <c r="PYJ1" s="9"/>
      <c r="PYK1" s="9"/>
      <c r="PYL1" s="9"/>
      <c r="PYM1" s="9"/>
      <c r="PYN1" s="9"/>
      <c r="PYO1" s="9"/>
      <c r="PYP1" s="9"/>
      <c r="PYQ1" s="9"/>
      <c r="PYR1" s="9"/>
      <c r="PYS1" s="9"/>
      <c r="PYT1" s="9"/>
      <c r="PYU1" s="9"/>
      <c r="PYV1" s="9"/>
      <c r="PYW1" s="9"/>
      <c r="PYX1" s="9"/>
      <c r="PYY1" s="9"/>
      <c r="PYZ1" s="9"/>
      <c r="PZA1" s="9"/>
      <c r="PZB1" s="9"/>
      <c r="PZC1" s="9"/>
      <c r="PZD1" s="9"/>
      <c r="PZE1" s="9"/>
      <c r="PZF1" s="9"/>
      <c r="PZG1" s="9"/>
      <c r="PZH1" s="9"/>
      <c r="PZI1" s="9"/>
      <c r="PZJ1" s="9"/>
      <c r="PZK1" s="9"/>
      <c r="PZL1" s="9"/>
      <c r="PZM1" s="9"/>
      <c r="PZN1" s="9"/>
      <c r="PZO1" s="9"/>
      <c r="PZP1" s="9"/>
      <c r="PZQ1" s="9"/>
      <c r="PZR1" s="9"/>
      <c r="PZS1" s="9"/>
      <c r="PZT1" s="9"/>
      <c r="PZU1" s="9"/>
      <c r="PZV1" s="9"/>
      <c r="PZW1" s="9"/>
      <c r="PZX1" s="9"/>
      <c r="PZY1" s="9"/>
      <c r="PZZ1" s="9"/>
      <c r="QAA1" s="9"/>
      <c r="QAB1" s="9"/>
      <c r="QAC1" s="9"/>
      <c r="QAD1" s="9"/>
      <c r="QAE1" s="9"/>
      <c r="QAF1" s="9"/>
      <c r="QAG1" s="9"/>
      <c r="QAH1" s="9"/>
      <c r="QAI1" s="9"/>
      <c r="QAJ1" s="9"/>
      <c r="QAK1" s="9"/>
      <c r="QAL1" s="9"/>
      <c r="QAM1" s="9"/>
      <c r="QAN1" s="9"/>
      <c r="QAO1" s="9"/>
      <c r="QAP1" s="9"/>
      <c r="QAQ1" s="9"/>
      <c r="QAR1" s="9"/>
      <c r="QAS1" s="9"/>
      <c r="QAT1" s="9"/>
      <c r="QAU1" s="9"/>
      <c r="QAV1" s="9"/>
      <c r="QAW1" s="9"/>
      <c r="QAX1" s="9"/>
      <c r="QAY1" s="9"/>
      <c r="QAZ1" s="9"/>
      <c r="QBA1" s="9"/>
      <c r="QBB1" s="9"/>
      <c r="QBC1" s="9"/>
      <c r="QBD1" s="9"/>
      <c r="QBE1" s="9"/>
      <c r="QBF1" s="9"/>
      <c r="QBG1" s="9"/>
      <c r="QBH1" s="9"/>
      <c r="QBI1" s="9"/>
      <c r="QBJ1" s="9"/>
      <c r="QBK1" s="9"/>
      <c r="QBL1" s="9"/>
      <c r="QBM1" s="9"/>
      <c r="QBN1" s="9"/>
      <c r="QBO1" s="9"/>
      <c r="QBP1" s="9"/>
      <c r="QBQ1" s="9"/>
      <c r="QBR1" s="9"/>
      <c r="QBS1" s="9"/>
      <c r="QBT1" s="9"/>
      <c r="QBU1" s="9"/>
      <c r="QBV1" s="9"/>
      <c r="QBW1" s="9"/>
      <c r="QBX1" s="9"/>
      <c r="QBY1" s="9"/>
      <c r="QBZ1" s="9"/>
      <c r="QCA1" s="9"/>
      <c r="QCB1" s="9"/>
      <c r="QCC1" s="9"/>
      <c r="QCD1" s="9"/>
      <c r="QCE1" s="9"/>
      <c r="QCF1" s="9"/>
      <c r="QCG1" s="9"/>
      <c r="QCH1" s="9"/>
      <c r="QCI1" s="9"/>
      <c r="QCJ1" s="9"/>
      <c r="QCK1" s="9"/>
      <c r="QCL1" s="9"/>
      <c r="QCM1" s="9"/>
      <c r="QCN1" s="9"/>
      <c r="QCO1" s="9"/>
      <c r="QCP1" s="9"/>
      <c r="QCQ1" s="9"/>
      <c r="QCR1" s="9"/>
      <c r="QCS1" s="9"/>
      <c r="QCT1" s="9"/>
      <c r="QCU1" s="9"/>
      <c r="QCV1" s="9"/>
      <c r="QCW1" s="9"/>
      <c r="QCX1" s="9"/>
      <c r="QCY1" s="9"/>
      <c r="QCZ1" s="9"/>
      <c r="QDA1" s="9"/>
      <c r="QDB1" s="9"/>
      <c r="QDC1" s="9"/>
      <c r="QDD1" s="9"/>
      <c r="QDE1" s="9"/>
      <c r="QDF1" s="9"/>
      <c r="QDG1" s="9"/>
      <c r="QDH1" s="9"/>
      <c r="QDI1" s="9"/>
      <c r="QDJ1" s="9"/>
      <c r="QDK1" s="9"/>
      <c r="QDL1" s="9"/>
      <c r="QDM1" s="9"/>
      <c r="QDN1" s="9"/>
      <c r="QDO1" s="9"/>
      <c r="QDP1" s="9"/>
      <c r="QDQ1" s="9"/>
      <c r="QDR1" s="9"/>
      <c r="QDS1" s="9"/>
      <c r="QDT1" s="9"/>
      <c r="QDU1" s="9"/>
      <c r="QDV1" s="9"/>
      <c r="QDW1" s="9"/>
      <c r="QDX1" s="9"/>
      <c r="QDY1" s="9"/>
      <c r="QDZ1" s="9"/>
      <c r="QEA1" s="9"/>
      <c r="QEB1" s="9"/>
      <c r="QEC1" s="9"/>
      <c r="QED1" s="9"/>
      <c r="QEE1" s="9"/>
      <c r="QEF1" s="9"/>
      <c r="QEG1" s="9"/>
      <c r="QEH1" s="9"/>
      <c r="QEI1" s="9"/>
      <c r="QEJ1" s="9"/>
      <c r="QEK1" s="9"/>
      <c r="QEL1" s="9"/>
      <c r="QEM1" s="9"/>
      <c r="QEN1" s="9"/>
      <c r="QEO1" s="9"/>
      <c r="QEP1" s="9"/>
      <c r="QEQ1" s="9"/>
      <c r="QER1" s="9"/>
      <c r="QES1" s="9"/>
      <c r="QET1" s="9"/>
      <c r="QEU1" s="9"/>
      <c r="QEV1" s="9"/>
      <c r="QEW1" s="9"/>
      <c r="QEX1" s="9"/>
      <c r="QEY1" s="9"/>
      <c r="QEZ1" s="9"/>
      <c r="QFA1" s="9"/>
      <c r="QFB1" s="9"/>
      <c r="QFC1" s="9"/>
      <c r="QFD1" s="9"/>
      <c r="QFE1" s="9"/>
      <c r="QFF1" s="9"/>
      <c r="QFG1" s="9"/>
      <c r="QFH1" s="9"/>
      <c r="QFI1" s="9"/>
      <c r="QFJ1" s="9"/>
      <c r="QFK1" s="9"/>
      <c r="QFL1" s="9"/>
      <c r="QFM1" s="9"/>
      <c r="QFN1" s="9"/>
      <c r="QFO1" s="9"/>
      <c r="QFP1" s="9"/>
      <c r="QFQ1" s="9"/>
      <c r="QFR1" s="9"/>
      <c r="QFS1" s="9"/>
      <c r="QFT1" s="9"/>
      <c r="QFU1" s="9"/>
      <c r="QFV1" s="9"/>
      <c r="QFW1" s="9"/>
      <c r="QFX1" s="9"/>
      <c r="QFY1" s="9"/>
      <c r="QFZ1" s="9"/>
      <c r="QGA1" s="9"/>
      <c r="QGB1" s="9"/>
      <c r="QGC1" s="9"/>
      <c r="QGD1" s="9"/>
      <c r="QGE1" s="9"/>
      <c r="QGF1" s="9"/>
      <c r="QGG1" s="9"/>
      <c r="QGH1" s="9"/>
      <c r="QGI1" s="9"/>
      <c r="QGJ1" s="9"/>
      <c r="QGK1" s="9"/>
      <c r="QGL1" s="9"/>
      <c r="QGM1" s="9"/>
      <c r="QGN1" s="9"/>
      <c r="QGO1" s="9"/>
      <c r="QGP1" s="9"/>
      <c r="QGQ1" s="9"/>
      <c r="QGR1" s="9"/>
      <c r="QGS1" s="9"/>
      <c r="QGT1" s="9"/>
      <c r="QGU1" s="9"/>
      <c r="QGV1" s="9"/>
      <c r="QGW1" s="9"/>
      <c r="QGX1" s="9"/>
      <c r="QGY1" s="9"/>
      <c r="QGZ1" s="9"/>
      <c r="QHA1" s="9"/>
      <c r="QHB1" s="9"/>
      <c r="QHC1" s="9"/>
      <c r="QHD1" s="9"/>
      <c r="QHE1" s="9"/>
      <c r="QHF1" s="9"/>
      <c r="QHG1" s="9"/>
      <c r="QHH1" s="9"/>
      <c r="QHI1" s="9"/>
      <c r="QHJ1" s="9"/>
      <c r="QHK1" s="9"/>
      <c r="QHL1" s="9"/>
      <c r="QHM1" s="9"/>
      <c r="QHN1" s="9"/>
      <c r="QHO1" s="9"/>
      <c r="QHP1" s="9"/>
      <c r="QHQ1" s="9"/>
      <c r="QHR1" s="9"/>
      <c r="QHS1" s="9"/>
      <c r="QHT1" s="9"/>
      <c r="QHU1" s="9"/>
      <c r="QHV1" s="9"/>
      <c r="QHW1" s="9"/>
      <c r="QHX1" s="9"/>
      <c r="QHY1" s="9"/>
      <c r="QHZ1" s="9"/>
      <c r="QIA1" s="9"/>
      <c r="QIB1" s="9"/>
      <c r="QIC1" s="9"/>
      <c r="QID1" s="9"/>
      <c r="QIE1" s="9"/>
      <c r="QIF1" s="9"/>
      <c r="QIG1" s="9"/>
      <c r="QIH1" s="9"/>
      <c r="QII1" s="9"/>
      <c r="QIJ1" s="9"/>
      <c r="QIK1" s="9"/>
      <c r="QIL1" s="9"/>
      <c r="QIM1" s="9"/>
      <c r="QIN1" s="9"/>
      <c r="QIO1" s="9"/>
      <c r="QIP1" s="9"/>
      <c r="QIQ1" s="9"/>
      <c r="QIR1" s="9"/>
      <c r="QIS1" s="9"/>
      <c r="QIT1" s="9"/>
      <c r="QIU1" s="9"/>
      <c r="QIV1" s="9"/>
      <c r="QIW1" s="9"/>
      <c r="QIX1" s="9"/>
      <c r="QIY1" s="9"/>
      <c r="QIZ1" s="9"/>
      <c r="QJA1" s="9"/>
      <c r="QJB1" s="9"/>
      <c r="QJC1" s="9"/>
      <c r="QJD1" s="9"/>
      <c r="QJE1" s="9"/>
      <c r="QJF1" s="9"/>
      <c r="QJG1" s="9"/>
      <c r="QJH1" s="9"/>
      <c r="QJI1" s="9"/>
      <c r="QJJ1" s="9"/>
      <c r="QJK1" s="9"/>
      <c r="QJL1" s="9"/>
      <c r="QJM1" s="9"/>
      <c r="QJN1" s="9"/>
      <c r="QJO1" s="9"/>
      <c r="QJP1" s="9"/>
      <c r="QJQ1" s="9"/>
      <c r="QJR1" s="9"/>
      <c r="QJS1" s="9"/>
      <c r="QJT1" s="9"/>
      <c r="QJU1" s="9"/>
      <c r="QJV1" s="9"/>
      <c r="QJW1" s="9"/>
      <c r="QJX1" s="9"/>
      <c r="QJY1" s="9"/>
      <c r="QJZ1" s="9"/>
      <c r="QKA1" s="9"/>
      <c r="QKB1" s="9"/>
      <c r="QKC1" s="9"/>
      <c r="QKD1" s="9"/>
      <c r="QKE1" s="9"/>
      <c r="QKF1" s="9"/>
      <c r="QKG1" s="9"/>
      <c r="QKH1" s="9"/>
      <c r="QKI1" s="9"/>
      <c r="QKJ1" s="9"/>
      <c r="QKK1" s="9"/>
      <c r="QKL1" s="9"/>
      <c r="QKM1" s="9"/>
      <c r="QKN1" s="9"/>
      <c r="QKO1" s="9"/>
      <c r="QKP1" s="9"/>
      <c r="QKQ1" s="9"/>
      <c r="QKR1" s="9"/>
      <c r="QKS1" s="9"/>
      <c r="QKT1" s="9"/>
      <c r="QKU1" s="9"/>
      <c r="QKV1" s="9"/>
      <c r="QKW1" s="9"/>
      <c r="QKX1" s="9"/>
      <c r="QKY1" s="9"/>
      <c r="QKZ1" s="9"/>
      <c r="QLA1" s="9"/>
      <c r="QLB1" s="9"/>
      <c r="QLC1" s="9"/>
      <c r="QLD1" s="9"/>
      <c r="QLE1" s="9"/>
      <c r="QLF1" s="9"/>
      <c r="QLG1" s="9"/>
      <c r="QLH1" s="9"/>
      <c r="QLI1" s="9"/>
      <c r="QLJ1" s="9"/>
      <c r="QLK1" s="9"/>
      <c r="QLL1" s="9"/>
      <c r="QLM1" s="9"/>
      <c r="QLN1" s="9"/>
      <c r="QLO1" s="9"/>
      <c r="QLP1" s="9"/>
      <c r="QLQ1" s="9"/>
      <c r="QLR1" s="9"/>
      <c r="QLS1" s="9"/>
      <c r="QLT1" s="9"/>
      <c r="QLU1" s="9"/>
      <c r="QLV1" s="9"/>
      <c r="QLW1" s="9"/>
      <c r="QLX1" s="9"/>
      <c r="QLY1" s="9"/>
      <c r="QLZ1" s="9"/>
      <c r="QMA1" s="9"/>
      <c r="QMB1" s="9"/>
      <c r="QMC1" s="9"/>
      <c r="QMD1" s="9"/>
      <c r="QME1" s="9"/>
      <c r="QMF1" s="9"/>
      <c r="QMG1" s="9"/>
      <c r="QMH1" s="9"/>
      <c r="QMI1" s="9"/>
      <c r="QMJ1" s="9"/>
      <c r="QMK1" s="9"/>
      <c r="QML1" s="9"/>
      <c r="QMM1" s="9"/>
      <c r="QMN1" s="9"/>
      <c r="QMO1" s="9"/>
      <c r="QMP1" s="9"/>
      <c r="QMQ1" s="9"/>
      <c r="QMR1" s="9"/>
      <c r="QMS1" s="9"/>
      <c r="QMT1" s="9"/>
      <c r="QMU1" s="9"/>
      <c r="QMV1" s="9"/>
      <c r="QMW1" s="9"/>
      <c r="QMX1" s="9"/>
      <c r="QMY1" s="9"/>
      <c r="QMZ1" s="9"/>
      <c r="QNA1" s="9"/>
      <c r="QNB1" s="9"/>
      <c r="QNC1" s="9"/>
      <c r="QND1" s="9"/>
      <c r="QNE1" s="9"/>
      <c r="QNF1" s="9"/>
      <c r="QNG1" s="9"/>
      <c r="QNH1" s="9"/>
      <c r="QNI1" s="9"/>
      <c r="QNJ1" s="9"/>
      <c r="QNK1" s="9"/>
      <c r="QNL1" s="9"/>
      <c r="QNM1" s="9"/>
      <c r="QNN1" s="9"/>
      <c r="QNO1" s="9"/>
      <c r="QNP1" s="9"/>
      <c r="QNQ1" s="9"/>
      <c r="QNR1" s="9"/>
      <c r="QNS1" s="9"/>
      <c r="QNT1" s="9"/>
      <c r="QNU1" s="9"/>
      <c r="QNV1" s="9"/>
      <c r="QNW1" s="9"/>
      <c r="QNX1" s="9"/>
      <c r="QNY1" s="9"/>
      <c r="QNZ1" s="9"/>
      <c r="QOA1" s="9"/>
      <c r="QOB1" s="9"/>
      <c r="QOC1" s="9"/>
      <c r="QOD1" s="9"/>
      <c r="QOE1" s="9"/>
      <c r="QOF1" s="9"/>
      <c r="QOG1" s="9"/>
      <c r="QOH1" s="9"/>
      <c r="QOI1" s="9"/>
      <c r="QOJ1" s="9"/>
      <c r="QOK1" s="9"/>
      <c r="QOL1" s="9"/>
      <c r="QOM1" s="9"/>
      <c r="QON1" s="9"/>
      <c r="QOO1" s="9"/>
      <c r="QOP1" s="9"/>
      <c r="QOQ1" s="9"/>
      <c r="QOR1" s="9"/>
      <c r="QOS1" s="9"/>
      <c r="QOT1" s="9"/>
      <c r="QOU1" s="9"/>
      <c r="QOV1" s="9"/>
      <c r="QOW1" s="9"/>
      <c r="QOX1" s="9"/>
      <c r="QOY1" s="9"/>
      <c r="QOZ1" s="9"/>
      <c r="QPA1" s="9"/>
      <c r="QPB1" s="9"/>
      <c r="QPC1" s="9"/>
      <c r="QPD1" s="9"/>
      <c r="QPE1" s="9"/>
      <c r="QPF1" s="9"/>
      <c r="QPG1" s="9"/>
      <c r="QPH1" s="9"/>
      <c r="QPI1" s="9"/>
      <c r="QPJ1" s="9"/>
      <c r="QPK1" s="9"/>
      <c r="QPL1" s="9"/>
      <c r="QPM1" s="9"/>
      <c r="QPN1" s="9"/>
      <c r="QPO1" s="9"/>
      <c r="QPP1" s="9"/>
      <c r="QPQ1" s="9"/>
      <c r="QPR1" s="9"/>
      <c r="QPS1" s="9"/>
      <c r="QPT1" s="9"/>
      <c r="QPU1" s="9"/>
      <c r="QPV1" s="9"/>
      <c r="QPW1" s="9"/>
      <c r="QPX1" s="9"/>
      <c r="QPY1" s="9"/>
      <c r="QPZ1" s="9"/>
      <c r="QQA1" s="9"/>
      <c r="QQB1" s="9"/>
      <c r="QQC1" s="9"/>
      <c r="QQD1" s="9"/>
      <c r="QQE1" s="9"/>
      <c r="QQF1" s="9"/>
      <c r="QQG1" s="9"/>
      <c r="QQH1" s="9"/>
      <c r="QQI1" s="9"/>
      <c r="QQJ1" s="9"/>
      <c r="QQK1" s="9"/>
      <c r="QQL1" s="9"/>
      <c r="QQM1" s="9"/>
      <c r="QQN1" s="9"/>
      <c r="QQO1" s="9"/>
      <c r="QQP1" s="9"/>
      <c r="QQQ1" s="9"/>
      <c r="QQR1" s="9"/>
      <c r="QQS1" s="9"/>
      <c r="QQT1" s="9"/>
      <c r="QQU1" s="9"/>
      <c r="QQV1" s="9"/>
      <c r="QQW1" s="9"/>
      <c r="QQX1" s="9"/>
      <c r="QQY1" s="9"/>
      <c r="QQZ1" s="9"/>
      <c r="QRA1" s="9"/>
      <c r="QRB1" s="9"/>
      <c r="QRC1" s="9"/>
      <c r="QRD1" s="9"/>
      <c r="QRE1" s="9"/>
      <c r="QRF1" s="9"/>
      <c r="QRG1" s="9"/>
      <c r="QRH1" s="9"/>
      <c r="QRI1" s="9"/>
      <c r="QRJ1" s="9"/>
      <c r="QRK1" s="9"/>
      <c r="QRL1" s="9"/>
      <c r="QRM1" s="9"/>
      <c r="QRN1" s="9"/>
      <c r="QRO1" s="9"/>
      <c r="QRP1" s="9"/>
      <c r="QRQ1" s="9"/>
      <c r="QRR1" s="9"/>
      <c r="QRS1" s="9"/>
      <c r="QRT1" s="9"/>
      <c r="QRU1" s="9"/>
      <c r="QRV1" s="9"/>
      <c r="QRW1" s="9"/>
      <c r="QRX1" s="9"/>
      <c r="QRY1" s="9"/>
      <c r="QRZ1" s="9"/>
      <c r="QSA1" s="9"/>
      <c r="QSB1" s="9"/>
      <c r="QSC1" s="9"/>
      <c r="QSD1" s="9"/>
      <c r="QSE1" s="9"/>
      <c r="QSF1" s="9"/>
      <c r="QSG1" s="9"/>
      <c r="QSH1" s="9"/>
      <c r="QSI1" s="9"/>
      <c r="QSJ1" s="9"/>
      <c r="QSK1" s="9"/>
      <c r="QSL1" s="9"/>
      <c r="QSM1" s="9"/>
      <c r="QSN1" s="9"/>
      <c r="QSO1" s="9"/>
      <c r="QSP1" s="9"/>
      <c r="QSQ1" s="9"/>
      <c r="QSR1" s="9"/>
      <c r="QSS1" s="9"/>
      <c r="QST1" s="9"/>
      <c r="QSU1" s="9"/>
      <c r="QSV1" s="9"/>
      <c r="QSW1" s="9"/>
      <c r="QSX1" s="9"/>
      <c r="QSY1" s="9"/>
      <c r="QSZ1" s="9"/>
      <c r="QTA1" s="9"/>
      <c r="QTB1" s="9"/>
      <c r="QTC1" s="9"/>
      <c r="QTD1" s="9"/>
      <c r="QTE1" s="9"/>
      <c r="QTF1" s="9"/>
      <c r="QTG1" s="9"/>
      <c r="QTH1" s="9"/>
      <c r="QTI1" s="9"/>
      <c r="QTJ1" s="9"/>
      <c r="QTK1" s="9"/>
      <c r="QTL1" s="9"/>
      <c r="QTM1" s="9"/>
      <c r="QTN1" s="9"/>
      <c r="QTO1" s="9"/>
      <c r="QTP1" s="9"/>
      <c r="QTQ1" s="9"/>
      <c r="QTR1" s="9"/>
      <c r="QTS1" s="9"/>
      <c r="QTT1" s="9"/>
      <c r="QTU1" s="9"/>
      <c r="QTV1" s="9"/>
      <c r="QTW1" s="9"/>
      <c r="QTX1" s="9"/>
      <c r="QTY1" s="9"/>
      <c r="QTZ1" s="9"/>
      <c r="QUA1" s="9"/>
      <c r="QUB1" s="9"/>
      <c r="QUC1" s="9"/>
      <c r="QUD1" s="9"/>
      <c r="QUE1" s="9"/>
      <c r="QUF1" s="9"/>
      <c r="QUG1" s="9"/>
      <c r="QUH1" s="9"/>
      <c r="QUI1" s="9"/>
      <c r="QUJ1" s="9"/>
      <c r="QUK1" s="9"/>
      <c r="QUL1" s="9"/>
      <c r="QUM1" s="9"/>
      <c r="QUN1" s="9"/>
      <c r="QUO1" s="9"/>
      <c r="QUP1" s="9"/>
      <c r="QUQ1" s="9"/>
      <c r="QUR1" s="9"/>
      <c r="QUS1" s="9"/>
      <c r="QUT1" s="9"/>
      <c r="QUU1" s="9"/>
      <c r="QUV1" s="9"/>
      <c r="QUW1" s="9"/>
      <c r="QUX1" s="9"/>
      <c r="QUY1" s="9"/>
      <c r="QUZ1" s="9"/>
      <c r="QVA1" s="9"/>
      <c r="QVB1" s="9"/>
      <c r="QVC1" s="9"/>
      <c r="QVD1" s="9"/>
      <c r="QVE1" s="9"/>
      <c r="QVF1" s="9"/>
      <c r="QVG1" s="9"/>
      <c r="QVH1" s="9"/>
      <c r="QVI1" s="9"/>
      <c r="QVJ1" s="9"/>
      <c r="QVK1" s="9"/>
      <c r="QVL1" s="9"/>
      <c r="QVM1" s="9"/>
      <c r="QVN1" s="9"/>
      <c r="QVO1" s="9"/>
      <c r="QVP1" s="9"/>
      <c r="QVQ1" s="9"/>
      <c r="QVR1" s="9"/>
      <c r="QVS1" s="9"/>
      <c r="QVT1" s="9"/>
      <c r="QVU1" s="9"/>
      <c r="QVV1" s="9"/>
      <c r="QVW1" s="9"/>
      <c r="QVX1" s="9"/>
      <c r="QVY1" s="9"/>
      <c r="QVZ1" s="9"/>
      <c r="QWA1" s="9"/>
      <c r="QWB1" s="9"/>
      <c r="QWC1" s="9"/>
      <c r="QWD1" s="9"/>
      <c r="QWE1" s="9"/>
      <c r="QWF1" s="9"/>
      <c r="QWG1" s="9"/>
      <c r="QWH1" s="9"/>
      <c r="QWI1" s="9"/>
      <c r="QWJ1" s="9"/>
      <c r="QWK1" s="9"/>
      <c r="QWL1" s="9"/>
      <c r="QWM1" s="9"/>
      <c r="QWN1" s="9"/>
      <c r="QWO1" s="9"/>
      <c r="QWP1" s="9"/>
      <c r="QWQ1" s="9"/>
      <c r="QWR1" s="9"/>
      <c r="QWS1" s="9"/>
      <c r="QWT1" s="9"/>
      <c r="QWU1" s="9"/>
      <c r="QWV1" s="9"/>
      <c r="QWW1" s="9"/>
      <c r="QWX1" s="9"/>
      <c r="QWY1" s="9"/>
      <c r="QWZ1" s="9"/>
      <c r="QXA1" s="9"/>
      <c r="QXB1" s="9"/>
      <c r="QXC1" s="9"/>
      <c r="QXD1" s="9"/>
      <c r="QXE1" s="9"/>
      <c r="QXF1" s="9"/>
      <c r="QXG1" s="9"/>
      <c r="QXH1" s="9"/>
      <c r="QXI1" s="9"/>
      <c r="QXJ1" s="9"/>
      <c r="QXK1" s="9"/>
      <c r="QXL1" s="9"/>
      <c r="QXM1" s="9"/>
      <c r="QXN1" s="9"/>
      <c r="QXO1" s="9"/>
      <c r="QXP1" s="9"/>
      <c r="QXQ1" s="9"/>
      <c r="QXR1" s="9"/>
      <c r="QXS1" s="9"/>
      <c r="QXT1" s="9"/>
      <c r="QXU1" s="9"/>
      <c r="QXV1" s="9"/>
      <c r="QXW1" s="9"/>
      <c r="QXX1" s="9"/>
      <c r="QXY1" s="9"/>
      <c r="QXZ1" s="9"/>
      <c r="QYA1" s="9"/>
      <c r="QYB1" s="9"/>
      <c r="QYC1" s="9"/>
      <c r="QYD1" s="9"/>
      <c r="QYE1" s="9"/>
      <c r="QYF1" s="9"/>
      <c r="QYG1" s="9"/>
      <c r="QYH1" s="9"/>
      <c r="QYI1" s="9"/>
      <c r="QYJ1" s="9"/>
      <c r="QYK1" s="9"/>
      <c r="QYL1" s="9"/>
      <c r="QYM1" s="9"/>
      <c r="QYN1" s="9"/>
      <c r="QYO1" s="9"/>
      <c r="QYP1" s="9"/>
      <c r="QYQ1" s="9"/>
      <c r="QYR1" s="9"/>
      <c r="QYS1" s="9"/>
      <c r="QYT1" s="9"/>
      <c r="QYU1" s="9"/>
      <c r="QYV1" s="9"/>
      <c r="QYW1" s="9"/>
      <c r="QYX1" s="9"/>
      <c r="QYY1" s="9"/>
      <c r="QYZ1" s="9"/>
      <c r="QZA1" s="9"/>
      <c r="QZB1" s="9"/>
      <c r="QZC1" s="9"/>
      <c r="QZD1" s="9"/>
      <c r="QZE1" s="9"/>
      <c r="QZF1" s="9"/>
      <c r="QZG1" s="9"/>
      <c r="QZH1" s="9"/>
      <c r="QZI1" s="9"/>
      <c r="QZJ1" s="9"/>
      <c r="QZK1" s="9"/>
      <c r="QZL1" s="9"/>
      <c r="QZM1" s="9"/>
      <c r="QZN1" s="9"/>
      <c r="QZO1" s="9"/>
      <c r="QZP1" s="9"/>
      <c r="QZQ1" s="9"/>
      <c r="QZR1" s="9"/>
      <c r="QZS1" s="9"/>
      <c r="QZT1" s="9"/>
      <c r="QZU1" s="9"/>
      <c r="QZV1" s="9"/>
      <c r="QZW1" s="9"/>
      <c r="QZX1" s="9"/>
      <c r="QZY1" s="9"/>
      <c r="QZZ1" s="9"/>
      <c r="RAA1" s="9"/>
      <c r="RAB1" s="9"/>
      <c r="RAC1" s="9"/>
      <c r="RAD1" s="9"/>
      <c r="RAE1" s="9"/>
      <c r="RAF1" s="9"/>
      <c r="RAG1" s="9"/>
      <c r="RAH1" s="9"/>
      <c r="RAI1" s="9"/>
      <c r="RAJ1" s="9"/>
      <c r="RAK1" s="9"/>
      <c r="RAL1" s="9"/>
      <c r="RAM1" s="9"/>
      <c r="RAN1" s="9"/>
      <c r="RAO1" s="9"/>
      <c r="RAP1" s="9"/>
      <c r="RAQ1" s="9"/>
      <c r="RAR1" s="9"/>
      <c r="RAS1" s="9"/>
      <c r="RAT1" s="9"/>
      <c r="RAU1" s="9"/>
      <c r="RAV1" s="9"/>
      <c r="RAW1" s="9"/>
      <c r="RAX1" s="9"/>
      <c r="RAY1" s="9"/>
      <c r="RAZ1" s="9"/>
      <c r="RBA1" s="9"/>
      <c r="RBB1" s="9"/>
      <c r="RBC1" s="9"/>
      <c r="RBD1" s="9"/>
      <c r="RBE1" s="9"/>
      <c r="RBF1" s="9"/>
      <c r="RBG1" s="9"/>
      <c r="RBH1" s="9"/>
      <c r="RBI1" s="9"/>
      <c r="RBJ1" s="9"/>
      <c r="RBK1" s="9"/>
      <c r="RBL1" s="9"/>
      <c r="RBM1" s="9"/>
      <c r="RBN1" s="9"/>
      <c r="RBO1" s="9"/>
      <c r="RBP1" s="9"/>
      <c r="RBQ1" s="9"/>
      <c r="RBR1" s="9"/>
      <c r="RBS1" s="9"/>
      <c r="RBT1" s="9"/>
      <c r="RBU1" s="9"/>
      <c r="RBV1" s="9"/>
      <c r="RBW1" s="9"/>
      <c r="RBX1" s="9"/>
      <c r="RBY1" s="9"/>
      <c r="RBZ1" s="9"/>
      <c r="RCA1" s="9"/>
      <c r="RCB1" s="9"/>
      <c r="RCC1" s="9"/>
      <c r="RCD1" s="9"/>
      <c r="RCE1" s="9"/>
      <c r="RCF1" s="9"/>
      <c r="RCG1" s="9"/>
      <c r="RCH1" s="9"/>
      <c r="RCI1" s="9"/>
      <c r="RCJ1" s="9"/>
      <c r="RCK1" s="9"/>
      <c r="RCL1" s="9"/>
      <c r="RCM1" s="9"/>
      <c r="RCN1" s="9"/>
      <c r="RCO1" s="9"/>
      <c r="RCP1" s="9"/>
      <c r="RCQ1" s="9"/>
      <c r="RCR1" s="9"/>
      <c r="RCS1" s="9"/>
      <c r="RCT1" s="9"/>
      <c r="RCU1" s="9"/>
      <c r="RCV1" s="9"/>
      <c r="RCW1" s="9"/>
      <c r="RCX1" s="9"/>
      <c r="RCY1" s="9"/>
      <c r="RCZ1" s="9"/>
      <c r="RDA1" s="9"/>
      <c r="RDB1" s="9"/>
      <c r="RDC1" s="9"/>
      <c r="RDD1" s="9"/>
      <c r="RDE1" s="9"/>
      <c r="RDF1" s="9"/>
      <c r="RDG1" s="9"/>
      <c r="RDH1" s="9"/>
      <c r="RDI1" s="9"/>
      <c r="RDJ1" s="9"/>
      <c r="RDK1" s="9"/>
      <c r="RDL1" s="9"/>
      <c r="RDM1" s="9"/>
      <c r="RDN1" s="9"/>
      <c r="RDO1" s="9"/>
      <c r="RDP1" s="9"/>
      <c r="RDQ1" s="9"/>
      <c r="RDR1" s="9"/>
      <c r="RDS1" s="9"/>
      <c r="RDT1" s="9"/>
      <c r="RDU1" s="9"/>
      <c r="RDV1" s="9"/>
      <c r="RDW1" s="9"/>
      <c r="RDX1" s="9"/>
      <c r="RDY1" s="9"/>
      <c r="RDZ1" s="9"/>
      <c r="REA1" s="9"/>
      <c r="REB1" s="9"/>
      <c r="REC1" s="9"/>
      <c r="RED1" s="9"/>
      <c r="REE1" s="9"/>
      <c r="REF1" s="9"/>
      <c r="REG1" s="9"/>
      <c r="REH1" s="9"/>
      <c r="REI1" s="9"/>
      <c r="REJ1" s="9"/>
      <c r="REK1" s="9"/>
      <c r="REL1" s="9"/>
      <c r="REM1" s="9"/>
      <c r="REN1" s="9"/>
      <c r="REO1" s="9"/>
      <c r="REP1" s="9"/>
      <c r="REQ1" s="9"/>
      <c r="RER1" s="9"/>
      <c r="RES1" s="9"/>
      <c r="RET1" s="9"/>
      <c r="REU1" s="9"/>
      <c r="REV1" s="9"/>
      <c r="REW1" s="9"/>
      <c r="REX1" s="9"/>
      <c r="REY1" s="9"/>
      <c r="REZ1" s="9"/>
      <c r="RFA1" s="9"/>
      <c r="RFB1" s="9"/>
      <c r="RFC1" s="9"/>
      <c r="RFD1" s="9"/>
      <c r="RFE1" s="9"/>
      <c r="RFF1" s="9"/>
      <c r="RFG1" s="9"/>
      <c r="RFH1" s="9"/>
      <c r="RFI1" s="9"/>
      <c r="RFJ1" s="9"/>
      <c r="RFK1" s="9"/>
      <c r="RFL1" s="9"/>
      <c r="RFM1" s="9"/>
      <c r="RFN1" s="9"/>
      <c r="RFO1" s="9"/>
      <c r="RFP1" s="9"/>
      <c r="RFQ1" s="9"/>
      <c r="RFR1" s="9"/>
      <c r="RFS1" s="9"/>
      <c r="RFT1" s="9"/>
      <c r="RFU1" s="9"/>
      <c r="RFV1" s="9"/>
      <c r="RFW1" s="9"/>
      <c r="RFX1" s="9"/>
      <c r="RFY1" s="9"/>
      <c r="RFZ1" s="9"/>
      <c r="RGA1" s="9"/>
      <c r="RGB1" s="9"/>
      <c r="RGC1" s="9"/>
      <c r="RGD1" s="9"/>
      <c r="RGE1" s="9"/>
      <c r="RGF1" s="9"/>
      <c r="RGG1" s="9"/>
      <c r="RGH1" s="9"/>
      <c r="RGI1" s="9"/>
      <c r="RGJ1" s="9"/>
      <c r="RGK1" s="9"/>
      <c r="RGL1" s="9"/>
      <c r="RGM1" s="9"/>
      <c r="RGN1" s="9"/>
      <c r="RGO1" s="9"/>
      <c r="RGP1" s="9"/>
      <c r="RGQ1" s="9"/>
      <c r="RGR1" s="9"/>
      <c r="RGS1" s="9"/>
      <c r="RGT1" s="9"/>
      <c r="RGU1" s="9"/>
      <c r="RGV1" s="9"/>
      <c r="RGW1" s="9"/>
      <c r="RGX1" s="9"/>
      <c r="RGY1" s="9"/>
      <c r="RGZ1" s="9"/>
      <c r="RHA1" s="9"/>
      <c r="RHB1" s="9"/>
      <c r="RHC1" s="9"/>
      <c r="RHD1" s="9"/>
      <c r="RHE1" s="9"/>
      <c r="RHF1" s="9"/>
      <c r="RHG1" s="9"/>
      <c r="RHH1" s="9"/>
      <c r="RHI1" s="9"/>
      <c r="RHJ1" s="9"/>
      <c r="RHK1" s="9"/>
      <c r="RHL1" s="9"/>
      <c r="RHM1" s="9"/>
      <c r="RHN1" s="9"/>
      <c r="RHO1" s="9"/>
      <c r="RHP1" s="9"/>
      <c r="RHQ1" s="9"/>
      <c r="RHR1" s="9"/>
      <c r="RHS1" s="9"/>
      <c r="RHT1" s="9"/>
      <c r="RHU1" s="9"/>
      <c r="RHV1" s="9"/>
      <c r="RHW1" s="9"/>
      <c r="RHX1" s="9"/>
      <c r="RHY1" s="9"/>
      <c r="RHZ1" s="9"/>
      <c r="RIA1" s="9"/>
      <c r="RIB1" s="9"/>
      <c r="RIC1" s="9"/>
      <c r="RID1" s="9"/>
      <c r="RIE1" s="9"/>
      <c r="RIF1" s="9"/>
      <c r="RIG1" s="9"/>
      <c r="RIH1" s="9"/>
      <c r="RII1" s="9"/>
      <c r="RIJ1" s="9"/>
      <c r="RIK1" s="9"/>
      <c r="RIL1" s="9"/>
      <c r="RIM1" s="9"/>
      <c r="RIN1" s="9"/>
      <c r="RIO1" s="9"/>
      <c r="RIP1" s="9"/>
      <c r="RIQ1" s="9"/>
      <c r="RIR1" s="9"/>
      <c r="RIS1" s="9"/>
      <c r="RIT1" s="9"/>
      <c r="RIU1" s="9"/>
      <c r="RIV1" s="9"/>
      <c r="RIW1" s="9"/>
      <c r="RIX1" s="9"/>
      <c r="RIY1" s="9"/>
      <c r="RIZ1" s="9"/>
      <c r="RJA1" s="9"/>
      <c r="RJB1" s="9"/>
      <c r="RJC1" s="9"/>
      <c r="RJD1" s="9"/>
      <c r="RJE1" s="9"/>
      <c r="RJF1" s="9"/>
      <c r="RJG1" s="9"/>
      <c r="RJH1" s="9"/>
      <c r="RJI1" s="9"/>
      <c r="RJJ1" s="9"/>
      <c r="RJK1" s="9"/>
      <c r="RJL1" s="9"/>
      <c r="RJM1" s="9"/>
      <c r="RJN1" s="9"/>
      <c r="RJO1" s="9"/>
      <c r="RJP1" s="9"/>
      <c r="RJQ1" s="9"/>
      <c r="RJR1" s="9"/>
      <c r="RJS1" s="9"/>
      <c r="RJT1" s="9"/>
      <c r="RJU1" s="9"/>
      <c r="RJV1" s="9"/>
      <c r="RJW1" s="9"/>
      <c r="RJX1" s="9"/>
      <c r="RJY1" s="9"/>
      <c r="RJZ1" s="9"/>
      <c r="RKA1" s="9"/>
      <c r="RKB1" s="9"/>
      <c r="RKC1" s="9"/>
      <c r="RKD1" s="9"/>
      <c r="RKE1" s="9"/>
      <c r="RKF1" s="9"/>
      <c r="RKG1" s="9"/>
      <c r="RKH1" s="9"/>
      <c r="RKI1" s="9"/>
      <c r="RKJ1" s="9"/>
      <c r="RKK1" s="9"/>
      <c r="RKL1" s="9"/>
      <c r="RKM1" s="9"/>
      <c r="RKN1" s="9"/>
      <c r="RKO1" s="9"/>
      <c r="RKP1" s="9"/>
      <c r="RKQ1" s="9"/>
      <c r="RKR1" s="9"/>
      <c r="RKS1" s="9"/>
      <c r="RKT1" s="9"/>
      <c r="RKU1" s="9"/>
      <c r="RKV1" s="9"/>
      <c r="RKW1" s="9"/>
      <c r="RKX1" s="9"/>
      <c r="RKY1" s="9"/>
      <c r="RKZ1" s="9"/>
      <c r="RLA1" s="9"/>
      <c r="RLB1" s="9"/>
      <c r="RLC1" s="9"/>
      <c r="RLD1" s="9"/>
      <c r="RLE1" s="9"/>
      <c r="RLF1" s="9"/>
      <c r="RLG1" s="9"/>
      <c r="RLH1" s="9"/>
      <c r="RLI1" s="9"/>
      <c r="RLJ1" s="9"/>
      <c r="RLK1" s="9"/>
      <c r="RLL1" s="9"/>
      <c r="RLM1" s="9"/>
      <c r="RLN1" s="9"/>
      <c r="RLO1" s="9"/>
      <c r="RLP1" s="9"/>
      <c r="RLQ1" s="9"/>
      <c r="RLR1" s="9"/>
      <c r="RLS1" s="9"/>
      <c r="RLT1" s="9"/>
      <c r="RLU1" s="9"/>
      <c r="RLV1" s="9"/>
      <c r="RLW1" s="9"/>
      <c r="RLX1" s="9"/>
      <c r="RLY1" s="9"/>
      <c r="RLZ1" s="9"/>
      <c r="RMA1" s="9"/>
      <c r="RMB1" s="9"/>
      <c r="RMC1" s="9"/>
      <c r="RMD1" s="9"/>
      <c r="RME1" s="9"/>
      <c r="RMF1" s="9"/>
      <c r="RMG1" s="9"/>
      <c r="RMH1" s="9"/>
      <c r="RMI1" s="9"/>
      <c r="RMJ1" s="9"/>
      <c r="RMK1" s="9"/>
      <c r="RML1" s="9"/>
      <c r="RMM1" s="9"/>
      <c r="RMN1" s="9"/>
      <c r="RMO1" s="9"/>
      <c r="RMP1" s="9"/>
      <c r="RMQ1" s="9"/>
      <c r="RMR1" s="9"/>
      <c r="RMS1" s="9"/>
      <c r="RMT1" s="9"/>
      <c r="RMU1" s="9"/>
      <c r="RMV1" s="9"/>
      <c r="RMW1" s="9"/>
      <c r="RMX1" s="9"/>
      <c r="RMY1" s="9"/>
      <c r="RMZ1" s="9"/>
      <c r="RNA1" s="9"/>
      <c r="RNB1" s="9"/>
      <c r="RNC1" s="9"/>
      <c r="RND1" s="9"/>
      <c r="RNE1" s="9"/>
      <c r="RNF1" s="9"/>
      <c r="RNG1" s="9"/>
      <c r="RNH1" s="9"/>
      <c r="RNI1" s="9"/>
      <c r="RNJ1" s="9"/>
      <c r="RNK1" s="9"/>
      <c r="RNL1" s="9"/>
      <c r="RNM1" s="9"/>
      <c r="RNN1" s="9"/>
      <c r="RNO1" s="9"/>
      <c r="RNP1" s="9"/>
      <c r="RNQ1" s="9"/>
      <c r="RNR1" s="9"/>
      <c r="RNS1" s="9"/>
      <c r="RNT1" s="9"/>
      <c r="RNU1" s="9"/>
      <c r="RNV1" s="9"/>
      <c r="RNW1" s="9"/>
      <c r="RNX1" s="9"/>
      <c r="RNY1" s="9"/>
      <c r="RNZ1" s="9"/>
      <c r="ROA1" s="9"/>
      <c r="ROB1" s="9"/>
      <c r="ROC1" s="9"/>
      <c r="ROD1" s="9"/>
      <c r="ROE1" s="9"/>
      <c r="ROF1" s="9"/>
      <c r="ROG1" s="9"/>
      <c r="ROH1" s="9"/>
      <c r="ROI1" s="9"/>
      <c r="ROJ1" s="9"/>
      <c r="ROK1" s="9"/>
      <c r="ROL1" s="9"/>
      <c r="ROM1" s="9"/>
      <c r="RON1" s="9"/>
      <c r="ROO1" s="9"/>
      <c r="ROP1" s="9"/>
      <c r="ROQ1" s="9"/>
      <c r="ROR1" s="9"/>
      <c r="ROS1" s="9"/>
      <c r="ROT1" s="9"/>
      <c r="ROU1" s="9"/>
      <c r="ROV1" s="9"/>
      <c r="ROW1" s="9"/>
      <c r="ROX1" s="9"/>
      <c r="ROY1" s="9"/>
      <c r="ROZ1" s="9"/>
      <c r="RPA1" s="9"/>
      <c r="RPB1" s="9"/>
      <c r="RPC1" s="9"/>
      <c r="RPD1" s="9"/>
      <c r="RPE1" s="9"/>
      <c r="RPF1" s="9"/>
      <c r="RPG1" s="9"/>
      <c r="RPH1" s="9"/>
      <c r="RPI1" s="9"/>
      <c r="RPJ1" s="9"/>
      <c r="RPK1" s="9"/>
      <c r="RPL1" s="9"/>
      <c r="RPM1" s="9"/>
      <c r="RPN1" s="9"/>
      <c r="RPO1" s="9"/>
      <c r="RPP1" s="9"/>
      <c r="RPQ1" s="9"/>
      <c r="RPR1" s="9"/>
      <c r="RPS1" s="9"/>
      <c r="RPT1" s="9"/>
      <c r="RPU1" s="9"/>
      <c r="RPV1" s="9"/>
      <c r="RPW1" s="9"/>
      <c r="RPX1" s="9"/>
      <c r="RPY1" s="9"/>
      <c r="RPZ1" s="9"/>
      <c r="RQA1" s="9"/>
      <c r="RQB1" s="9"/>
      <c r="RQC1" s="9"/>
      <c r="RQD1" s="9"/>
      <c r="RQE1" s="9"/>
      <c r="RQF1" s="9"/>
      <c r="RQG1" s="9"/>
      <c r="RQH1" s="9"/>
      <c r="RQI1" s="9"/>
      <c r="RQJ1" s="9"/>
      <c r="RQK1" s="9"/>
      <c r="RQL1" s="9"/>
      <c r="RQM1" s="9"/>
      <c r="RQN1" s="9"/>
      <c r="RQO1" s="9"/>
      <c r="RQP1" s="9"/>
      <c r="RQQ1" s="9"/>
      <c r="RQR1" s="9"/>
      <c r="RQS1" s="9"/>
      <c r="RQT1" s="9"/>
      <c r="RQU1" s="9"/>
      <c r="RQV1" s="9"/>
      <c r="RQW1" s="9"/>
      <c r="RQX1" s="9"/>
      <c r="RQY1" s="9"/>
      <c r="RQZ1" s="9"/>
      <c r="RRA1" s="9"/>
      <c r="RRB1" s="9"/>
      <c r="RRC1" s="9"/>
      <c r="RRD1" s="9"/>
      <c r="RRE1" s="9"/>
      <c r="RRF1" s="9"/>
      <c r="RRG1" s="9"/>
      <c r="RRH1" s="9"/>
      <c r="RRI1" s="9"/>
      <c r="RRJ1" s="9"/>
      <c r="RRK1" s="9"/>
      <c r="RRL1" s="9"/>
      <c r="RRM1" s="9"/>
      <c r="RRN1" s="9"/>
      <c r="RRO1" s="9"/>
      <c r="RRP1" s="9"/>
      <c r="RRQ1" s="9"/>
      <c r="RRR1" s="9"/>
      <c r="RRS1" s="9"/>
      <c r="RRT1" s="9"/>
      <c r="RRU1" s="9"/>
      <c r="RRV1" s="9"/>
      <c r="RRW1" s="9"/>
      <c r="RRX1" s="9"/>
      <c r="RRY1" s="9"/>
      <c r="RRZ1" s="9"/>
      <c r="RSA1" s="9"/>
      <c r="RSB1" s="9"/>
      <c r="RSC1" s="9"/>
      <c r="RSD1" s="9"/>
      <c r="RSE1" s="9"/>
      <c r="RSF1" s="9"/>
      <c r="RSG1" s="9"/>
      <c r="RSH1" s="9"/>
      <c r="RSI1" s="9"/>
      <c r="RSJ1" s="9"/>
      <c r="RSK1" s="9"/>
      <c r="RSL1" s="9"/>
      <c r="RSM1" s="9"/>
      <c r="RSN1" s="9"/>
      <c r="RSO1" s="9"/>
      <c r="RSP1" s="9"/>
      <c r="RSQ1" s="9"/>
      <c r="RSR1" s="9"/>
      <c r="RSS1" s="9"/>
      <c r="RST1" s="9"/>
      <c r="RSU1" s="9"/>
      <c r="RSV1" s="9"/>
      <c r="RSW1" s="9"/>
      <c r="RSX1" s="9"/>
      <c r="RSY1" s="9"/>
      <c r="RSZ1" s="9"/>
      <c r="RTA1" s="9"/>
      <c r="RTB1" s="9"/>
      <c r="RTC1" s="9"/>
      <c r="RTD1" s="9"/>
      <c r="RTE1" s="9"/>
      <c r="RTF1" s="9"/>
      <c r="RTG1" s="9"/>
      <c r="RTH1" s="9"/>
      <c r="RTI1" s="9"/>
      <c r="RTJ1" s="9"/>
      <c r="RTK1" s="9"/>
      <c r="RTL1" s="9"/>
      <c r="RTM1" s="9"/>
      <c r="RTN1" s="9"/>
      <c r="RTO1" s="9"/>
      <c r="RTP1" s="9"/>
      <c r="RTQ1" s="9"/>
      <c r="RTR1" s="9"/>
      <c r="RTS1" s="9"/>
      <c r="RTT1" s="9"/>
      <c r="RTU1" s="9"/>
      <c r="RTV1" s="9"/>
      <c r="RTW1" s="9"/>
      <c r="RTX1" s="9"/>
      <c r="RTY1" s="9"/>
      <c r="RTZ1" s="9"/>
      <c r="RUA1" s="9"/>
      <c r="RUB1" s="9"/>
      <c r="RUC1" s="9"/>
      <c r="RUD1" s="9"/>
      <c r="RUE1" s="9"/>
      <c r="RUF1" s="9"/>
      <c r="RUG1" s="9"/>
      <c r="RUH1" s="9"/>
      <c r="RUI1" s="9"/>
      <c r="RUJ1" s="9"/>
      <c r="RUK1" s="9"/>
      <c r="RUL1" s="9"/>
      <c r="RUM1" s="9"/>
      <c r="RUN1" s="9"/>
      <c r="RUO1" s="9"/>
      <c r="RUP1" s="9"/>
      <c r="RUQ1" s="9"/>
      <c r="RUR1" s="9"/>
      <c r="RUS1" s="9"/>
      <c r="RUT1" s="9"/>
      <c r="RUU1" s="9"/>
      <c r="RUV1" s="9"/>
      <c r="RUW1" s="9"/>
      <c r="RUX1" s="9"/>
      <c r="RUY1" s="9"/>
      <c r="RUZ1" s="9"/>
      <c r="RVA1" s="9"/>
      <c r="RVB1" s="9"/>
      <c r="RVC1" s="9"/>
      <c r="RVD1" s="9"/>
      <c r="RVE1" s="9"/>
      <c r="RVF1" s="9"/>
      <c r="RVG1" s="9"/>
      <c r="RVH1" s="9"/>
      <c r="RVI1" s="9"/>
      <c r="RVJ1" s="9"/>
      <c r="RVK1" s="9"/>
      <c r="RVL1" s="9"/>
      <c r="RVM1" s="9"/>
      <c r="RVN1" s="9"/>
      <c r="RVO1" s="9"/>
      <c r="RVP1" s="9"/>
      <c r="RVQ1" s="9"/>
      <c r="RVR1" s="9"/>
      <c r="RVS1" s="9"/>
      <c r="RVT1" s="9"/>
      <c r="RVU1" s="9"/>
      <c r="RVV1" s="9"/>
      <c r="RVW1" s="9"/>
      <c r="RVX1" s="9"/>
      <c r="RVY1" s="9"/>
      <c r="RVZ1" s="9"/>
      <c r="RWA1" s="9"/>
      <c r="RWB1" s="9"/>
      <c r="RWC1" s="9"/>
      <c r="RWD1" s="9"/>
      <c r="RWE1" s="9"/>
      <c r="RWF1" s="9"/>
      <c r="RWG1" s="9"/>
      <c r="RWH1" s="9"/>
      <c r="RWI1" s="9"/>
      <c r="RWJ1" s="9"/>
      <c r="RWK1" s="9"/>
      <c r="RWL1" s="9"/>
      <c r="RWM1" s="9"/>
      <c r="RWN1" s="9"/>
      <c r="RWO1" s="9"/>
      <c r="RWP1" s="9"/>
      <c r="RWQ1" s="9"/>
      <c r="RWR1" s="9"/>
      <c r="RWS1" s="9"/>
      <c r="RWT1" s="9"/>
      <c r="RWU1" s="9"/>
      <c r="RWV1" s="9"/>
      <c r="RWW1" s="9"/>
      <c r="RWX1" s="9"/>
      <c r="RWY1" s="9"/>
      <c r="RWZ1" s="9"/>
      <c r="RXA1" s="9"/>
      <c r="RXB1" s="9"/>
      <c r="RXC1" s="9"/>
      <c r="RXD1" s="9"/>
      <c r="RXE1" s="9"/>
      <c r="RXF1" s="9"/>
      <c r="RXG1" s="9"/>
      <c r="RXH1" s="9"/>
      <c r="RXI1" s="9"/>
      <c r="RXJ1" s="9"/>
      <c r="RXK1" s="9"/>
      <c r="RXL1" s="9"/>
      <c r="RXM1" s="9"/>
      <c r="RXN1" s="9"/>
      <c r="RXO1" s="9"/>
      <c r="RXP1" s="9"/>
      <c r="RXQ1" s="9"/>
      <c r="RXR1" s="9"/>
      <c r="RXS1" s="9"/>
      <c r="RXT1" s="9"/>
      <c r="RXU1" s="9"/>
      <c r="RXV1" s="9"/>
      <c r="RXW1" s="9"/>
      <c r="RXX1" s="9"/>
      <c r="RXY1" s="9"/>
      <c r="RXZ1" s="9"/>
      <c r="RYA1" s="9"/>
      <c r="RYB1" s="9"/>
      <c r="RYC1" s="9"/>
      <c r="RYD1" s="9"/>
      <c r="RYE1" s="9"/>
      <c r="RYF1" s="9"/>
      <c r="RYG1" s="9"/>
      <c r="RYH1" s="9"/>
      <c r="RYI1" s="9"/>
      <c r="RYJ1" s="9"/>
      <c r="RYK1" s="9"/>
      <c r="RYL1" s="9"/>
      <c r="RYM1" s="9"/>
      <c r="RYN1" s="9"/>
      <c r="RYO1" s="9"/>
      <c r="RYP1" s="9"/>
      <c r="RYQ1" s="9"/>
      <c r="RYR1" s="9"/>
      <c r="RYS1" s="9"/>
      <c r="RYT1" s="9"/>
      <c r="RYU1" s="9"/>
      <c r="RYV1" s="9"/>
      <c r="RYW1" s="9"/>
      <c r="RYX1" s="9"/>
      <c r="RYY1" s="9"/>
      <c r="RYZ1" s="9"/>
      <c r="RZA1" s="9"/>
      <c r="RZB1" s="9"/>
      <c r="RZC1" s="9"/>
      <c r="RZD1" s="9"/>
      <c r="RZE1" s="9"/>
      <c r="RZF1" s="9"/>
      <c r="RZG1" s="9"/>
      <c r="RZH1" s="9"/>
      <c r="RZI1" s="9"/>
      <c r="RZJ1" s="9"/>
      <c r="RZK1" s="9"/>
      <c r="RZL1" s="9"/>
      <c r="RZM1" s="9"/>
      <c r="RZN1" s="9"/>
      <c r="RZO1" s="9"/>
      <c r="RZP1" s="9"/>
      <c r="RZQ1" s="9"/>
      <c r="RZR1" s="9"/>
      <c r="RZS1" s="9"/>
      <c r="RZT1" s="9"/>
      <c r="RZU1" s="9"/>
      <c r="RZV1" s="9"/>
      <c r="RZW1" s="9"/>
      <c r="RZX1" s="9"/>
      <c r="RZY1" s="9"/>
      <c r="RZZ1" s="9"/>
      <c r="SAA1" s="9"/>
      <c r="SAB1" s="9"/>
      <c r="SAC1" s="9"/>
      <c r="SAD1" s="9"/>
      <c r="SAE1" s="9"/>
      <c r="SAF1" s="9"/>
      <c r="SAG1" s="9"/>
      <c r="SAH1" s="9"/>
      <c r="SAI1" s="9"/>
      <c r="SAJ1" s="9"/>
      <c r="SAK1" s="9"/>
      <c r="SAL1" s="9"/>
      <c r="SAM1" s="9"/>
      <c r="SAN1" s="9"/>
      <c r="SAO1" s="9"/>
      <c r="SAP1" s="9"/>
      <c r="SAQ1" s="9"/>
      <c r="SAR1" s="9"/>
      <c r="SAS1" s="9"/>
      <c r="SAT1" s="9"/>
      <c r="SAU1" s="9"/>
      <c r="SAV1" s="9"/>
      <c r="SAW1" s="9"/>
      <c r="SAX1" s="9"/>
      <c r="SAY1" s="9"/>
      <c r="SAZ1" s="9"/>
      <c r="SBA1" s="9"/>
      <c r="SBB1" s="9"/>
      <c r="SBC1" s="9"/>
      <c r="SBD1" s="9"/>
      <c r="SBE1" s="9"/>
      <c r="SBF1" s="9"/>
      <c r="SBG1" s="9"/>
      <c r="SBH1" s="9"/>
      <c r="SBI1" s="9"/>
      <c r="SBJ1" s="9"/>
      <c r="SBK1" s="9"/>
      <c r="SBL1" s="9"/>
      <c r="SBM1" s="9"/>
      <c r="SBN1" s="9"/>
      <c r="SBO1" s="9"/>
      <c r="SBP1" s="9"/>
      <c r="SBQ1" s="9"/>
      <c r="SBR1" s="9"/>
      <c r="SBS1" s="9"/>
      <c r="SBT1" s="9"/>
      <c r="SBU1" s="9"/>
      <c r="SBV1" s="9"/>
      <c r="SBW1" s="9"/>
      <c r="SBX1" s="9"/>
      <c r="SBY1" s="9"/>
      <c r="SBZ1" s="9"/>
      <c r="SCA1" s="9"/>
      <c r="SCB1" s="9"/>
      <c r="SCC1" s="9"/>
      <c r="SCD1" s="9"/>
      <c r="SCE1" s="9"/>
      <c r="SCF1" s="9"/>
      <c r="SCG1" s="9"/>
      <c r="SCH1" s="9"/>
      <c r="SCI1" s="9"/>
      <c r="SCJ1" s="9"/>
      <c r="SCK1" s="9"/>
      <c r="SCL1" s="9"/>
      <c r="SCM1" s="9"/>
      <c r="SCN1" s="9"/>
      <c r="SCO1" s="9"/>
      <c r="SCP1" s="9"/>
      <c r="SCQ1" s="9"/>
      <c r="SCR1" s="9"/>
      <c r="SCS1" s="9"/>
      <c r="SCT1" s="9"/>
      <c r="SCU1" s="9"/>
      <c r="SCV1" s="9"/>
      <c r="SCW1" s="9"/>
      <c r="SCX1" s="9"/>
      <c r="SCY1" s="9"/>
      <c r="SCZ1" s="9"/>
      <c r="SDA1" s="9"/>
      <c r="SDB1" s="9"/>
      <c r="SDC1" s="9"/>
      <c r="SDD1" s="9"/>
      <c r="SDE1" s="9"/>
      <c r="SDF1" s="9"/>
      <c r="SDG1" s="9"/>
      <c r="SDH1" s="9"/>
      <c r="SDI1" s="9"/>
      <c r="SDJ1" s="9"/>
      <c r="SDK1" s="9"/>
      <c r="SDL1" s="9"/>
      <c r="SDM1" s="9"/>
      <c r="SDN1" s="9"/>
      <c r="SDO1" s="9"/>
      <c r="SDP1" s="9"/>
      <c r="SDQ1" s="9"/>
      <c r="SDR1" s="9"/>
      <c r="SDS1" s="9"/>
      <c r="SDT1" s="9"/>
      <c r="SDU1" s="9"/>
      <c r="SDV1" s="9"/>
      <c r="SDW1" s="9"/>
      <c r="SDX1" s="9"/>
      <c r="SDY1" s="9"/>
      <c r="SDZ1" s="9"/>
      <c r="SEA1" s="9"/>
      <c r="SEB1" s="9"/>
      <c r="SEC1" s="9"/>
      <c r="SED1" s="9"/>
      <c r="SEE1" s="9"/>
      <c r="SEF1" s="9"/>
      <c r="SEG1" s="9"/>
      <c r="SEH1" s="9"/>
      <c r="SEI1" s="9"/>
      <c r="SEJ1" s="9"/>
      <c r="SEK1" s="9"/>
      <c r="SEL1" s="9"/>
      <c r="SEM1" s="9"/>
      <c r="SEN1" s="9"/>
      <c r="SEO1" s="9"/>
      <c r="SEP1" s="9"/>
      <c r="SEQ1" s="9"/>
      <c r="SER1" s="9"/>
      <c r="SES1" s="9"/>
      <c r="SET1" s="9"/>
      <c r="SEU1" s="9"/>
      <c r="SEV1" s="9"/>
      <c r="SEW1" s="9"/>
      <c r="SEX1" s="9"/>
      <c r="SEY1" s="9"/>
      <c r="SEZ1" s="9"/>
      <c r="SFA1" s="9"/>
      <c r="SFB1" s="9"/>
      <c r="SFC1" s="9"/>
      <c r="SFD1" s="9"/>
      <c r="SFE1" s="9"/>
      <c r="SFF1" s="9"/>
      <c r="SFG1" s="9"/>
      <c r="SFH1" s="9"/>
      <c r="SFI1" s="9"/>
      <c r="SFJ1" s="9"/>
      <c r="SFK1" s="9"/>
      <c r="SFL1" s="9"/>
      <c r="SFM1" s="9"/>
      <c r="SFN1" s="9"/>
      <c r="SFO1" s="9"/>
      <c r="SFP1" s="9"/>
      <c r="SFQ1" s="9"/>
      <c r="SFR1" s="9"/>
      <c r="SFS1" s="9"/>
      <c r="SFT1" s="9"/>
      <c r="SFU1" s="9"/>
      <c r="SFV1" s="9"/>
      <c r="SFW1" s="9"/>
      <c r="SFX1" s="9"/>
      <c r="SFY1" s="9"/>
      <c r="SFZ1" s="9"/>
      <c r="SGA1" s="9"/>
      <c r="SGB1" s="9"/>
      <c r="SGC1" s="9"/>
      <c r="SGD1" s="9"/>
      <c r="SGE1" s="9"/>
      <c r="SGF1" s="9"/>
      <c r="SGG1" s="9"/>
      <c r="SGH1" s="9"/>
      <c r="SGI1" s="9"/>
      <c r="SGJ1" s="9"/>
      <c r="SGK1" s="9"/>
      <c r="SGL1" s="9"/>
      <c r="SGM1" s="9"/>
      <c r="SGN1" s="9"/>
      <c r="SGO1" s="9"/>
      <c r="SGP1" s="9"/>
      <c r="SGQ1" s="9"/>
      <c r="SGR1" s="9"/>
      <c r="SGS1" s="9"/>
      <c r="SGT1" s="9"/>
      <c r="SGU1" s="9"/>
      <c r="SGV1" s="9"/>
      <c r="SGW1" s="9"/>
      <c r="SGX1" s="9"/>
      <c r="SGY1" s="9"/>
      <c r="SGZ1" s="9"/>
      <c r="SHA1" s="9"/>
      <c r="SHB1" s="9"/>
      <c r="SHC1" s="9"/>
      <c r="SHD1" s="9"/>
      <c r="SHE1" s="9"/>
      <c r="SHF1" s="9"/>
      <c r="SHG1" s="9"/>
      <c r="SHH1" s="9"/>
      <c r="SHI1" s="9"/>
      <c r="SHJ1" s="9"/>
      <c r="SHK1" s="9"/>
      <c r="SHL1" s="9"/>
      <c r="SHM1" s="9"/>
      <c r="SHN1" s="9"/>
      <c r="SHO1" s="9"/>
      <c r="SHP1" s="9"/>
      <c r="SHQ1" s="9"/>
      <c r="SHR1" s="9"/>
      <c r="SHS1" s="9"/>
      <c r="SHT1" s="9"/>
      <c r="SHU1" s="9"/>
      <c r="SHV1" s="9"/>
      <c r="SHW1" s="9"/>
      <c r="SHX1" s="9"/>
      <c r="SHY1" s="9"/>
      <c r="SHZ1" s="9"/>
      <c r="SIA1" s="9"/>
      <c r="SIB1" s="9"/>
      <c r="SIC1" s="9"/>
      <c r="SID1" s="9"/>
      <c r="SIE1" s="9"/>
      <c r="SIF1" s="9"/>
      <c r="SIG1" s="9"/>
      <c r="SIH1" s="9"/>
      <c r="SII1" s="9"/>
      <c r="SIJ1" s="9"/>
      <c r="SIK1" s="9"/>
      <c r="SIL1" s="9"/>
      <c r="SIM1" s="9"/>
      <c r="SIN1" s="9"/>
      <c r="SIO1" s="9"/>
      <c r="SIP1" s="9"/>
      <c r="SIQ1" s="9"/>
      <c r="SIR1" s="9"/>
      <c r="SIS1" s="9"/>
      <c r="SIT1" s="9"/>
      <c r="SIU1" s="9"/>
      <c r="SIV1" s="9"/>
      <c r="SIW1" s="9"/>
      <c r="SIX1" s="9"/>
      <c r="SIY1" s="9"/>
      <c r="SIZ1" s="9"/>
      <c r="SJA1" s="9"/>
      <c r="SJB1" s="9"/>
      <c r="SJC1" s="9"/>
      <c r="SJD1" s="9"/>
      <c r="SJE1" s="9"/>
      <c r="SJF1" s="9"/>
      <c r="SJG1" s="9"/>
      <c r="SJH1" s="9"/>
      <c r="SJI1" s="9"/>
      <c r="SJJ1" s="9"/>
      <c r="SJK1" s="9"/>
      <c r="SJL1" s="9"/>
      <c r="SJM1" s="9"/>
      <c r="SJN1" s="9"/>
      <c r="SJO1" s="9"/>
      <c r="SJP1" s="9"/>
      <c r="SJQ1" s="9"/>
      <c r="SJR1" s="9"/>
      <c r="SJS1" s="9"/>
      <c r="SJT1" s="9"/>
      <c r="SJU1" s="9"/>
      <c r="SJV1" s="9"/>
      <c r="SJW1" s="9"/>
      <c r="SJX1" s="9"/>
      <c r="SJY1" s="9"/>
      <c r="SJZ1" s="9"/>
      <c r="SKA1" s="9"/>
      <c r="SKB1" s="9"/>
      <c r="SKC1" s="9"/>
      <c r="SKD1" s="9"/>
      <c r="SKE1" s="9"/>
      <c r="SKF1" s="9"/>
      <c r="SKG1" s="9"/>
      <c r="SKH1" s="9"/>
      <c r="SKI1" s="9"/>
      <c r="SKJ1" s="9"/>
      <c r="SKK1" s="9"/>
      <c r="SKL1" s="9"/>
      <c r="SKM1" s="9"/>
      <c r="SKN1" s="9"/>
      <c r="SKO1" s="9"/>
      <c r="SKP1" s="9"/>
      <c r="SKQ1" s="9"/>
      <c r="SKR1" s="9"/>
      <c r="SKS1" s="9"/>
      <c r="SKT1" s="9"/>
      <c r="SKU1" s="9"/>
      <c r="SKV1" s="9"/>
      <c r="SKW1" s="9"/>
      <c r="SKX1" s="9"/>
      <c r="SKY1" s="9"/>
      <c r="SKZ1" s="9"/>
      <c r="SLA1" s="9"/>
      <c r="SLB1" s="9"/>
      <c r="SLC1" s="9"/>
      <c r="SLD1" s="9"/>
      <c r="SLE1" s="9"/>
      <c r="SLF1" s="9"/>
      <c r="SLG1" s="9"/>
      <c r="SLH1" s="9"/>
      <c r="SLI1" s="9"/>
      <c r="SLJ1" s="9"/>
      <c r="SLK1" s="9"/>
      <c r="SLL1" s="9"/>
      <c r="SLM1" s="9"/>
      <c r="SLN1" s="9"/>
      <c r="SLO1" s="9"/>
      <c r="SLP1" s="9"/>
      <c r="SLQ1" s="9"/>
      <c r="SLR1" s="9"/>
      <c r="SLS1" s="9"/>
      <c r="SLT1" s="9"/>
      <c r="SLU1" s="9"/>
      <c r="SLV1" s="9"/>
      <c r="SLW1" s="9"/>
      <c r="SLX1" s="9"/>
      <c r="SLY1" s="9"/>
      <c r="SLZ1" s="9"/>
      <c r="SMA1" s="9"/>
      <c r="SMB1" s="9"/>
      <c r="SMC1" s="9"/>
      <c r="SMD1" s="9"/>
      <c r="SME1" s="9"/>
      <c r="SMF1" s="9"/>
      <c r="SMG1" s="9"/>
      <c r="SMH1" s="9"/>
      <c r="SMI1" s="9"/>
      <c r="SMJ1" s="9"/>
      <c r="SMK1" s="9"/>
      <c r="SML1" s="9"/>
      <c r="SMM1" s="9"/>
      <c r="SMN1" s="9"/>
      <c r="SMO1" s="9"/>
      <c r="SMP1" s="9"/>
      <c r="SMQ1" s="9"/>
      <c r="SMR1" s="9"/>
      <c r="SMS1" s="9"/>
      <c r="SMT1" s="9"/>
      <c r="SMU1" s="9"/>
      <c r="SMV1" s="9"/>
      <c r="SMW1" s="9"/>
      <c r="SMX1" s="9"/>
      <c r="SMY1" s="9"/>
      <c r="SMZ1" s="9"/>
      <c r="SNA1" s="9"/>
      <c r="SNB1" s="9"/>
      <c r="SNC1" s="9"/>
      <c r="SND1" s="9"/>
      <c r="SNE1" s="9"/>
      <c r="SNF1" s="9"/>
      <c r="SNG1" s="9"/>
      <c r="SNH1" s="9"/>
      <c r="SNI1" s="9"/>
      <c r="SNJ1" s="9"/>
      <c r="SNK1" s="9"/>
      <c r="SNL1" s="9"/>
      <c r="SNM1" s="9"/>
      <c r="SNN1" s="9"/>
      <c r="SNO1" s="9"/>
      <c r="SNP1" s="9"/>
      <c r="SNQ1" s="9"/>
      <c r="SNR1" s="9"/>
      <c r="SNS1" s="9"/>
      <c r="SNT1" s="9"/>
      <c r="SNU1" s="9"/>
      <c r="SNV1" s="9"/>
      <c r="SNW1" s="9"/>
      <c r="SNX1" s="9"/>
      <c r="SNY1" s="9"/>
      <c r="SNZ1" s="9"/>
      <c r="SOA1" s="9"/>
      <c r="SOB1" s="9"/>
      <c r="SOC1" s="9"/>
      <c r="SOD1" s="9"/>
      <c r="SOE1" s="9"/>
      <c r="SOF1" s="9"/>
      <c r="SOG1" s="9"/>
      <c r="SOH1" s="9"/>
      <c r="SOI1" s="9"/>
      <c r="SOJ1" s="9"/>
      <c r="SOK1" s="9"/>
      <c r="SOL1" s="9"/>
      <c r="SOM1" s="9"/>
      <c r="SON1" s="9"/>
      <c r="SOO1" s="9"/>
      <c r="SOP1" s="9"/>
      <c r="SOQ1" s="9"/>
      <c r="SOR1" s="9"/>
      <c r="SOS1" s="9"/>
      <c r="SOT1" s="9"/>
      <c r="SOU1" s="9"/>
      <c r="SOV1" s="9"/>
      <c r="SOW1" s="9"/>
      <c r="SOX1" s="9"/>
      <c r="SOY1" s="9"/>
      <c r="SOZ1" s="9"/>
      <c r="SPA1" s="9"/>
      <c r="SPB1" s="9"/>
      <c r="SPC1" s="9"/>
      <c r="SPD1" s="9"/>
      <c r="SPE1" s="9"/>
      <c r="SPF1" s="9"/>
      <c r="SPG1" s="9"/>
      <c r="SPH1" s="9"/>
      <c r="SPI1" s="9"/>
      <c r="SPJ1" s="9"/>
      <c r="SPK1" s="9"/>
      <c r="SPL1" s="9"/>
      <c r="SPM1" s="9"/>
      <c r="SPN1" s="9"/>
      <c r="SPO1" s="9"/>
      <c r="SPP1" s="9"/>
      <c r="SPQ1" s="9"/>
      <c r="SPR1" s="9"/>
      <c r="SPS1" s="9"/>
      <c r="SPT1" s="9"/>
      <c r="SPU1" s="9"/>
      <c r="SPV1" s="9"/>
      <c r="SPW1" s="9"/>
      <c r="SPX1" s="9"/>
      <c r="SPY1" s="9"/>
      <c r="SPZ1" s="9"/>
      <c r="SQA1" s="9"/>
      <c r="SQB1" s="9"/>
      <c r="SQC1" s="9"/>
      <c r="SQD1" s="9"/>
      <c r="SQE1" s="9"/>
      <c r="SQF1" s="9"/>
      <c r="SQG1" s="9"/>
      <c r="SQH1" s="9"/>
      <c r="SQI1" s="9"/>
      <c r="SQJ1" s="9"/>
      <c r="SQK1" s="9"/>
      <c r="SQL1" s="9"/>
      <c r="SQM1" s="9"/>
      <c r="SQN1" s="9"/>
      <c r="SQO1" s="9"/>
      <c r="SQP1" s="9"/>
      <c r="SQQ1" s="9"/>
      <c r="SQR1" s="9"/>
      <c r="SQS1" s="9"/>
      <c r="SQT1" s="9"/>
      <c r="SQU1" s="9"/>
      <c r="SQV1" s="9"/>
      <c r="SQW1" s="9"/>
      <c r="SQX1" s="9"/>
      <c r="SQY1" s="9"/>
      <c r="SQZ1" s="9"/>
      <c r="SRA1" s="9"/>
      <c r="SRB1" s="9"/>
      <c r="SRC1" s="9"/>
      <c r="SRD1" s="9"/>
      <c r="SRE1" s="9"/>
      <c r="SRF1" s="9"/>
      <c r="SRG1" s="9"/>
      <c r="SRH1" s="9"/>
      <c r="SRI1" s="9"/>
      <c r="SRJ1" s="9"/>
      <c r="SRK1" s="9"/>
      <c r="SRL1" s="9"/>
      <c r="SRM1" s="9"/>
      <c r="SRN1" s="9"/>
      <c r="SRO1" s="9"/>
      <c r="SRP1" s="9"/>
      <c r="SRQ1" s="9"/>
      <c r="SRR1" s="9"/>
      <c r="SRS1" s="9"/>
      <c r="SRT1" s="9"/>
      <c r="SRU1" s="9"/>
      <c r="SRV1" s="9"/>
      <c r="SRW1" s="9"/>
      <c r="SRX1" s="9"/>
      <c r="SRY1" s="9"/>
      <c r="SRZ1" s="9"/>
      <c r="SSA1" s="9"/>
      <c r="SSB1" s="9"/>
      <c r="SSC1" s="9"/>
      <c r="SSD1" s="9"/>
      <c r="SSE1" s="9"/>
      <c r="SSF1" s="9"/>
      <c r="SSG1" s="9"/>
      <c r="SSH1" s="9"/>
      <c r="SSI1" s="9"/>
      <c r="SSJ1" s="9"/>
      <c r="SSK1" s="9"/>
      <c r="SSL1" s="9"/>
      <c r="SSM1" s="9"/>
      <c r="SSN1" s="9"/>
      <c r="SSO1" s="9"/>
      <c r="SSP1" s="9"/>
      <c r="SSQ1" s="9"/>
      <c r="SSR1" s="9"/>
      <c r="SSS1" s="9"/>
      <c r="SST1" s="9"/>
      <c r="SSU1" s="9"/>
      <c r="SSV1" s="9"/>
      <c r="SSW1" s="9"/>
      <c r="SSX1" s="9"/>
      <c r="SSY1" s="9"/>
      <c r="SSZ1" s="9"/>
      <c r="STA1" s="9"/>
      <c r="STB1" s="9"/>
      <c r="STC1" s="9"/>
      <c r="STD1" s="9"/>
      <c r="STE1" s="9"/>
      <c r="STF1" s="9"/>
      <c r="STG1" s="9"/>
      <c r="STH1" s="9"/>
      <c r="STI1" s="9"/>
      <c r="STJ1" s="9"/>
      <c r="STK1" s="9"/>
      <c r="STL1" s="9"/>
      <c r="STM1" s="9"/>
      <c r="STN1" s="9"/>
      <c r="STO1" s="9"/>
      <c r="STP1" s="9"/>
      <c r="STQ1" s="9"/>
      <c r="STR1" s="9"/>
      <c r="STS1" s="9"/>
      <c r="STT1" s="9"/>
      <c r="STU1" s="9"/>
      <c r="STV1" s="9"/>
      <c r="STW1" s="9"/>
      <c r="STX1" s="9"/>
      <c r="STY1" s="9"/>
      <c r="STZ1" s="9"/>
      <c r="SUA1" s="9"/>
      <c r="SUB1" s="9"/>
      <c r="SUC1" s="9"/>
      <c r="SUD1" s="9"/>
      <c r="SUE1" s="9"/>
      <c r="SUF1" s="9"/>
      <c r="SUG1" s="9"/>
      <c r="SUH1" s="9"/>
      <c r="SUI1" s="9"/>
      <c r="SUJ1" s="9"/>
      <c r="SUK1" s="9"/>
      <c r="SUL1" s="9"/>
      <c r="SUM1" s="9"/>
      <c r="SUN1" s="9"/>
      <c r="SUO1" s="9"/>
      <c r="SUP1" s="9"/>
      <c r="SUQ1" s="9"/>
      <c r="SUR1" s="9"/>
      <c r="SUS1" s="9"/>
      <c r="SUT1" s="9"/>
      <c r="SUU1" s="9"/>
      <c r="SUV1" s="9"/>
      <c r="SUW1" s="9"/>
      <c r="SUX1" s="9"/>
      <c r="SUY1" s="9"/>
      <c r="SUZ1" s="9"/>
      <c r="SVA1" s="9"/>
      <c r="SVB1" s="9"/>
      <c r="SVC1" s="9"/>
      <c r="SVD1" s="9"/>
      <c r="SVE1" s="9"/>
      <c r="SVF1" s="9"/>
      <c r="SVG1" s="9"/>
      <c r="SVH1" s="9"/>
      <c r="SVI1" s="9"/>
      <c r="SVJ1" s="9"/>
      <c r="SVK1" s="9"/>
      <c r="SVL1" s="9"/>
      <c r="SVM1" s="9"/>
      <c r="SVN1" s="9"/>
      <c r="SVO1" s="9"/>
      <c r="SVP1" s="9"/>
      <c r="SVQ1" s="9"/>
      <c r="SVR1" s="9"/>
      <c r="SVS1" s="9"/>
      <c r="SVT1" s="9"/>
      <c r="SVU1" s="9"/>
      <c r="SVV1" s="9"/>
      <c r="SVW1" s="9"/>
      <c r="SVX1" s="9"/>
      <c r="SVY1" s="9"/>
      <c r="SVZ1" s="9"/>
      <c r="SWA1" s="9"/>
      <c r="SWB1" s="9"/>
      <c r="SWC1" s="9"/>
      <c r="SWD1" s="9"/>
      <c r="SWE1" s="9"/>
      <c r="SWF1" s="9"/>
      <c r="SWG1" s="9"/>
      <c r="SWH1" s="9"/>
      <c r="SWI1" s="9"/>
      <c r="SWJ1" s="9"/>
      <c r="SWK1" s="9"/>
      <c r="SWL1" s="9"/>
      <c r="SWM1" s="9"/>
      <c r="SWN1" s="9"/>
      <c r="SWO1" s="9"/>
      <c r="SWP1" s="9"/>
      <c r="SWQ1" s="9"/>
      <c r="SWR1" s="9"/>
      <c r="SWS1" s="9"/>
      <c r="SWT1" s="9"/>
      <c r="SWU1" s="9"/>
      <c r="SWV1" s="9"/>
      <c r="SWW1" s="9"/>
      <c r="SWX1" s="9"/>
      <c r="SWY1" s="9"/>
      <c r="SWZ1" s="9"/>
      <c r="SXA1" s="9"/>
      <c r="SXB1" s="9"/>
      <c r="SXC1" s="9"/>
      <c r="SXD1" s="9"/>
      <c r="SXE1" s="9"/>
      <c r="SXF1" s="9"/>
      <c r="SXG1" s="9"/>
      <c r="SXH1" s="9"/>
      <c r="SXI1" s="9"/>
      <c r="SXJ1" s="9"/>
      <c r="SXK1" s="9"/>
      <c r="SXL1" s="9"/>
      <c r="SXM1" s="9"/>
      <c r="SXN1" s="9"/>
      <c r="SXO1" s="9"/>
      <c r="SXP1" s="9"/>
      <c r="SXQ1" s="9"/>
      <c r="SXR1" s="9"/>
      <c r="SXS1" s="9"/>
      <c r="SXT1" s="9"/>
      <c r="SXU1" s="9"/>
      <c r="SXV1" s="9"/>
      <c r="SXW1" s="9"/>
      <c r="SXX1" s="9"/>
      <c r="SXY1" s="9"/>
      <c r="SXZ1" s="9"/>
      <c r="SYA1" s="9"/>
      <c r="SYB1" s="9"/>
      <c r="SYC1" s="9"/>
      <c r="SYD1" s="9"/>
      <c r="SYE1" s="9"/>
      <c r="SYF1" s="9"/>
      <c r="SYG1" s="9"/>
      <c r="SYH1" s="9"/>
      <c r="SYI1" s="9"/>
      <c r="SYJ1" s="9"/>
      <c r="SYK1" s="9"/>
      <c r="SYL1" s="9"/>
      <c r="SYM1" s="9"/>
      <c r="SYN1" s="9"/>
      <c r="SYO1" s="9"/>
      <c r="SYP1" s="9"/>
      <c r="SYQ1" s="9"/>
      <c r="SYR1" s="9"/>
      <c r="SYS1" s="9"/>
      <c r="SYT1" s="9"/>
      <c r="SYU1" s="9"/>
      <c r="SYV1" s="9"/>
      <c r="SYW1" s="9"/>
      <c r="SYX1" s="9"/>
      <c r="SYY1" s="9"/>
      <c r="SYZ1" s="9"/>
      <c r="SZA1" s="9"/>
      <c r="SZB1" s="9"/>
      <c r="SZC1" s="9"/>
      <c r="SZD1" s="9"/>
      <c r="SZE1" s="9"/>
      <c r="SZF1" s="9"/>
      <c r="SZG1" s="9"/>
      <c r="SZH1" s="9"/>
      <c r="SZI1" s="9"/>
      <c r="SZJ1" s="9"/>
      <c r="SZK1" s="9"/>
      <c r="SZL1" s="9"/>
      <c r="SZM1" s="9"/>
      <c r="SZN1" s="9"/>
      <c r="SZO1" s="9"/>
      <c r="SZP1" s="9"/>
      <c r="SZQ1" s="9"/>
      <c r="SZR1" s="9"/>
      <c r="SZS1" s="9"/>
      <c r="SZT1" s="9"/>
      <c r="SZU1" s="9"/>
      <c r="SZV1" s="9"/>
      <c r="SZW1" s="9"/>
      <c r="SZX1" s="9"/>
      <c r="SZY1" s="9"/>
      <c r="SZZ1" s="9"/>
      <c r="TAA1" s="9"/>
      <c r="TAB1" s="9"/>
      <c r="TAC1" s="9"/>
      <c r="TAD1" s="9"/>
      <c r="TAE1" s="9"/>
      <c r="TAF1" s="9"/>
      <c r="TAG1" s="9"/>
      <c r="TAH1" s="9"/>
      <c r="TAI1" s="9"/>
      <c r="TAJ1" s="9"/>
      <c r="TAK1" s="9"/>
      <c r="TAL1" s="9"/>
      <c r="TAM1" s="9"/>
      <c r="TAN1" s="9"/>
      <c r="TAO1" s="9"/>
      <c r="TAP1" s="9"/>
      <c r="TAQ1" s="9"/>
      <c r="TAR1" s="9"/>
      <c r="TAS1" s="9"/>
      <c r="TAT1" s="9"/>
      <c r="TAU1" s="9"/>
      <c r="TAV1" s="9"/>
      <c r="TAW1" s="9"/>
      <c r="TAX1" s="9"/>
      <c r="TAY1" s="9"/>
      <c r="TAZ1" s="9"/>
      <c r="TBA1" s="9"/>
      <c r="TBB1" s="9"/>
      <c r="TBC1" s="9"/>
      <c r="TBD1" s="9"/>
      <c r="TBE1" s="9"/>
      <c r="TBF1" s="9"/>
      <c r="TBG1" s="9"/>
      <c r="TBH1" s="9"/>
      <c r="TBI1" s="9"/>
      <c r="TBJ1" s="9"/>
      <c r="TBK1" s="9"/>
      <c r="TBL1" s="9"/>
      <c r="TBM1" s="9"/>
      <c r="TBN1" s="9"/>
      <c r="TBO1" s="9"/>
      <c r="TBP1" s="9"/>
      <c r="TBQ1" s="9"/>
      <c r="TBR1" s="9"/>
      <c r="TBS1" s="9"/>
      <c r="TBT1" s="9"/>
      <c r="TBU1" s="9"/>
      <c r="TBV1" s="9"/>
      <c r="TBW1" s="9"/>
      <c r="TBX1" s="9"/>
      <c r="TBY1" s="9"/>
      <c r="TBZ1" s="9"/>
      <c r="TCA1" s="9"/>
      <c r="TCB1" s="9"/>
      <c r="TCC1" s="9"/>
      <c r="TCD1" s="9"/>
      <c r="TCE1" s="9"/>
      <c r="TCF1" s="9"/>
      <c r="TCG1" s="9"/>
      <c r="TCH1" s="9"/>
      <c r="TCI1" s="9"/>
      <c r="TCJ1" s="9"/>
      <c r="TCK1" s="9"/>
      <c r="TCL1" s="9"/>
      <c r="TCM1" s="9"/>
      <c r="TCN1" s="9"/>
      <c r="TCO1" s="9"/>
      <c r="TCP1" s="9"/>
      <c r="TCQ1" s="9"/>
      <c r="TCR1" s="9"/>
      <c r="TCS1" s="9"/>
      <c r="TCT1" s="9"/>
      <c r="TCU1" s="9"/>
      <c r="TCV1" s="9"/>
      <c r="TCW1" s="9"/>
      <c r="TCX1" s="9"/>
      <c r="TCY1" s="9"/>
      <c r="TCZ1" s="9"/>
      <c r="TDA1" s="9"/>
      <c r="TDB1" s="9"/>
      <c r="TDC1" s="9"/>
      <c r="TDD1" s="9"/>
      <c r="TDE1" s="9"/>
      <c r="TDF1" s="9"/>
      <c r="TDG1" s="9"/>
      <c r="TDH1" s="9"/>
      <c r="TDI1" s="9"/>
      <c r="TDJ1" s="9"/>
      <c r="TDK1" s="9"/>
      <c r="TDL1" s="9"/>
      <c r="TDM1" s="9"/>
      <c r="TDN1" s="9"/>
      <c r="TDO1" s="9"/>
      <c r="TDP1" s="9"/>
      <c r="TDQ1" s="9"/>
      <c r="TDR1" s="9"/>
      <c r="TDS1" s="9"/>
      <c r="TDT1" s="9"/>
      <c r="TDU1" s="9"/>
      <c r="TDV1" s="9"/>
      <c r="TDW1" s="9"/>
      <c r="TDX1" s="9"/>
      <c r="TDY1" s="9"/>
      <c r="TDZ1" s="9"/>
      <c r="TEA1" s="9"/>
      <c r="TEB1" s="9"/>
      <c r="TEC1" s="9"/>
      <c r="TED1" s="9"/>
      <c r="TEE1" s="9"/>
      <c r="TEF1" s="9"/>
      <c r="TEG1" s="9"/>
      <c r="TEH1" s="9"/>
      <c r="TEI1" s="9"/>
      <c r="TEJ1" s="9"/>
      <c r="TEK1" s="9"/>
      <c r="TEL1" s="9"/>
      <c r="TEM1" s="9"/>
      <c r="TEN1" s="9"/>
      <c r="TEO1" s="9"/>
      <c r="TEP1" s="9"/>
      <c r="TEQ1" s="9"/>
      <c r="TER1" s="9"/>
      <c r="TES1" s="9"/>
      <c r="TET1" s="9"/>
      <c r="TEU1" s="9"/>
      <c r="TEV1" s="9"/>
      <c r="TEW1" s="9"/>
      <c r="TEX1" s="9"/>
      <c r="TEY1" s="9"/>
      <c r="TEZ1" s="9"/>
      <c r="TFA1" s="9"/>
      <c r="TFB1" s="9"/>
      <c r="TFC1" s="9"/>
      <c r="TFD1" s="9"/>
      <c r="TFE1" s="9"/>
      <c r="TFF1" s="9"/>
      <c r="TFG1" s="9"/>
      <c r="TFH1" s="9"/>
      <c r="TFI1" s="9"/>
      <c r="TFJ1" s="9"/>
      <c r="TFK1" s="9"/>
      <c r="TFL1" s="9"/>
      <c r="TFM1" s="9"/>
      <c r="TFN1" s="9"/>
      <c r="TFO1" s="9"/>
      <c r="TFP1" s="9"/>
      <c r="TFQ1" s="9"/>
      <c r="TFR1" s="9"/>
      <c r="TFS1" s="9"/>
      <c r="TFT1" s="9"/>
      <c r="TFU1" s="9"/>
      <c r="TFV1" s="9"/>
      <c r="TFW1" s="9"/>
      <c r="TFX1" s="9"/>
      <c r="TFY1" s="9"/>
      <c r="TFZ1" s="9"/>
      <c r="TGA1" s="9"/>
      <c r="TGB1" s="9"/>
      <c r="TGC1" s="9"/>
      <c r="TGD1" s="9"/>
      <c r="TGE1" s="9"/>
      <c r="TGF1" s="9"/>
      <c r="TGG1" s="9"/>
      <c r="TGH1" s="9"/>
      <c r="TGI1" s="9"/>
      <c r="TGJ1" s="9"/>
      <c r="TGK1" s="9"/>
      <c r="TGL1" s="9"/>
      <c r="TGM1" s="9"/>
      <c r="TGN1" s="9"/>
      <c r="TGO1" s="9"/>
      <c r="TGP1" s="9"/>
      <c r="TGQ1" s="9"/>
      <c r="TGR1" s="9"/>
      <c r="TGS1" s="9"/>
      <c r="TGT1" s="9"/>
      <c r="TGU1" s="9"/>
      <c r="TGV1" s="9"/>
      <c r="TGW1" s="9"/>
      <c r="TGX1" s="9"/>
      <c r="TGY1" s="9"/>
      <c r="TGZ1" s="9"/>
      <c r="THA1" s="9"/>
      <c r="THB1" s="9"/>
      <c r="THC1" s="9"/>
      <c r="THD1" s="9"/>
      <c r="THE1" s="9"/>
      <c r="THF1" s="9"/>
      <c r="THG1" s="9"/>
      <c r="THH1" s="9"/>
      <c r="THI1" s="9"/>
      <c r="THJ1" s="9"/>
      <c r="THK1" s="9"/>
      <c r="THL1" s="9"/>
      <c r="THM1" s="9"/>
      <c r="THN1" s="9"/>
      <c r="THO1" s="9"/>
      <c r="THP1" s="9"/>
      <c r="THQ1" s="9"/>
      <c r="THR1" s="9"/>
      <c r="THS1" s="9"/>
      <c r="THT1" s="9"/>
      <c r="THU1" s="9"/>
      <c r="THV1" s="9"/>
      <c r="THW1" s="9"/>
      <c r="THX1" s="9"/>
      <c r="THY1" s="9"/>
      <c r="THZ1" s="9"/>
      <c r="TIA1" s="9"/>
      <c r="TIB1" s="9"/>
      <c r="TIC1" s="9"/>
      <c r="TID1" s="9"/>
      <c r="TIE1" s="9"/>
      <c r="TIF1" s="9"/>
      <c r="TIG1" s="9"/>
      <c r="TIH1" s="9"/>
      <c r="TII1" s="9"/>
      <c r="TIJ1" s="9"/>
      <c r="TIK1" s="9"/>
      <c r="TIL1" s="9"/>
      <c r="TIM1" s="9"/>
      <c r="TIN1" s="9"/>
      <c r="TIO1" s="9"/>
      <c r="TIP1" s="9"/>
      <c r="TIQ1" s="9"/>
      <c r="TIR1" s="9"/>
      <c r="TIS1" s="9"/>
      <c r="TIT1" s="9"/>
      <c r="TIU1" s="9"/>
      <c r="TIV1" s="9"/>
      <c r="TIW1" s="9"/>
      <c r="TIX1" s="9"/>
      <c r="TIY1" s="9"/>
      <c r="TIZ1" s="9"/>
      <c r="TJA1" s="9"/>
      <c r="TJB1" s="9"/>
      <c r="TJC1" s="9"/>
      <c r="TJD1" s="9"/>
      <c r="TJE1" s="9"/>
      <c r="TJF1" s="9"/>
      <c r="TJG1" s="9"/>
      <c r="TJH1" s="9"/>
      <c r="TJI1" s="9"/>
      <c r="TJJ1" s="9"/>
      <c r="TJK1" s="9"/>
      <c r="TJL1" s="9"/>
      <c r="TJM1" s="9"/>
      <c r="TJN1" s="9"/>
      <c r="TJO1" s="9"/>
      <c r="TJP1" s="9"/>
      <c r="TJQ1" s="9"/>
      <c r="TJR1" s="9"/>
      <c r="TJS1" s="9"/>
      <c r="TJT1" s="9"/>
      <c r="TJU1" s="9"/>
      <c r="TJV1" s="9"/>
      <c r="TJW1" s="9"/>
      <c r="TJX1" s="9"/>
      <c r="TJY1" s="9"/>
      <c r="TJZ1" s="9"/>
      <c r="TKA1" s="9"/>
      <c r="TKB1" s="9"/>
      <c r="TKC1" s="9"/>
      <c r="TKD1" s="9"/>
      <c r="TKE1" s="9"/>
      <c r="TKF1" s="9"/>
      <c r="TKG1" s="9"/>
      <c r="TKH1" s="9"/>
      <c r="TKI1" s="9"/>
      <c r="TKJ1" s="9"/>
      <c r="TKK1" s="9"/>
      <c r="TKL1" s="9"/>
      <c r="TKM1" s="9"/>
      <c r="TKN1" s="9"/>
      <c r="TKO1" s="9"/>
      <c r="TKP1" s="9"/>
      <c r="TKQ1" s="9"/>
      <c r="TKR1" s="9"/>
      <c r="TKS1" s="9"/>
      <c r="TKT1" s="9"/>
      <c r="TKU1" s="9"/>
      <c r="TKV1" s="9"/>
      <c r="TKW1" s="9"/>
      <c r="TKX1" s="9"/>
      <c r="TKY1" s="9"/>
      <c r="TKZ1" s="9"/>
      <c r="TLA1" s="9"/>
      <c r="TLB1" s="9"/>
      <c r="TLC1" s="9"/>
      <c r="TLD1" s="9"/>
      <c r="TLE1" s="9"/>
      <c r="TLF1" s="9"/>
      <c r="TLG1" s="9"/>
      <c r="TLH1" s="9"/>
      <c r="TLI1" s="9"/>
      <c r="TLJ1" s="9"/>
      <c r="TLK1" s="9"/>
      <c r="TLL1" s="9"/>
      <c r="TLM1" s="9"/>
      <c r="TLN1" s="9"/>
      <c r="TLO1" s="9"/>
      <c r="TLP1" s="9"/>
      <c r="TLQ1" s="9"/>
      <c r="TLR1" s="9"/>
      <c r="TLS1" s="9"/>
      <c r="TLT1" s="9"/>
      <c r="TLU1" s="9"/>
      <c r="TLV1" s="9"/>
      <c r="TLW1" s="9"/>
      <c r="TLX1" s="9"/>
      <c r="TLY1" s="9"/>
      <c r="TLZ1" s="9"/>
      <c r="TMA1" s="9"/>
      <c r="TMB1" s="9"/>
      <c r="TMC1" s="9"/>
      <c r="TMD1" s="9"/>
      <c r="TME1" s="9"/>
      <c r="TMF1" s="9"/>
      <c r="TMG1" s="9"/>
      <c r="TMH1" s="9"/>
      <c r="TMI1" s="9"/>
      <c r="TMJ1" s="9"/>
      <c r="TMK1" s="9"/>
      <c r="TML1" s="9"/>
      <c r="TMM1" s="9"/>
      <c r="TMN1" s="9"/>
      <c r="TMO1" s="9"/>
      <c r="TMP1" s="9"/>
      <c r="TMQ1" s="9"/>
      <c r="TMR1" s="9"/>
      <c r="TMS1" s="9"/>
      <c r="TMT1" s="9"/>
      <c r="TMU1" s="9"/>
      <c r="TMV1" s="9"/>
      <c r="TMW1" s="9"/>
      <c r="TMX1" s="9"/>
      <c r="TMY1" s="9"/>
      <c r="TMZ1" s="9"/>
      <c r="TNA1" s="9"/>
      <c r="TNB1" s="9"/>
      <c r="TNC1" s="9"/>
      <c r="TND1" s="9"/>
      <c r="TNE1" s="9"/>
      <c r="TNF1" s="9"/>
      <c r="TNG1" s="9"/>
      <c r="TNH1" s="9"/>
      <c r="TNI1" s="9"/>
      <c r="TNJ1" s="9"/>
      <c r="TNK1" s="9"/>
      <c r="TNL1" s="9"/>
      <c r="TNM1" s="9"/>
      <c r="TNN1" s="9"/>
      <c r="TNO1" s="9"/>
      <c r="TNP1" s="9"/>
      <c r="TNQ1" s="9"/>
      <c r="TNR1" s="9"/>
      <c r="TNS1" s="9"/>
      <c r="TNT1" s="9"/>
      <c r="TNU1" s="9"/>
      <c r="TNV1" s="9"/>
      <c r="TNW1" s="9"/>
      <c r="TNX1" s="9"/>
      <c r="TNY1" s="9"/>
      <c r="TNZ1" s="9"/>
      <c r="TOA1" s="9"/>
      <c r="TOB1" s="9"/>
      <c r="TOC1" s="9"/>
      <c r="TOD1" s="9"/>
      <c r="TOE1" s="9"/>
      <c r="TOF1" s="9"/>
      <c r="TOG1" s="9"/>
      <c r="TOH1" s="9"/>
      <c r="TOI1" s="9"/>
      <c r="TOJ1" s="9"/>
      <c r="TOK1" s="9"/>
      <c r="TOL1" s="9"/>
      <c r="TOM1" s="9"/>
      <c r="TON1" s="9"/>
      <c r="TOO1" s="9"/>
      <c r="TOP1" s="9"/>
      <c r="TOQ1" s="9"/>
      <c r="TOR1" s="9"/>
      <c r="TOS1" s="9"/>
      <c r="TOT1" s="9"/>
      <c r="TOU1" s="9"/>
      <c r="TOV1" s="9"/>
      <c r="TOW1" s="9"/>
      <c r="TOX1" s="9"/>
      <c r="TOY1" s="9"/>
      <c r="TOZ1" s="9"/>
      <c r="TPA1" s="9"/>
      <c r="TPB1" s="9"/>
      <c r="TPC1" s="9"/>
      <c r="TPD1" s="9"/>
      <c r="TPE1" s="9"/>
      <c r="TPF1" s="9"/>
      <c r="TPG1" s="9"/>
      <c r="TPH1" s="9"/>
      <c r="TPI1" s="9"/>
      <c r="TPJ1" s="9"/>
      <c r="TPK1" s="9"/>
      <c r="TPL1" s="9"/>
      <c r="TPM1" s="9"/>
      <c r="TPN1" s="9"/>
      <c r="TPO1" s="9"/>
      <c r="TPP1" s="9"/>
      <c r="TPQ1" s="9"/>
      <c r="TPR1" s="9"/>
      <c r="TPS1" s="9"/>
      <c r="TPT1" s="9"/>
      <c r="TPU1" s="9"/>
      <c r="TPV1" s="9"/>
      <c r="TPW1" s="9"/>
      <c r="TPX1" s="9"/>
      <c r="TPY1" s="9"/>
      <c r="TPZ1" s="9"/>
      <c r="TQA1" s="9"/>
      <c r="TQB1" s="9"/>
      <c r="TQC1" s="9"/>
      <c r="TQD1" s="9"/>
      <c r="TQE1" s="9"/>
      <c r="TQF1" s="9"/>
      <c r="TQG1" s="9"/>
      <c r="TQH1" s="9"/>
      <c r="TQI1" s="9"/>
      <c r="TQJ1" s="9"/>
      <c r="TQK1" s="9"/>
      <c r="TQL1" s="9"/>
      <c r="TQM1" s="9"/>
      <c r="TQN1" s="9"/>
      <c r="TQO1" s="9"/>
      <c r="TQP1" s="9"/>
      <c r="TQQ1" s="9"/>
      <c r="TQR1" s="9"/>
      <c r="TQS1" s="9"/>
      <c r="TQT1" s="9"/>
      <c r="TQU1" s="9"/>
      <c r="TQV1" s="9"/>
      <c r="TQW1" s="9"/>
      <c r="TQX1" s="9"/>
      <c r="TQY1" s="9"/>
      <c r="TQZ1" s="9"/>
      <c r="TRA1" s="9"/>
      <c r="TRB1" s="9"/>
      <c r="TRC1" s="9"/>
      <c r="TRD1" s="9"/>
      <c r="TRE1" s="9"/>
      <c r="TRF1" s="9"/>
      <c r="TRG1" s="9"/>
      <c r="TRH1" s="9"/>
      <c r="TRI1" s="9"/>
      <c r="TRJ1" s="9"/>
      <c r="TRK1" s="9"/>
      <c r="TRL1" s="9"/>
      <c r="TRM1" s="9"/>
      <c r="TRN1" s="9"/>
      <c r="TRO1" s="9"/>
      <c r="TRP1" s="9"/>
      <c r="TRQ1" s="9"/>
      <c r="TRR1" s="9"/>
      <c r="TRS1" s="9"/>
      <c r="TRT1" s="9"/>
      <c r="TRU1" s="9"/>
      <c r="TRV1" s="9"/>
      <c r="TRW1" s="9"/>
      <c r="TRX1" s="9"/>
      <c r="TRY1" s="9"/>
      <c r="TRZ1" s="9"/>
      <c r="TSA1" s="9"/>
      <c r="TSB1" s="9"/>
      <c r="TSC1" s="9"/>
      <c r="TSD1" s="9"/>
      <c r="TSE1" s="9"/>
      <c r="TSF1" s="9"/>
      <c r="TSG1" s="9"/>
      <c r="TSH1" s="9"/>
      <c r="TSI1" s="9"/>
      <c r="TSJ1" s="9"/>
      <c r="TSK1" s="9"/>
      <c r="TSL1" s="9"/>
      <c r="TSM1" s="9"/>
      <c r="TSN1" s="9"/>
      <c r="TSO1" s="9"/>
      <c r="TSP1" s="9"/>
      <c r="TSQ1" s="9"/>
      <c r="TSR1" s="9"/>
      <c r="TSS1" s="9"/>
      <c r="TST1" s="9"/>
      <c r="TSU1" s="9"/>
      <c r="TSV1" s="9"/>
      <c r="TSW1" s="9"/>
      <c r="TSX1" s="9"/>
      <c r="TSY1" s="9"/>
      <c r="TSZ1" s="9"/>
      <c r="TTA1" s="9"/>
      <c r="TTB1" s="9"/>
      <c r="TTC1" s="9"/>
      <c r="TTD1" s="9"/>
      <c r="TTE1" s="9"/>
      <c r="TTF1" s="9"/>
      <c r="TTG1" s="9"/>
      <c r="TTH1" s="9"/>
      <c r="TTI1" s="9"/>
      <c r="TTJ1" s="9"/>
      <c r="TTK1" s="9"/>
      <c r="TTL1" s="9"/>
      <c r="TTM1" s="9"/>
      <c r="TTN1" s="9"/>
      <c r="TTO1" s="9"/>
      <c r="TTP1" s="9"/>
      <c r="TTQ1" s="9"/>
      <c r="TTR1" s="9"/>
      <c r="TTS1" s="9"/>
      <c r="TTT1" s="9"/>
      <c r="TTU1" s="9"/>
      <c r="TTV1" s="9"/>
      <c r="TTW1" s="9"/>
      <c r="TTX1" s="9"/>
      <c r="TTY1" s="9"/>
      <c r="TTZ1" s="9"/>
      <c r="TUA1" s="9"/>
      <c r="TUB1" s="9"/>
      <c r="TUC1" s="9"/>
      <c r="TUD1" s="9"/>
      <c r="TUE1" s="9"/>
      <c r="TUF1" s="9"/>
      <c r="TUG1" s="9"/>
      <c r="TUH1" s="9"/>
      <c r="TUI1" s="9"/>
      <c r="TUJ1" s="9"/>
      <c r="TUK1" s="9"/>
      <c r="TUL1" s="9"/>
      <c r="TUM1" s="9"/>
      <c r="TUN1" s="9"/>
      <c r="TUO1" s="9"/>
      <c r="TUP1" s="9"/>
      <c r="TUQ1" s="9"/>
      <c r="TUR1" s="9"/>
      <c r="TUS1" s="9"/>
      <c r="TUT1" s="9"/>
      <c r="TUU1" s="9"/>
      <c r="TUV1" s="9"/>
      <c r="TUW1" s="9"/>
      <c r="TUX1" s="9"/>
      <c r="TUY1" s="9"/>
      <c r="TUZ1" s="9"/>
      <c r="TVA1" s="9"/>
      <c r="TVB1" s="9"/>
      <c r="TVC1" s="9"/>
      <c r="TVD1" s="9"/>
      <c r="TVE1" s="9"/>
      <c r="TVF1" s="9"/>
      <c r="TVG1" s="9"/>
      <c r="TVH1" s="9"/>
      <c r="TVI1" s="9"/>
      <c r="TVJ1" s="9"/>
      <c r="TVK1" s="9"/>
      <c r="TVL1" s="9"/>
      <c r="TVM1" s="9"/>
      <c r="TVN1" s="9"/>
      <c r="TVO1" s="9"/>
      <c r="TVP1" s="9"/>
      <c r="TVQ1" s="9"/>
      <c r="TVR1" s="9"/>
      <c r="TVS1" s="9"/>
      <c r="TVT1" s="9"/>
      <c r="TVU1" s="9"/>
      <c r="TVV1" s="9"/>
      <c r="TVW1" s="9"/>
      <c r="TVX1" s="9"/>
      <c r="TVY1" s="9"/>
      <c r="TVZ1" s="9"/>
      <c r="TWA1" s="9"/>
      <c r="TWB1" s="9"/>
      <c r="TWC1" s="9"/>
      <c r="TWD1" s="9"/>
      <c r="TWE1" s="9"/>
      <c r="TWF1" s="9"/>
      <c r="TWG1" s="9"/>
      <c r="TWH1" s="9"/>
      <c r="TWI1" s="9"/>
      <c r="TWJ1" s="9"/>
      <c r="TWK1" s="9"/>
      <c r="TWL1" s="9"/>
      <c r="TWM1" s="9"/>
      <c r="TWN1" s="9"/>
      <c r="TWO1" s="9"/>
      <c r="TWP1" s="9"/>
      <c r="TWQ1" s="9"/>
      <c r="TWR1" s="9"/>
      <c r="TWS1" s="9"/>
      <c r="TWT1" s="9"/>
      <c r="TWU1" s="9"/>
      <c r="TWV1" s="9"/>
      <c r="TWW1" s="9"/>
      <c r="TWX1" s="9"/>
      <c r="TWY1" s="9"/>
      <c r="TWZ1" s="9"/>
      <c r="TXA1" s="9"/>
      <c r="TXB1" s="9"/>
      <c r="TXC1" s="9"/>
      <c r="TXD1" s="9"/>
      <c r="TXE1" s="9"/>
      <c r="TXF1" s="9"/>
      <c r="TXG1" s="9"/>
      <c r="TXH1" s="9"/>
      <c r="TXI1" s="9"/>
      <c r="TXJ1" s="9"/>
      <c r="TXK1" s="9"/>
      <c r="TXL1" s="9"/>
      <c r="TXM1" s="9"/>
      <c r="TXN1" s="9"/>
      <c r="TXO1" s="9"/>
      <c r="TXP1" s="9"/>
      <c r="TXQ1" s="9"/>
      <c r="TXR1" s="9"/>
      <c r="TXS1" s="9"/>
      <c r="TXT1" s="9"/>
      <c r="TXU1" s="9"/>
      <c r="TXV1" s="9"/>
      <c r="TXW1" s="9"/>
      <c r="TXX1" s="9"/>
      <c r="TXY1" s="9"/>
      <c r="TXZ1" s="9"/>
      <c r="TYA1" s="9"/>
      <c r="TYB1" s="9"/>
      <c r="TYC1" s="9"/>
      <c r="TYD1" s="9"/>
      <c r="TYE1" s="9"/>
      <c r="TYF1" s="9"/>
      <c r="TYG1" s="9"/>
      <c r="TYH1" s="9"/>
      <c r="TYI1" s="9"/>
      <c r="TYJ1" s="9"/>
      <c r="TYK1" s="9"/>
      <c r="TYL1" s="9"/>
      <c r="TYM1" s="9"/>
      <c r="TYN1" s="9"/>
      <c r="TYO1" s="9"/>
      <c r="TYP1" s="9"/>
      <c r="TYQ1" s="9"/>
      <c r="TYR1" s="9"/>
      <c r="TYS1" s="9"/>
      <c r="TYT1" s="9"/>
      <c r="TYU1" s="9"/>
      <c r="TYV1" s="9"/>
      <c r="TYW1" s="9"/>
      <c r="TYX1" s="9"/>
      <c r="TYY1" s="9"/>
      <c r="TYZ1" s="9"/>
      <c r="TZA1" s="9"/>
      <c r="TZB1" s="9"/>
      <c r="TZC1" s="9"/>
      <c r="TZD1" s="9"/>
      <c r="TZE1" s="9"/>
      <c r="TZF1" s="9"/>
      <c r="TZG1" s="9"/>
      <c r="TZH1" s="9"/>
      <c r="TZI1" s="9"/>
      <c r="TZJ1" s="9"/>
      <c r="TZK1" s="9"/>
      <c r="TZL1" s="9"/>
      <c r="TZM1" s="9"/>
      <c r="TZN1" s="9"/>
      <c r="TZO1" s="9"/>
      <c r="TZP1" s="9"/>
      <c r="TZQ1" s="9"/>
      <c r="TZR1" s="9"/>
      <c r="TZS1" s="9"/>
      <c r="TZT1" s="9"/>
      <c r="TZU1" s="9"/>
      <c r="TZV1" s="9"/>
      <c r="TZW1" s="9"/>
      <c r="TZX1" s="9"/>
      <c r="TZY1" s="9"/>
      <c r="TZZ1" s="9"/>
      <c r="UAA1" s="9"/>
      <c r="UAB1" s="9"/>
      <c r="UAC1" s="9"/>
      <c r="UAD1" s="9"/>
      <c r="UAE1" s="9"/>
      <c r="UAF1" s="9"/>
      <c r="UAG1" s="9"/>
      <c r="UAH1" s="9"/>
      <c r="UAI1" s="9"/>
      <c r="UAJ1" s="9"/>
      <c r="UAK1" s="9"/>
      <c r="UAL1" s="9"/>
      <c r="UAM1" s="9"/>
      <c r="UAN1" s="9"/>
      <c r="UAO1" s="9"/>
      <c r="UAP1" s="9"/>
      <c r="UAQ1" s="9"/>
      <c r="UAR1" s="9"/>
      <c r="UAS1" s="9"/>
      <c r="UAT1" s="9"/>
      <c r="UAU1" s="9"/>
      <c r="UAV1" s="9"/>
      <c r="UAW1" s="9"/>
      <c r="UAX1" s="9"/>
      <c r="UAY1" s="9"/>
      <c r="UAZ1" s="9"/>
      <c r="UBA1" s="9"/>
      <c r="UBB1" s="9"/>
      <c r="UBC1" s="9"/>
      <c r="UBD1" s="9"/>
      <c r="UBE1" s="9"/>
      <c r="UBF1" s="9"/>
      <c r="UBG1" s="9"/>
      <c r="UBH1" s="9"/>
      <c r="UBI1" s="9"/>
      <c r="UBJ1" s="9"/>
      <c r="UBK1" s="9"/>
      <c r="UBL1" s="9"/>
      <c r="UBM1" s="9"/>
      <c r="UBN1" s="9"/>
      <c r="UBO1" s="9"/>
      <c r="UBP1" s="9"/>
      <c r="UBQ1" s="9"/>
      <c r="UBR1" s="9"/>
      <c r="UBS1" s="9"/>
      <c r="UBT1" s="9"/>
      <c r="UBU1" s="9"/>
      <c r="UBV1" s="9"/>
      <c r="UBW1" s="9"/>
      <c r="UBX1" s="9"/>
      <c r="UBY1" s="9"/>
      <c r="UBZ1" s="9"/>
      <c r="UCA1" s="9"/>
      <c r="UCB1" s="9"/>
      <c r="UCC1" s="9"/>
      <c r="UCD1" s="9"/>
      <c r="UCE1" s="9"/>
      <c r="UCF1" s="9"/>
      <c r="UCG1" s="9"/>
      <c r="UCH1" s="9"/>
      <c r="UCI1" s="9"/>
      <c r="UCJ1" s="9"/>
      <c r="UCK1" s="9"/>
      <c r="UCL1" s="9"/>
      <c r="UCM1" s="9"/>
      <c r="UCN1" s="9"/>
      <c r="UCO1" s="9"/>
      <c r="UCP1" s="9"/>
      <c r="UCQ1" s="9"/>
      <c r="UCR1" s="9"/>
      <c r="UCS1" s="9"/>
      <c r="UCT1" s="9"/>
      <c r="UCU1" s="9"/>
      <c r="UCV1" s="9"/>
      <c r="UCW1" s="9"/>
      <c r="UCX1" s="9"/>
      <c r="UCY1" s="9"/>
      <c r="UCZ1" s="9"/>
      <c r="UDA1" s="9"/>
      <c r="UDB1" s="9"/>
      <c r="UDC1" s="9"/>
      <c r="UDD1" s="9"/>
      <c r="UDE1" s="9"/>
      <c r="UDF1" s="9"/>
      <c r="UDG1" s="9"/>
      <c r="UDH1" s="9"/>
      <c r="UDI1" s="9"/>
      <c r="UDJ1" s="9"/>
      <c r="UDK1" s="9"/>
      <c r="UDL1" s="9"/>
      <c r="UDM1" s="9"/>
      <c r="UDN1" s="9"/>
      <c r="UDO1" s="9"/>
      <c r="UDP1" s="9"/>
      <c r="UDQ1" s="9"/>
      <c r="UDR1" s="9"/>
      <c r="UDS1" s="9"/>
      <c r="UDT1" s="9"/>
      <c r="UDU1" s="9"/>
      <c r="UDV1" s="9"/>
      <c r="UDW1" s="9"/>
      <c r="UDX1" s="9"/>
      <c r="UDY1" s="9"/>
      <c r="UDZ1" s="9"/>
      <c r="UEA1" s="9"/>
      <c r="UEB1" s="9"/>
      <c r="UEC1" s="9"/>
      <c r="UED1" s="9"/>
      <c r="UEE1" s="9"/>
      <c r="UEF1" s="9"/>
      <c r="UEG1" s="9"/>
      <c r="UEH1" s="9"/>
      <c r="UEI1" s="9"/>
      <c r="UEJ1" s="9"/>
      <c r="UEK1" s="9"/>
      <c r="UEL1" s="9"/>
      <c r="UEM1" s="9"/>
      <c r="UEN1" s="9"/>
      <c r="UEO1" s="9"/>
      <c r="UEP1" s="9"/>
      <c r="UEQ1" s="9"/>
      <c r="UER1" s="9"/>
      <c r="UES1" s="9"/>
      <c r="UET1" s="9"/>
      <c r="UEU1" s="9"/>
      <c r="UEV1" s="9"/>
      <c r="UEW1" s="9"/>
      <c r="UEX1" s="9"/>
      <c r="UEY1" s="9"/>
      <c r="UEZ1" s="9"/>
      <c r="UFA1" s="9"/>
      <c r="UFB1" s="9"/>
      <c r="UFC1" s="9"/>
      <c r="UFD1" s="9"/>
      <c r="UFE1" s="9"/>
      <c r="UFF1" s="9"/>
      <c r="UFG1" s="9"/>
      <c r="UFH1" s="9"/>
      <c r="UFI1" s="9"/>
      <c r="UFJ1" s="9"/>
      <c r="UFK1" s="9"/>
      <c r="UFL1" s="9"/>
      <c r="UFM1" s="9"/>
      <c r="UFN1" s="9"/>
      <c r="UFO1" s="9"/>
      <c r="UFP1" s="9"/>
      <c r="UFQ1" s="9"/>
      <c r="UFR1" s="9"/>
      <c r="UFS1" s="9"/>
      <c r="UFT1" s="9"/>
      <c r="UFU1" s="9"/>
      <c r="UFV1" s="9"/>
      <c r="UFW1" s="9"/>
      <c r="UFX1" s="9"/>
      <c r="UFY1" s="9"/>
      <c r="UFZ1" s="9"/>
      <c r="UGA1" s="9"/>
      <c r="UGB1" s="9"/>
      <c r="UGC1" s="9"/>
      <c r="UGD1" s="9"/>
      <c r="UGE1" s="9"/>
      <c r="UGF1" s="9"/>
      <c r="UGG1" s="9"/>
      <c r="UGH1" s="9"/>
      <c r="UGI1" s="9"/>
      <c r="UGJ1" s="9"/>
      <c r="UGK1" s="9"/>
      <c r="UGL1" s="9"/>
      <c r="UGM1" s="9"/>
      <c r="UGN1" s="9"/>
      <c r="UGO1" s="9"/>
      <c r="UGP1" s="9"/>
      <c r="UGQ1" s="9"/>
      <c r="UGR1" s="9"/>
      <c r="UGS1" s="9"/>
      <c r="UGT1" s="9"/>
      <c r="UGU1" s="9"/>
      <c r="UGV1" s="9"/>
      <c r="UGW1" s="9"/>
      <c r="UGX1" s="9"/>
      <c r="UGY1" s="9"/>
      <c r="UGZ1" s="9"/>
      <c r="UHA1" s="9"/>
      <c r="UHB1" s="9"/>
      <c r="UHC1" s="9"/>
      <c r="UHD1" s="9"/>
      <c r="UHE1" s="9"/>
      <c r="UHF1" s="9"/>
      <c r="UHG1" s="9"/>
      <c r="UHH1" s="9"/>
      <c r="UHI1" s="9"/>
      <c r="UHJ1" s="9"/>
      <c r="UHK1" s="9"/>
      <c r="UHL1" s="9"/>
      <c r="UHM1" s="9"/>
      <c r="UHN1" s="9"/>
      <c r="UHO1" s="9"/>
      <c r="UHP1" s="9"/>
      <c r="UHQ1" s="9"/>
      <c r="UHR1" s="9"/>
      <c r="UHS1" s="9"/>
      <c r="UHT1" s="9"/>
      <c r="UHU1" s="9"/>
      <c r="UHV1" s="9"/>
      <c r="UHW1" s="9"/>
      <c r="UHX1" s="9"/>
      <c r="UHY1" s="9"/>
      <c r="UHZ1" s="9"/>
      <c r="UIA1" s="9"/>
      <c r="UIB1" s="9"/>
      <c r="UIC1" s="9"/>
      <c r="UID1" s="9"/>
      <c r="UIE1" s="9"/>
      <c r="UIF1" s="9"/>
      <c r="UIG1" s="9"/>
      <c r="UIH1" s="9"/>
      <c r="UII1" s="9"/>
      <c r="UIJ1" s="9"/>
      <c r="UIK1" s="9"/>
      <c r="UIL1" s="9"/>
      <c r="UIM1" s="9"/>
      <c r="UIN1" s="9"/>
      <c r="UIO1" s="9"/>
      <c r="UIP1" s="9"/>
      <c r="UIQ1" s="9"/>
      <c r="UIR1" s="9"/>
      <c r="UIS1" s="9"/>
      <c r="UIT1" s="9"/>
      <c r="UIU1" s="9"/>
      <c r="UIV1" s="9"/>
      <c r="UIW1" s="9"/>
      <c r="UIX1" s="9"/>
      <c r="UIY1" s="9"/>
      <c r="UIZ1" s="9"/>
      <c r="UJA1" s="9"/>
      <c r="UJB1" s="9"/>
      <c r="UJC1" s="9"/>
      <c r="UJD1" s="9"/>
      <c r="UJE1" s="9"/>
      <c r="UJF1" s="9"/>
      <c r="UJG1" s="9"/>
      <c r="UJH1" s="9"/>
      <c r="UJI1" s="9"/>
      <c r="UJJ1" s="9"/>
      <c r="UJK1" s="9"/>
      <c r="UJL1" s="9"/>
      <c r="UJM1" s="9"/>
      <c r="UJN1" s="9"/>
      <c r="UJO1" s="9"/>
      <c r="UJP1" s="9"/>
      <c r="UJQ1" s="9"/>
      <c r="UJR1" s="9"/>
      <c r="UJS1" s="9"/>
      <c r="UJT1" s="9"/>
      <c r="UJU1" s="9"/>
      <c r="UJV1" s="9"/>
      <c r="UJW1" s="9"/>
      <c r="UJX1" s="9"/>
      <c r="UJY1" s="9"/>
      <c r="UJZ1" s="9"/>
      <c r="UKA1" s="9"/>
      <c r="UKB1" s="9"/>
      <c r="UKC1" s="9"/>
      <c r="UKD1" s="9"/>
      <c r="UKE1" s="9"/>
      <c r="UKF1" s="9"/>
      <c r="UKG1" s="9"/>
      <c r="UKH1" s="9"/>
      <c r="UKI1" s="9"/>
      <c r="UKJ1" s="9"/>
      <c r="UKK1" s="9"/>
      <c r="UKL1" s="9"/>
      <c r="UKM1" s="9"/>
      <c r="UKN1" s="9"/>
      <c r="UKO1" s="9"/>
      <c r="UKP1" s="9"/>
      <c r="UKQ1" s="9"/>
      <c r="UKR1" s="9"/>
      <c r="UKS1" s="9"/>
      <c r="UKT1" s="9"/>
      <c r="UKU1" s="9"/>
      <c r="UKV1" s="9"/>
      <c r="UKW1" s="9"/>
      <c r="UKX1" s="9"/>
      <c r="UKY1" s="9"/>
      <c r="UKZ1" s="9"/>
      <c r="ULA1" s="9"/>
      <c r="ULB1" s="9"/>
      <c r="ULC1" s="9"/>
      <c r="ULD1" s="9"/>
      <c r="ULE1" s="9"/>
      <c r="ULF1" s="9"/>
      <c r="ULG1" s="9"/>
      <c r="ULH1" s="9"/>
      <c r="ULI1" s="9"/>
      <c r="ULJ1" s="9"/>
      <c r="ULK1" s="9"/>
      <c r="ULL1" s="9"/>
      <c r="ULM1" s="9"/>
      <c r="ULN1" s="9"/>
      <c r="ULO1" s="9"/>
      <c r="ULP1" s="9"/>
      <c r="ULQ1" s="9"/>
      <c r="ULR1" s="9"/>
      <c r="ULS1" s="9"/>
      <c r="ULT1" s="9"/>
      <c r="ULU1" s="9"/>
      <c r="ULV1" s="9"/>
      <c r="ULW1" s="9"/>
      <c r="ULX1" s="9"/>
      <c r="ULY1" s="9"/>
      <c r="ULZ1" s="9"/>
      <c r="UMA1" s="9"/>
      <c r="UMB1" s="9"/>
      <c r="UMC1" s="9"/>
      <c r="UMD1" s="9"/>
      <c r="UME1" s="9"/>
      <c r="UMF1" s="9"/>
      <c r="UMG1" s="9"/>
      <c r="UMH1" s="9"/>
      <c r="UMI1" s="9"/>
      <c r="UMJ1" s="9"/>
      <c r="UMK1" s="9"/>
      <c r="UML1" s="9"/>
      <c r="UMM1" s="9"/>
      <c r="UMN1" s="9"/>
      <c r="UMO1" s="9"/>
      <c r="UMP1" s="9"/>
      <c r="UMQ1" s="9"/>
      <c r="UMR1" s="9"/>
      <c r="UMS1" s="9"/>
      <c r="UMT1" s="9"/>
      <c r="UMU1" s="9"/>
      <c r="UMV1" s="9"/>
      <c r="UMW1" s="9"/>
      <c r="UMX1" s="9"/>
      <c r="UMY1" s="9"/>
      <c r="UMZ1" s="9"/>
      <c r="UNA1" s="9"/>
      <c r="UNB1" s="9"/>
      <c r="UNC1" s="9"/>
      <c r="UND1" s="9"/>
      <c r="UNE1" s="9"/>
      <c r="UNF1" s="9"/>
      <c r="UNG1" s="9"/>
      <c r="UNH1" s="9"/>
      <c r="UNI1" s="9"/>
      <c r="UNJ1" s="9"/>
      <c r="UNK1" s="9"/>
      <c r="UNL1" s="9"/>
      <c r="UNM1" s="9"/>
      <c r="UNN1" s="9"/>
      <c r="UNO1" s="9"/>
      <c r="UNP1" s="9"/>
      <c r="UNQ1" s="9"/>
      <c r="UNR1" s="9"/>
      <c r="UNS1" s="9"/>
      <c r="UNT1" s="9"/>
      <c r="UNU1" s="9"/>
      <c r="UNV1" s="9"/>
      <c r="UNW1" s="9"/>
      <c r="UNX1" s="9"/>
      <c r="UNY1" s="9"/>
      <c r="UNZ1" s="9"/>
      <c r="UOA1" s="9"/>
      <c r="UOB1" s="9"/>
      <c r="UOC1" s="9"/>
      <c r="UOD1" s="9"/>
      <c r="UOE1" s="9"/>
      <c r="UOF1" s="9"/>
      <c r="UOG1" s="9"/>
      <c r="UOH1" s="9"/>
      <c r="UOI1" s="9"/>
      <c r="UOJ1" s="9"/>
      <c r="UOK1" s="9"/>
      <c r="UOL1" s="9"/>
      <c r="UOM1" s="9"/>
      <c r="UON1" s="9"/>
      <c r="UOO1" s="9"/>
      <c r="UOP1" s="9"/>
      <c r="UOQ1" s="9"/>
      <c r="UOR1" s="9"/>
      <c r="UOS1" s="9"/>
      <c r="UOT1" s="9"/>
      <c r="UOU1" s="9"/>
      <c r="UOV1" s="9"/>
      <c r="UOW1" s="9"/>
      <c r="UOX1" s="9"/>
      <c r="UOY1" s="9"/>
      <c r="UOZ1" s="9"/>
      <c r="UPA1" s="9"/>
      <c r="UPB1" s="9"/>
      <c r="UPC1" s="9"/>
      <c r="UPD1" s="9"/>
      <c r="UPE1" s="9"/>
      <c r="UPF1" s="9"/>
      <c r="UPG1" s="9"/>
      <c r="UPH1" s="9"/>
      <c r="UPI1" s="9"/>
      <c r="UPJ1" s="9"/>
      <c r="UPK1" s="9"/>
      <c r="UPL1" s="9"/>
      <c r="UPM1" s="9"/>
      <c r="UPN1" s="9"/>
      <c r="UPO1" s="9"/>
      <c r="UPP1" s="9"/>
      <c r="UPQ1" s="9"/>
      <c r="UPR1" s="9"/>
      <c r="UPS1" s="9"/>
      <c r="UPT1" s="9"/>
      <c r="UPU1" s="9"/>
      <c r="UPV1" s="9"/>
      <c r="UPW1" s="9"/>
      <c r="UPX1" s="9"/>
      <c r="UPY1" s="9"/>
      <c r="UPZ1" s="9"/>
      <c r="UQA1" s="9"/>
      <c r="UQB1" s="9"/>
      <c r="UQC1" s="9"/>
      <c r="UQD1" s="9"/>
      <c r="UQE1" s="9"/>
      <c r="UQF1" s="9"/>
      <c r="UQG1" s="9"/>
      <c r="UQH1" s="9"/>
      <c r="UQI1" s="9"/>
      <c r="UQJ1" s="9"/>
      <c r="UQK1" s="9"/>
      <c r="UQL1" s="9"/>
      <c r="UQM1" s="9"/>
      <c r="UQN1" s="9"/>
      <c r="UQO1" s="9"/>
      <c r="UQP1" s="9"/>
      <c r="UQQ1" s="9"/>
      <c r="UQR1" s="9"/>
      <c r="UQS1" s="9"/>
      <c r="UQT1" s="9"/>
      <c r="UQU1" s="9"/>
      <c r="UQV1" s="9"/>
      <c r="UQW1" s="9"/>
      <c r="UQX1" s="9"/>
      <c r="UQY1" s="9"/>
      <c r="UQZ1" s="9"/>
      <c r="URA1" s="9"/>
      <c r="URB1" s="9"/>
      <c r="URC1" s="9"/>
      <c r="URD1" s="9"/>
      <c r="URE1" s="9"/>
      <c r="URF1" s="9"/>
      <c r="URG1" s="9"/>
      <c r="URH1" s="9"/>
      <c r="URI1" s="9"/>
      <c r="URJ1" s="9"/>
      <c r="URK1" s="9"/>
      <c r="URL1" s="9"/>
      <c r="URM1" s="9"/>
      <c r="URN1" s="9"/>
      <c r="URO1" s="9"/>
      <c r="URP1" s="9"/>
      <c r="URQ1" s="9"/>
      <c r="URR1" s="9"/>
      <c r="URS1" s="9"/>
      <c r="URT1" s="9"/>
      <c r="URU1" s="9"/>
      <c r="URV1" s="9"/>
      <c r="URW1" s="9"/>
      <c r="URX1" s="9"/>
      <c r="URY1" s="9"/>
      <c r="URZ1" s="9"/>
      <c r="USA1" s="9"/>
      <c r="USB1" s="9"/>
      <c r="USC1" s="9"/>
      <c r="USD1" s="9"/>
      <c r="USE1" s="9"/>
      <c r="USF1" s="9"/>
      <c r="USG1" s="9"/>
      <c r="USH1" s="9"/>
      <c r="USI1" s="9"/>
      <c r="USJ1" s="9"/>
      <c r="USK1" s="9"/>
      <c r="USL1" s="9"/>
      <c r="USM1" s="9"/>
      <c r="USN1" s="9"/>
      <c r="USO1" s="9"/>
      <c r="USP1" s="9"/>
      <c r="USQ1" s="9"/>
      <c r="USR1" s="9"/>
      <c r="USS1" s="9"/>
      <c r="UST1" s="9"/>
      <c r="USU1" s="9"/>
      <c r="USV1" s="9"/>
      <c r="USW1" s="9"/>
      <c r="USX1" s="9"/>
      <c r="USY1" s="9"/>
      <c r="USZ1" s="9"/>
      <c r="UTA1" s="9"/>
      <c r="UTB1" s="9"/>
      <c r="UTC1" s="9"/>
      <c r="UTD1" s="9"/>
      <c r="UTE1" s="9"/>
      <c r="UTF1" s="9"/>
      <c r="UTG1" s="9"/>
      <c r="UTH1" s="9"/>
      <c r="UTI1" s="9"/>
      <c r="UTJ1" s="9"/>
      <c r="UTK1" s="9"/>
      <c r="UTL1" s="9"/>
      <c r="UTM1" s="9"/>
      <c r="UTN1" s="9"/>
      <c r="UTO1" s="9"/>
      <c r="UTP1" s="9"/>
      <c r="UTQ1" s="9"/>
      <c r="UTR1" s="9"/>
      <c r="UTS1" s="9"/>
      <c r="UTT1" s="9"/>
      <c r="UTU1" s="9"/>
      <c r="UTV1" s="9"/>
      <c r="UTW1" s="9"/>
      <c r="UTX1" s="9"/>
      <c r="UTY1" s="9"/>
      <c r="UTZ1" s="9"/>
      <c r="UUA1" s="9"/>
      <c r="UUB1" s="9"/>
      <c r="UUC1" s="9"/>
      <c r="UUD1" s="9"/>
      <c r="UUE1" s="9"/>
      <c r="UUF1" s="9"/>
      <c r="UUG1" s="9"/>
      <c r="UUH1" s="9"/>
      <c r="UUI1" s="9"/>
      <c r="UUJ1" s="9"/>
      <c r="UUK1" s="9"/>
      <c r="UUL1" s="9"/>
      <c r="UUM1" s="9"/>
      <c r="UUN1" s="9"/>
      <c r="UUO1" s="9"/>
      <c r="UUP1" s="9"/>
      <c r="UUQ1" s="9"/>
      <c r="UUR1" s="9"/>
      <c r="UUS1" s="9"/>
      <c r="UUT1" s="9"/>
      <c r="UUU1" s="9"/>
      <c r="UUV1" s="9"/>
      <c r="UUW1" s="9"/>
      <c r="UUX1" s="9"/>
      <c r="UUY1" s="9"/>
      <c r="UUZ1" s="9"/>
      <c r="UVA1" s="9"/>
      <c r="UVB1" s="9"/>
      <c r="UVC1" s="9"/>
      <c r="UVD1" s="9"/>
      <c r="UVE1" s="9"/>
      <c r="UVF1" s="9"/>
      <c r="UVG1" s="9"/>
      <c r="UVH1" s="9"/>
      <c r="UVI1" s="9"/>
      <c r="UVJ1" s="9"/>
      <c r="UVK1" s="9"/>
      <c r="UVL1" s="9"/>
      <c r="UVM1" s="9"/>
      <c r="UVN1" s="9"/>
      <c r="UVO1" s="9"/>
      <c r="UVP1" s="9"/>
      <c r="UVQ1" s="9"/>
      <c r="UVR1" s="9"/>
      <c r="UVS1" s="9"/>
      <c r="UVT1" s="9"/>
      <c r="UVU1" s="9"/>
      <c r="UVV1" s="9"/>
      <c r="UVW1" s="9"/>
      <c r="UVX1" s="9"/>
      <c r="UVY1" s="9"/>
      <c r="UVZ1" s="9"/>
      <c r="UWA1" s="9"/>
      <c r="UWB1" s="9"/>
      <c r="UWC1" s="9"/>
      <c r="UWD1" s="9"/>
      <c r="UWE1" s="9"/>
      <c r="UWF1" s="9"/>
      <c r="UWG1" s="9"/>
      <c r="UWH1" s="9"/>
      <c r="UWI1" s="9"/>
      <c r="UWJ1" s="9"/>
      <c r="UWK1" s="9"/>
      <c r="UWL1" s="9"/>
      <c r="UWM1" s="9"/>
      <c r="UWN1" s="9"/>
      <c r="UWO1" s="9"/>
      <c r="UWP1" s="9"/>
      <c r="UWQ1" s="9"/>
      <c r="UWR1" s="9"/>
      <c r="UWS1" s="9"/>
      <c r="UWT1" s="9"/>
      <c r="UWU1" s="9"/>
      <c r="UWV1" s="9"/>
      <c r="UWW1" s="9"/>
      <c r="UWX1" s="9"/>
      <c r="UWY1" s="9"/>
      <c r="UWZ1" s="9"/>
      <c r="UXA1" s="9"/>
      <c r="UXB1" s="9"/>
      <c r="UXC1" s="9"/>
      <c r="UXD1" s="9"/>
      <c r="UXE1" s="9"/>
      <c r="UXF1" s="9"/>
      <c r="UXG1" s="9"/>
      <c r="UXH1" s="9"/>
      <c r="UXI1" s="9"/>
      <c r="UXJ1" s="9"/>
      <c r="UXK1" s="9"/>
      <c r="UXL1" s="9"/>
      <c r="UXM1" s="9"/>
      <c r="UXN1" s="9"/>
      <c r="UXO1" s="9"/>
      <c r="UXP1" s="9"/>
      <c r="UXQ1" s="9"/>
      <c r="UXR1" s="9"/>
      <c r="UXS1" s="9"/>
      <c r="UXT1" s="9"/>
      <c r="UXU1" s="9"/>
      <c r="UXV1" s="9"/>
      <c r="UXW1" s="9"/>
      <c r="UXX1" s="9"/>
      <c r="UXY1" s="9"/>
      <c r="UXZ1" s="9"/>
      <c r="UYA1" s="9"/>
      <c r="UYB1" s="9"/>
      <c r="UYC1" s="9"/>
      <c r="UYD1" s="9"/>
      <c r="UYE1" s="9"/>
      <c r="UYF1" s="9"/>
      <c r="UYG1" s="9"/>
      <c r="UYH1" s="9"/>
      <c r="UYI1" s="9"/>
      <c r="UYJ1" s="9"/>
      <c r="UYK1" s="9"/>
      <c r="UYL1" s="9"/>
      <c r="UYM1" s="9"/>
      <c r="UYN1" s="9"/>
      <c r="UYO1" s="9"/>
      <c r="UYP1" s="9"/>
      <c r="UYQ1" s="9"/>
      <c r="UYR1" s="9"/>
      <c r="UYS1" s="9"/>
      <c r="UYT1" s="9"/>
      <c r="UYU1" s="9"/>
      <c r="UYV1" s="9"/>
      <c r="UYW1" s="9"/>
      <c r="UYX1" s="9"/>
      <c r="UYY1" s="9"/>
      <c r="UYZ1" s="9"/>
      <c r="UZA1" s="9"/>
      <c r="UZB1" s="9"/>
      <c r="UZC1" s="9"/>
      <c r="UZD1" s="9"/>
      <c r="UZE1" s="9"/>
      <c r="UZF1" s="9"/>
      <c r="UZG1" s="9"/>
      <c r="UZH1" s="9"/>
      <c r="UZI1" s="9"/>
      <c r="UZJ1" s="9"/>
      <c r="UZK1" s="9"/>
      <c r="UZL1" s="9"/>
      <c r="UZM1" s="9"/>
      <c r="UZN1" s="9"/>
      <c r="UZO1" s="9"/>
      <c r="UZP1" s="9"/>
      <c r="UZQ1" s="9"/>
      <c r="UZR1" s="9"/>
      <c r="UZS1" s="9"/>
      <c r="UZT1" s="9"/>
      <c r="UZU1" s="9"/>
      <c r="UZV1" s="9"/>
      <c r="UZW1" s="9"/>
      <c r="UZX1" s="9"/>
      <c r="UZY1" s="9"/>
      <c r="UZZ1" s="9"/>
      <c r="VAA1" s="9"/>
      <c r="VAB1" s="9"/>
      <c r="VAC1" s="9"/>
      <c r="VAD1" s="9"/>
      <c r="VAE1" s="9"/>
      <c r="VAF1" s="9"/>
      <c r="VAG1" s="9"/>
      <c r="VAH1" s="9"/>
      <c r="VAI1" s="9"/>
      <c r="VAJ1" s="9"/>
      <c r="VAK1" s="9"/>
      <c r="VAL1" s="9"/>
      <c r="VAM1" s="9"/>
      <c r="VAN1" s="9"/>
      <c r="VAO1" s="9"/>
      <c r="VAP1" s="9"/>
      <c r="VAQ1" s="9"/>
      <c r="VAR1" s="9"/>
      <c r="VAS1" s="9"/>
      <c r="VAT1" s="9"/>
      <c r="VAU1" s="9"/>
      <c r="VAV1" s="9"/>
      <c r="VAW1" s="9"/>
      <c r="VAX1" s="9"/>
      <c r="VAY1" s="9"/>
      <c r="VAZ1" s="9"/>
      <c r="VBA1" s="9"/>
      <c r="VBB1" s="9"/>
      <c r="VBC1" s="9"/>
      <c r="VBD1" s="9"/>
      <c r="VBE1" s="9"/>
      <c r="VBF1" s="9"/>
      <c r="VBG1" s="9"/>
      <c r="VBH1" s="9"/>
      <c r="VBI1" s="9"/>
      <c r="VBJ1" s="9"/>
      <c r="VBK1" s="9"/>
      <c r="VBL1" s="9"/>
      <c r="VBM1" s="9"/>
      <c r="VBN1" s="9"/>
      <c r="VBO1" s="9"/>
      <c r="VBP1" s="9"/>
      <c r="VBQ1" s="9"/>
      <c r="VBR1" s="9"/>
      <c r="VBS1" s="9"/>
      <c r="VBT1" s="9"/>
      <c r="VBU1" s="9"/>
      <c r="VBV1" s="9"/>
      <c r="VBW1" s="9"/>
      <c r="VBX1" s="9"/>
      <c r="VBY1" s="9"/>
      <c r="VBZ1" s="9"/>
      <c r="VCA1" s="9"/>
      <c r="VCB1" s="9"/>
      <c r="VCC1" s="9"/>
      <c r="VCD1" s="9"/>
      <c r="VCE1" s="9"/>
      <c r="VCF1" s="9"/>
      <c r="VCG1" s="9"/>
      <c r="VCH1" s="9"/>
      <c r="VCI1" s="9"/>
      <c r="VCJ1" s="9"/>
      <c r="VCK1" s="9"/>
      <c r="VCL1" s="9"/>
      <c r="VCM1" s="9"/>
      <c r="VCN1" s="9"/>
      <c r="VCO1" s="9"/>
      <c r="VCP1" s="9"/>
      <c r="VCQ1" s="9"/>
      <c r="VCR1" s="9"/>
      <c r="VCS1" s="9"/>
      <c r="VCT1" s="9"/>
      <c r="VCU1" s="9"/>
      <c r="VCV1" s="9"/>
      <c r="VCW1" s="9"/>
      <c r="VCX1" s="9"/>
      <c r="VCY1" s="9"/>
      <c r="VCZ1" s="9"/>
      <c r="VDA1" s="9"/>
      <c r="VDB1" s="9"/>
      <c r="VDC1" s="9"/>
      <c r="VDD1" s="9"/>
      <c r="VDE1" s="9"/>
      <c r="VDF1" s="9"/>
      <c r="VDG1" s="9"/>
      <c r="VDH1" s="9"/>
      <c r="VDI1" s="9"/>
      <c r="VDJ1" s="9"/>
      <c r="VDK1" s="9"/>
      <c r="VDL1" s="9"/>
      <c r="VDM1" s="9"/>
      <c r="VDN1" s="9"/>
      <c r="VDO1" s="9"/>
      <c r="VDP1" s="9"/>
      <c r="VDQ1" s="9"/>
      <c r="VDR1" s="9"/>
      <c r="VDS1" s="9"/>
      <c r="VDT1" s="9"/>
      <c r="VDU1" s="9"/>
      <c r="VDV1" s="9"/>
      <c r="VDW1" s="9"/>
      <c r="VDX1" s="9"/>
      <c r="VDY1" s="9"/>
      <c r="VDZ1" s="9"/>
      <c r="VEA1" s="9"/>
      <c r="VEB1" s="9"/>
      <c r="VEC1" s="9"/>
      <c r="VED1" s="9"/>
      <c r="VEE1" s="9"/>
      <c r="VEF1" s="9"/>
      <c r="VEG1" s="9"/>
      <c r="VEH1" s="9"/>
      <c r="VEI1" s="9"/>
      <c r="VEJ1" s="9"/>
      <c r="VEK1" s="9"/>
      <c r="VEL1" s="9"/>
      <c r="VEM1" s="9"/>
      <c r="VEN1" s="9"/>
      <c r="VEO1" s="9"/>
      <c r="VEP1" s="9"/>
      <c r="VEQ1" s="9"/>
      <c r="VER1" s="9"/>
      <c r="VES1" s="9"/>
      <c r="VET1" s="9"/>
      <c r="VEU1" s="9"/>
      <c r="VEV1" s="9"/>
      <c r="VEW1" s="9"/>
      <c r="VEX1" s="9"/>
      <c r="VEY1" s="9"/>
      <c r="VEZ1" s="9"/>
      <c r="VFA1" s="9"/>
      <c r="VFB1" s="9"/>
      <c r="VFC1" s="9"/>
      <c r="VFD1" s="9"/>
      <c r="VFE1" s="9"/>
      <c r="VFF1" s="9"/>
      <c r="VFG1" s="9"/>
      <c r="VFH1" s="9"/>
      <c r="VFI1" s="9"/>
      <c r="VFJ1" s="9"/>
      <c r="VFK1" s="9"/>
      <c r="VFL1" s="9"/>
      <c r="VFM1" s="9"/>
      <c r="VFN1" s="9"/>
      <c r="VFO1" s="9"/>
      <c r="VFP1" s="9"/>
      <c r="VFQ1" s="9"/>
      <c r="VFR1" s="9"/>
      <c r="VFS1" s="9"/>
      <c r="VFT1" s="9"/>
      <c r="VFU1" s="9"/>
      <c r="VFV1" s="9"/>
      <c r="VFW1" s="9"/>
      <c r="VFX1" s="9"/>
      <c r="VFY1" s="9"/>
      <c r="VFZ1" s="9"/>
      <c r="VGA1" s="9"/>
      <c r="VGB1" s="9"/>
      <c r="VGC1" s="9"/>
      <c r="VGD1" s="9"/>
      <c r="VGE1" s="9"/>
      <c r="VGF1" s="9"/>
      <c r="VGG1" s="9"/>
      <c r="VGH1" s="9"/>
      <c r="VGI1" s="9"/>
      <c r="VGJ1" s="9"/>
      <c r="VGK1" s="9"/>
      <c r="VGL1" s="9"/>
      <c r="VGM1" s="9"/>
      <c r="VGN1" s="9"/>
      <c r="VGO1" s="9"/>
      <c r="VGP1" s="9"/>
      <c r="VGQ1" s="9"/>
      <c r="VGR1" s="9"/>
      <c r="VGS1" s="9"/>
      <c r="VGT1" s="9"/>
      <c r="VGU1" s="9"/>
      <c r="VGV1" s="9"/>
      <c r="VGW1" s="9"/>
      <c r="VGX1" s="9"/>
      <c r="VGY1" s="9"/>
      <c r="VGZ1" s="9"/>
      <c r="VHA1" s="9"/>
      <c r="VHB1" s="9"/>
      <c r="VHC1" s="9"/>
      <c r="VHD1" s="9"/>
      <c r="VHE1" s="9"/>
      <c r="VHF1" s="9"/>
      <c r="VHG1" s="9"/>
      <c r="VHH1" s="9"/>
      <c r="VHI1" s="9"/>
      <c r="VHJ1" s="9"/>
      <c r="VHK1" s="9"/>
      <c r="VHL1" s="9"/>
      <c r="VHM1" s="9"/>
      <c r="VHN1" s="9"/>
      <c r="VHO1" s="9"/>
      <c r="VHP1" s="9"/>
      <c r="VHQ1" s="9"/>
      <c r="VHR1" s="9"/>
      <c r="VHS1" s="9"/>
      <c r="VHT1" s="9"/>
      <c r="VHU1" s="9"/>
      <c r="VHV1" s="9"/>
      <c r="VHW1" s="9"/>
      <c r="VHX1" s="9"/>
      <c r="VHY1" s="9"/>
      <c r="VHZ1" s="9"/>
      <c r="VIA1" s="9"/>
      <c r="VIB1" s="9"/>
      <c r="VIC1" s="9"/>
      <c r="VID1" s="9"/>
      <c r="VIE1" s="9"/>
      <c r="VIF1" s="9"/>
      <c r="VIG1" s="9"/>
      <c r="VIH1" s="9"/>
      <c r="VII1" s="9"/>
      <c r="VIJ1" s="9"/>
      <c r="VIK1" s="9"/>
      <c r="VIL1" s="9"/>
      <c r="VIM1" s="9"/>
      <c r="VIN1" s="9"/>
      <c r="VIO1" s="9"/>
      <c r="VIP1" s="9"/>
      <c r="VIQ1" s="9"/>
      <c r="VIR1" s="9"/>
      <c r="VIS1" s="9"/>
      <c r="VIT1" s="9"/>
      <c r="VIU1" s="9"/>
      <c r="VIV1" s="9"/>
      <c r="VIW1" s="9"/>
      <c r="VIX1" s="9"/>
      <c r="VIY1" s="9"/>
      <c r="VIZ1" s="9"/>
      <c r="VJA1" s="9"/>
      <c r="VJB1" s="9"/>
      <c r="VJC1" s="9"/>
      <c r="VJD1" s="9"/>
      <c r="VJE1" s="9"/>
      <c r="VJF1" s="9"/>
      <c r="VJG1" s="9"/>
      <c r="VJH1" s="9"/>
      <c r="VJI1" s="9"/>
      <c r="VJJ1" s="9"/>
      <c r="VJK1" s="9"/>
      <c r="VJL1" s="9"/>
      <c r="VJM1" s="9"/>
      <c r="VJN1" s="9"/>
      <c r="VJO1" s="9"/>
      <c r="VJP1" s="9"/>
      <c r="VJQ1" s="9"/>
      <c r="VJR1" s="9"/>
      <c r="VJS1" s="9"/>
      <c r="VJT1" s="9"/>
      <c r="VJU1" s="9"/>
      <c r="VJV1" s="9"/>
      <c r="VJW1" s="9"/>
      <c r="VJX1" s="9"/>
      <c r="VJY1" s="9"/>
      <c r="VJZ1" s="9"/>
      <c r="VKA1" s="9"/>
      <c r="VKB1" s="9"/>
      <c r="VKC1" s="9"/>
      <c r="VKD1" s="9"/>
      <c r="VKE1" s="9"/>
      <c r="VKF1" s="9"/>
      <c r="VKG1" s="9"/>
      <c r="VKH1" s="9"/>
      <c r="VKI1" s="9"/>
      <c r="VKJ1" s="9"/>
      <c r="VKK1" s="9"/>
      <c r="VKL1" s="9"/>
      <c r="VKM1" s="9"/>
      <c r="VKN1" s="9"/>
      <c r="VKO1" s="9"/>
      <c r="VKP1" s="9"/>
      <c r="VKQ1" s="9"/>
      <c r="VKR1" s="9"/>
      <c r="VKS1" s="9"/>
      <c r="VKT1" s="9"/>
      <c r="VKU1" s="9"/>
      <c r="VKV1" s="9"/>
      <c r="VKW1" s="9"/>
      <c r="VKX1" s="9"/>
      <c r="VKY1" s="9"/>
      <c r="VKZ1" s="9"/>
      <c r="VLA1" s="9"/>
      <c r="VLB1" s="9"/>
      <c r="VLC1" s="9"/>
      <c r="VLD1" s="9"/>
      <c r="VLE1" s="9"/>
      <c r="VLF1" s="9"/>
      <c r="VLG1" s="9"/>
      <c r="VLH1" s="9"/>
      <c r="VLI1" s="9"/>
      <c r="VLJ1" s="9"/>
      <c r="VLK1" s="9"/>
      <c r="VLL1" s="9"/>
      <c r="VLM1" s="9"/>
      <c r="VLN1" s="9"/>
      <c r="VLO1" s="9"/>
      <c r="VLP1" s="9"/>
      <c r="VLQ1" s="9"/>
      <c r="VLR1" s="9"/>
      <c r="VLS1" s="9"/>
      <c r="VLT1" s="9"/>
      <c r="VLU1" s="9"/>
      <c r="VLV1" s="9"/>
      <c r="VLW1" s="9"/>
      <c r="VLX1" s="9"/>
      <c r="VLY1" s="9"/>
      <c r="VLZ1" s="9"/>
      <c r="VMA1" s="9"/>
      <c r="VMB1" s="9"/>
      <c r="VMC1" s="9"/>
      <c r="VMD1" s="9"/>
      <c r="VME1" s="9"/>
      <c r="VMF1" s="9"/>
      <c r="VMG1" s="9"/>
      <c r="VMH1" s="9"/>
      <c r="VMI1" s="9"/>
      <c r="VMJ1" s="9"/>
      <c r="VMK1" s="9"/>
      <c r="VML1" s="9"/>
      <c r="VMM1" s="9"/>
      <c r="VMN1" s="9"/>
      <c r="VMO1" s="9"/>
      <c r="VMP1" s="9"/>
      <c r="VMQ1" s="9"/>
      <c r="VMR1" s="9"/>
      <c r="VMS1" s="9"/>
      <c r="VMT1" s="9"/>
      <c r="VMU1" s="9"/>
      <c r="VMV1" s="9"/>
      <c r="VMW1" s="9"/>
      <c r="VMX1" s="9"/>
      <c r="VMY1" s="9"/>
      <c r="VMZ1" s="9"/>
      <c r="VNA1" s="9"/>
      <c r="VNB1" s="9"/>
      <c r="VNC1" s="9"/>
      <c r="VND1" s="9"/>
      <c r="VNE1" s="9"/>
      <c r="VNF1" s="9"/>
      <c r="VNG1" s="9"/>
      <c r="VNH1" s="9"/>
      <c r="VNI1" s="9"/>
      <c r="VNJ1" s="9"/>
      <c r="VNK1" s="9"/>
      <c r="VNL1" s="9"/>
      <c r="VNM1" s="9"/>
      <c r="VNN1" s="9"/>
      <c r="VNO1" s="9"/>
      <c r="VNP1" s="9"/>
      <c r="VNQ1" s="9"/>
      <c r="VNR1" s="9"/>
      <c r="VNS1" s="9"/>
      <c r="VNT1" s="9"/>
      <c r="VNU1" s="9"/>
      <c r="VNV1" s="9"/>
      <c r="VNW1" s="9"/>
      <c r="VNX1" s="9"/>
      <c r="VNY1" s="9"/>
      <c r="VNZ1" s="9"/>
      <c r="VOA1" s="9"/>
      <c r="VOB1" s="9"/>
      <c r="VOC1" s="9"/>
      <c r="VOD1" s="9"/>
      <c r="VOE1" s="9"/>
      <c r="VOF1" s="9"/>
      <c r="VOG1" s="9"/>
      <c r="VOH1" s="9"/>
      <c r="VOI1" s="9"/>
      <c r="VOJ1" s="9"/>
      <c r="VOK1" s="9"/>
      <c r="VOL1" s="9"/>
      <c r="VOM1" s="9"/>
      <c r="VON1" s="9"/>
      <c r="VOO1" s="9"/>
      <c r="VOP1" s="9"/>
      <c r="VOQ1" s="9"/>
      <c r="VOR1" s="9"/>
      <c r="VOS1" s="9"/>
      <c r="VOT1" s="9"/>
      <c r="VOU1" s="9"/>
      <c r="VOV1" s="9"/>
      <c r="VOW1" s="9"/>
      <c r="VOX1" s="9"/>
      <c r="VOY1" s="9"/>
      <c r="VOZ1" s="9"/>
      <c r="VPA1" s="9"/>
      <c r="VPB1" s="9"/>
      <c r="VPC1" s="9"/>
      <c r="VPD1" s="9"/>
      <c r="VPE1" s="9"/>
      <c r="VPF1" s="9"/>
      <c r="VPG1" s="9"/>
      <c r="VPH1" s="9"/>
      <c r="VPI1" s="9"/>
      <c r="VPJ1" s="9"/>
      <c r="VPK1" s="9"/>
      <c r="VPL1" s="9"/>
      <c r="VPM1" s="9"/>
      <c r="VPN1" s="9"/>
      <c r="VPO1" s="9"/>
      <c r="VPP1" s="9"/>
      <c r="VPQ1" s="9"/>
      <c r="VPR1" s="9"/>
      <c r="VPS1" s="9"/>
      <c r="VPT1" s="9"/>
      <c r="VPU1" s="9"/>
      <c r="VPV1" s="9"/>
      <c r="VPW1" s="9"/>
      <c r="VPX1" s="9"/>
      <c r="VPY1" s="9"/>
      <c r="VPZ1" s="9"/>
      <c r="VQA1" s="9"/>
      <c r="VQB1" s="9"/>
      <c r="VQC1" s="9"/>
      <c r="VQD1" s="9"/>
      <c r="VQE1" s="9"/>
      <c r="VQF1" s="9"/>
      <c r="VQG1" s="9"/>
      <c r="VQH1" s="9"/>
      <c r="VQI1" s="9"/>
      <c r="VQJ1" s="9"/>
      <c r="VQK1" s="9"/>
      <c r="VQL1" s="9"/>
      <c r="VQM1" s="9"/>
      <c r="VQN1" s="9"/>
      <c r="VQO1" s="9"/>
      <c r="VQP1" s="9"/>
      <c r="VQQ1" s="9"/>
      <c r="VQR1" s="9"/>
      <c r="VQS1" s="9"/>
      <c r="VQT1" s="9"/>
      <c r="VQU1" s="9"/>
      <c r="VQV1" s="9"/>
      <c r="VQW1" s="9"/>
      <c r="VQX1" s="9"/>
      <c r="VQY1" s="9"/>
      <c r="VQZ1" s="9"/>
      <c r="VRA1" s="9"/>
      <c r="VRB1" s="9"/>
      <c r="VRC1" s="9"/>
      <c r="VRD1" s="9"/>
      <c r="VRE1" s="9"/>
      <c r="VRF1" s="9"/>
      <c r="VRG1" s="9"/>
      <c r="VRH1" s="9"/>
      <c r="VRI1" s="9"/>
      <c r="VRJ1" s="9"/>
      <c r="VRK1" s="9"/>
      <c r="VRL1" s="9"/>
      <c r="VRM1" s="9"/>
      <c r="VRN1" s="9"/>
      <c r="VRO1" s="9"/>
      <c r="VRP1" s="9"/>
      <c r="VRQ1" s="9"/>
      <c r="VRR1" s="9"/>
      <c r="VRS1" s="9"/>
      <c r="VRT1" s="9"/>
      <c r="VRU1" s="9"/>
      <c r="VRV1" s="9"/>
      <c r="VRW1" s="9"/>
      <c r="VRX1" s="9"/>
      <c r="VRY1" s="9"/>
      <c r="VRZ1" s="9"/>
      <c r="VSA1" s="9"/>
      <c r="VSB1" s="9"/>
      <c r="VSC1" s="9"/>
      <c r="VSD1" s="9"/>
      <c r="VSE1" s="9"/>
      <c r="VSF1" s="9"/>
      <c r="VSG1" s="9"/>
      <c r="VSH1" s="9"/>
      <c r="VSI1" s="9"/>
      <c r="VSJ1" s="9"/>
      <c r="VSK1" s="9"/>
      <c r="VSL1" s="9"/>
      <c r="VSM1" s="9"/>
      <c r="VSN1" s="9"/>
      <c r="VSO1" s="9"/>
      <c r="VSP1" s="9"/>
      <c r="VSQ1" s="9"/>
      <c r="VSR1" s="9"/>
      <c r="VSS1" s="9"/>
      <c r="VST1" s="9"/>
      <c r="VSU1" s="9"/>
      <c r="VSV1" s="9"/>
      <c r="VSW1" s="9"/>
      <c r="VSX1" s="9"/>
      <c r="VSY1" s="9"/>
      <c r="VSZ1" s="9"/>
      <c r="VTA1" s="9"/>
      <c r="VTB1" s="9"/>
      <c r="VTC1" s="9"/>
      <c r="VTD1" s="9"/>
      <c r="VTE1" s="9"/>
      <c r="VTF1" s="9"/>
      <c r="VTG1" s="9"/>
      <c r="VTH1" s="9"/>
      <c r="VTI1" s="9"/>
      <c r="VTJ1" s="9"/>
      <c r="VTK1" s="9"/>
      <c r="VTL1" s="9"/>
      <c r="VTM1" s="9"/>
      <c r="VTN1" s="9"/>
      <c r="VTO1" s="9"/>
      <c r="VTP1" s="9"/>
      <c r="VTQ1" s="9"/>
      <c r="VTR1" s="9"/>
      <c r="VTS1" s="9"/>
      <c r="VTT1" s="9"/>
      <c r="VTU1" s="9"/>
      <c r="VTV1" s="9"/>
      <c r="VTW1" s="9"/>
      <c r="VTX1" s="9"/>
      <c r="VTY1" s="9"/>
      <c r="VTZ1" s="9"/>
      <c r="VUA1" s="9"/>
      <c r="VUB1" s="9"/>
      <c r="VUC1" s="9"/>
      <c r="VUD1" s="9"/>
      <c r="VUE1" s="9"/>
      <c r="VUF1" s="9"/>
      <c r="VUG1" s="9"/>
      <c r="VUH1" s="9"/>
      <c r="VUI1" s="9"/>
      <c r="VUJ1" s="9"/>
      <c r="VUK1" s="9"/>
      <c r="VUL1" s="9"/>
      <c r="VUM1" s="9"/>
      <c r="VUN1" s="9"/>
      <c r="VUO1" s="9"/>
      <c r="VUP1" s="9"/>
      <c r="VUQ1" s="9"/>
      <c r="VUR1" s="9"/>
      <c r="VUS1" s="9"/>
      <c r="VUT1" s="9"/>
      <c r="VUU1" s="9"/>
      <c r="VUV1" s="9"/>
      <c r="VUW1" s="9"/>
      <c r="VUX1" s="9"/>
      <c r="VUY1" s="9"/>
      <c r="VUZ1" s="9"/>
      <c r="VVA1" s="9"/>
      <c r="VVB1" s="9"/>
      <c r="VVC1" s="9"/>
      <c r="VVD1" s="9"/>
      <c r="VVE1" s="9"/>
      <c r="VVF1" s="9"/>
      <c r="VVG1" s="9"/>
      <c r="VVH1" s="9"/>
      <c r="VVI1" s="9"/>
      <c r="VVJ1" s="9"/>
      <c r="VVK1" s="9"/>
      <c r="VVL1" s="9"/>
      <c r="VVM1" s="9"/>
      <c r="VVN1" s="9"/>
      <c r="VVO1" s="9"/>
      <c r="VVP1" s="9"/>
      <c r="VVQ1" s="9"/>
      <c r="VVR1" s="9"/>
      <c r="VVS1" s="9"/>
      <c r="VVT1" s="9"/>
      <c r="VVU1" s="9"/>
      <c r="VVV1" s="9"/>
      <c r="VVW1" s="9"/>
      <c r="VVX1" s="9"/>
      <c r="VVY1" s="9"/>
      <c r="VVZ1" s="9"/>
      <c r="VWA1" s="9"/>
      <c r="VWB1" s="9"/>
      <c r="VWC1" s="9"/>
      <c r="VWD1" s="9"/>
      <c r="VWE1" s="9"/>
      <c r="VWF1" s="9"/>
      <c r="VWG1" s="9"/>
      <c r="VWH1" s="9"/>
      <c r="VWI1" s="9"/>
      <c r="VWJ1" s="9"/>
      <c r="VWK1" s="9"/>
      <c r="VWL1" s="9"/>
      <c r="VWM1" s="9"/>
      <c r="VWN1" s="9"/>
      <c r="VWO1" s="9"/>
      <c r="VWP1" s="9"/>
      <c r="VWQ1" s="9"/>
      <c r="VWR1" s="9"/>
      <c r="VWS1" s="9"/>
      <c r="VWT1" s="9"/>
      <c r="VWU1" s="9"/>
      <c r="VWV1" s="9"/>
      <c r="VWW1" s="9"/>
      <c r="VWX1" s="9"/>
      <c r="VWY1" s="9"/>
      <c r="VWZ1" s="9"/>
      <c r="VXA1" s="9"/>
      <c r="VXB1" s="9"/>
      <c r="VXC1" s="9"/>
      <c r="VXD1" s="9"/>
      <c r="VXE1" s="9"/>
      <c r="VXF1" s="9"/>
      <c r="VXG1" s="9"/>
      <c r="VXH1" s="9"/>
      <c r="VXI1" s="9"/>
      <c r="VXJ1" s="9"/>
      <c r="VXK1" s="9"/>
      <c r="VXL1" s="9"/>
      <c r="VXM1" s="9"/>
      <c r="VXN1" s="9"/>
      <c r="VXO1" s="9"/>
      <c r="VXP1" s="9"/>
      <c r="VXQ1" s="9"/>
      <c r="VXR1" s="9"/>
      <c r="VXS1" s="9"/>
      <c r="VXT1" s="9"/>
      <c r="VXU1" s="9"/>
      <c r="VXV1" s="9"/>
      <c r="VXW1" s="9"/>
      <c r="VXX1" s="9"/>
      <c r="VXY1" s="9"/>
      <c r="VXZ1" s="9"/>
      <c r="VYA1" s="9"/>
      <c r="VYB1" s="9"/>
      <c r="VYC1" s="9"/>
      <c r="VYD1" s="9"/>
      <c r="VYE1" s="9"/>
      <c r="VYF1" s="9"/>
      <c r="VYG1" s="9"/>
      <c r="VYH1" s="9"/>
      <c r="VYI1" s="9"/>
      <c r="VYJ1" s="9"/>
      <c r="VYK1" s="9"/>
      <c r="VYL1" s="9"/>
      <c r="VYM1" s="9"/>
      <c r="VYN1" s="9"/>
      <c r="VYO1" s="9"/>
      <c r="VYP1" s="9"/>
      <c r="VYQ1" s="9"/>
      <c r="VYR1" s="9"/>
      <c r="VYS1" s="9"/>
      <c r="VYT1" s="9"/>
      <c r="VYU1" s="9"/>
      <c r="VYV1" s="9"/>
      <c r="VYW1" s="9"/>
      <c r="VYX1" s="9"/>
      <c r="VYY1" s="9"/>
      <c r="VYZ1" s="9"/>
      <c r="VZA1" s="9"/>
      <c r="VZB1" s="9"/>
      <c r="VZC1" s="9"/>
      <c r="VZD1" s="9"/>
      <c r="VZE1" s="9"/>
      <c r="VZF1" s="9"/>
      <c r="VZG1" s="9"/>
      <c r="VZH1" s="9"/>
      <c r="VZI1" s="9"/>
      <c r="VZJ1" s="9"/>
      <c r="VZK1" s="9"/>
      <c r="VZL1" s="9"/>
      <c r="VZM1" s="9"/>
      <c r="VZN1" s="9"/>
      <c r="VZO1" s="9"/>
      <c r="VZP1" s="9"/>
      <c r="VZQ1" s="9"/>
      <c r="VZR1" s="9"/>
      <c r="VZS1" s="9"/>
      <c r="VZT1" s="9"/>
      <c r="VZU1" s="9"/>
      <c r="VZV1" s="9"/>
      <c r="VZW1" s="9"/>
      <c r="VZX1" s="9"/>
      <c r="VZY1" s="9"/>
      <c r="VZZ1" s="9"/>
      <c r="WAA1" s="9"/>
      <c r="WAB1" s="9"/>
      <c r="WAC1" s="9"/>
      <c r="WAD1" s="9"/>
      <c r="WAE1" s="9"/>
      <c r="WAF1" s="9"/>
      <c r="WAG1" s="9"/>
      <c r="WAH1" s="9"/>
      <c r="WAI1" s="9"/>
      <c r="WAJ1" s="9"/>
      <c r="WAK1" s="9"/>
      <c r="WAL1" s="9"/>
      <c r="WAM1" s="9"/>
      <c r="WAN1" s="9"/>
      <c r="WAO1" s="9"/>
      <c r="WAP1" s="9"/>
      <c r="WAQ1" s="9"/>
      <c r="WAR1" s="9"/>
      <c r="WAS1" s="9"/>
      <c r="WAT1" s="9"/>
      <c r="WAU1" s="9"/>
      <c r="WAV1" s="9"/>
      <c r="WAW1" s="9"/>
      <c r="WAX1" s="9"/>
      <c r="WAY1" s="9"/>
      <c r="WAZ1" s="9"/>
      <c r="WBA1" s="9"/>
      <c r="WBB1" s="9"/>
      <c r="WBC1" s="9"/>
      <c r="WBD1" s="9"/>
      <c r="WBE1" s="9"/>
      <c r="WBF1" s="9"/>
      <c r="WBG1" s="9"/>
      <c r="WBH1" s="9"/>
      <c r="WBI1" s="9"/>
      <c r="WBJ1" s="9"/>
      <c r="WBK1" s="9"/>
      <c r="WBL1" s="9"/>
      <c r="WBM1" s="9"/>
      <c r="WBN1" s="9"/>
      <c r="WBO1" s="9"/>
      <c r="WBP1" s="9"/>
      <c r="WBQ1" s="9"/>
      <c r="WBR1" s="9"/>
      <c r="WBS1" s="9"/>
      <c r="WBT1" s="9"/>
      <c r="WBU1" s="9"/>
      <c r="WBV1" s="9"/>
      <c r="WBW1" s="9"/>
      <c r="WBX1" s="9"/>
      <c r="WBY1" s="9"/>
      <c r="WBZ1" s="9"/>
      <c r="WCA1" s="9"/>
      <c r="WCB1" s="9"/>
      <c r="WCC1" s="9"/>
      <c r="WCD1" s="9"/>
      <c r="WCE1" s="9"/>
      <c r="WCF1" s="9"/>
      <c r="WCG1" s="9"/>
      <c r="WCH1" s="9"/>
      <c r="WCI1" s="9"/>
      <c r="WCJ1" s="9"/>
      <c r="WCK1" s="9"/>
      <c r="WCL1" s="9"/>
      <c r="WCM1" s="9"/>
      <c r="WCN1" s="9"/>
      <c r="WCO1" s="9"/>
      <c r="WCP1" s="9"/>
      <c r="WCQ1" s="9"/>
      <c r="WCR1" s="9"/>
      <c r="WCS1" s="9"/>
      <c r="WCT1" s="9"/>
      <c r="WCU1" s="9"/>
      <c r="WCV1" s="9"/>
      <c r="WCW1" s="9"/>
      <c r="WCX1" s="9"/>
      <c r="WCY1" s="9"/>
      <c r="WCZ1" s="9"/>
      <c r="WDA1" s="9"/>
      <c r="WDB1" s="9"/>
      <c r="WDC1" s="9"/>
      <c r="WDD1" s="9"/>
      <c r="WDE1" s="9"/>
      <c r="WDF1" s="9"/>
      <c r="WDG1" s="9"/>
      <c r="WDH1" s="9"/>
      <c r="WDI1" s="9"/>
      <c r="WDJ1" s="9"/>
      <c r="WDK1" s="9"/>
      <c r="WDL1" s="9"/>
      <c r="WDM1" s="9"/>
      <c r="WDN1" s="9"/>
      <c r="WDO1" s="9"/>
      <c r="WDP1" s="9"/>
      <c r="WDQ1" s="9"/>
      <c r="WDR1" s="9"/>
      <c r="WDS1" s="9"/>
      <c r="WDT1" s="9"/>
      <c r="WDU1" s="9"/>
      <c r="WDV1" s="9"/>
      <c r="WDW1" s="9"/>
      <c r="WDX1" s="9"/>
      <c r="WDY1" s="9"/>
      <c r="WDZ1" s="9"/>
      <c r="WEA1" s="9"/>
      <c r="WEB1" s="9"/>
      <c r="WEC1" s="9"/>
      <c r="WED1" s="9"/>
      <c r="WEE1" s="9"/>
      <c r="WEF1" s="9"/>
      <c r="WEG1" s="9"/>
      <c r="WEH1" s="9"/>
      <c r="WEI1" s="9"/>
      <c r="WEJ1" s="9"/>
      <c r="WEK1" s="9"/>
      <c r="WEL1" s="9"/>
      <c r="WEM1" s="9"/>
      <c r="WEN1" s="9"/>
      <c r="WEO1" s="9"/>
      <c r="WEP1" s="9"/>
      <c r="WEQ1" s="9"/>
      <c r="WER1" s="9"/>
      <c r="WES1" s="9"/>
      <c r="WET1" s="9"/>
      <c r="WEU1" s="9"/>
      <c r="WEV1" s="9"/>
      <c r="WEW1" s="9"/>
      <c r="WEX1" s="9"/>
      <c r="WEY1" s="9"/>
      <c r="WEZ1" s="9"/>
      <c r="WFA1" s="9"/>
      <c r="WFB1" s="9"/>
      <c r="WFC1" s="9"/>
      <c r="WFD1" s="9"/>
      <c r="WFE1" s="9"/>
      <c r="WFF1" s="9"/>
      <c r="WFG1" s="9"/>
      <c r="WFH1" s="9"/>
      <c r="WFI1" s="9"/>
      <c r="WFJ1" s="9"/>
      <c r="WFK1" s="9"/>
      <c r="WFL1" s="9"/>
      <c r="WFM1" s="9"/>
      <c r="WFN1" s="9"/>
      <c r="WFO1" s="9"/>
      <c r="WFP1" s="9"/>
      <c r="WFQ1" s="9"/>
      <c r="WFR1" s="9"/>
      <c r="WFS1" s="9"/>
      <c r="WFT1" s="9"/>
      <c r="WFU1" s="9"/>
      <c r="WFV1" s="9"/>
      <c r="WFW1" s="9"/>
      <c r="WFX1" s="9"/>
      <c r="WFY1" s="9"/>
      <c r="WFZ1" s="9"/>
      <c r="WGA1" s="9"/>
      <c r="WGB1" s="9"/>
      <c r="WGC1" s="9"/>
      <c r="WGD1" s="9"/>
      <c r="WGE1" s="9"/>
      <c r="WGF1" s="9"/>
      <c r="WGG1" s="9"/>
      <c r="WGH1" s="9"/>
      <c r="WGI1" s="9"/>
      <c r="WGJ1" s="9"/>
      <c r="WGK1" s="9"/>
      <c r="WGL1" s="9"/>
      <c r="WGM1" s="9"/>
      <c r="WGN1" s="9"/>
      <c r="WGO1" s="9"/>
      <c r="WGP1" s="9"/>
      <c r="WGQ1" s="9"/>
      <c r="WGR1" s="9"/>
      <c r="WGS1" s="9"/>
      <c r="WGT1" s="9"/>
      <c r="WGU1" s="9"/>
      <c r="WGV1" s="9"/>
      <c r="WGW1" s="9"/>
      <c r="WGX1" s="9"/>
      <c r="WGY1" s="9"/>
      <c r="WGZ1" s="9"/>
      <c r="WHA1" s="9"/>
      <c r="WHB1" s="9"/>
      <c r="WHC1" s="9"/>
      <c r="WHD1" s="9"/>
      <c r="WHE1" s="9"/>
      <c r="WHF1" s="9"/>
      <c r="WHG1" s="9"/>
      <c r="WHH1" s="9"/>
      <c r="WHI1" s="9"/>
      <c r="WHJ1" s="9"/>
      <c r="WHK1" s="9"/>
      <c r="WHL1" s="9"/>
      <c r="WHM1" s="9"/>
      <c r="WHN1" s="9"/>
      <c r="WHO1" s="9"/>
      <c r="WHP1" s="9"/>
      <c r="WHQ1" s="9"/>
      <c r="WHR1" s="9"/>
      <c r="WHS1" s="9"/>
      <c r="WHT1" s="9"/>
      <c r="WHU1" s="9"/>
      <c r="WHV1" s="9"/>
      <c r="WHW1" s="9"/>
      <c r="WHX1" s="9"/>
      <c r="WHY1" s="9"/>
      <c r="WHZ1" s="9"/>
      <c r="WIA1" s="9"/>
      <c r="WIB1" s="9"/>
      <c r="WIC1" s="9"/>
      <c r="WID1" s="9"/>
      <c r="WIE1" s="9"/>
      <c r="WIF1" s="9"/>
      <c r="WIG1" s="9"/>
      <c r="WIH1" s="9"/>
      <c r="WII1" s="9"/>
      <c r="WIJ1" s="9"/>
      <c r="WIK1" s="9"/>
      <c r="WIL1" s="9"/>
      <c r="WIM1" s="9"/>
      <c r="WIN1" s="9"/>
      <c r="WIO1" s="9"/>
      <c r="WIP1" s="9"/>
      <c r="WIQ1" s="9"/>
      <c r="WIR1" s="9"/>
      <c r="WIS1" s="9"/>
      <c r="WIT1" s="9"/>
      <c r="WIU1" s="9"/>
      <c r="WIV1" s="9"/>
      <c r="WIW1" s="9"/>
      <c r="WIX1" s="9"/>
      <c r="WIY1" s="9"/>
      <c r="WIZ1" s="9"/>
      <c r="WJA1" s="9"/>
      <c r="WJB1" s="9"/>
      <c r="WJC1" s="9"/>
      <c r="WJD1" s="9"/>
      <c r="WJE1" s="9"/>
      <c r="WJF1" s="9"/>
      <c r="WJG1" s="9"/>
      <c r="WJH1" s="9"/>
      <c r="WJI1" s="9"/>
      <c r="WJJ1" s="9"/>
      <c r="WJK1" s="9"/>
      <c r="WJL1" s="9"/>
      <c r="WJM1" s="9"/>
      <c r="WJN1" s="9"/>
      <c r="WJO1" s="9"/>
      <c r="WJP1" s="9"/>
      <c r="WJQ1" s="9"/>
      <c r="WJR1" s="9"/>
      <c r="WJS1" s="9"/>
      <c r="WJT1" s="9"/>
      <c r="WJU1" s="9"/>
      <c r="WJV1" s="9"/>
      <c r="WJW1" s="9"/>
      <c r="WJX1" s="9"/>
      <c r="WJY1" s="9"/>
      <c r="WJZ1" s="9"/>
      <c r="WKA1" s="9"/>
      <c r="WKB1" s="9"/>
      <c r="WKC1" s="9"/>
      <c r="WKD1" s="9"/>
      <c r="WKE1" s="9"/>
      <c r="WKF1" s="9"/>
      <c r="WKG1" s="9"/>
      <c r="WKH1" s="9"/>
      <c r="WKI1" s="9"/>
      <c r="WKJ1" s="9"/>
      <c r="WKK1" s="9"/>
      <c r="WKL1" s="9"/>
      <c r="WKM1" s="9"/>
      <c r="WKN1" s="9"/>
      <c r="WKO1" s="9"/>
      <c r="WKP1" s="9"/>
      <c r="WKQ1" s="9"/>
      <c r="WKR1" s="9"/>
      <c r="WKS1" s="9"/>
      <c r="WKT1" s="9"/>
      <c r="WKU1" s="9"/>
      <c r="WKV1" s="9"/>
      <c r="WKW1" s="9"/>
      <c r="WKX1" s="9"/>
      <c r="WKY1" s="9"/>
      <c r="WKZ1" s="9"/>
      <c r="WLA1" s="9"/>
      <c r="WLB1" s="9"/>
      <c r="WLC1" s="9"/>
      <c r="WLD1" s="9"/>
      <c r="WLE1" s="9"/>
      <c r="WLF1" s="9"/>
      <c r="WLG1" s="9"/>
      <c r="WLH1" s="9"/>
      <c r="WLI1" s="9"/>
      <c r="WLJ1" s="9"/>
      <c r="WLK1" s="9"/>
      <c r="WLL1" s="9"/>
      <c r="WLM1" s="9"/>
      <c r="WLN1" s="9"/>
      <c r="WLO1" s="9"/>
      <c r="WLP1" s="9"/>
      <c r="WLQ1" s="9"/>
      <c r="WLR1" s="9"/>
      <c r="WLS1" s="9"/>
      <c r="WLT1" s="9"/>
      <c r="WLU1" s="9"/>
      <c r="WLV1" s="9"/>
      <c r="WLW1" s="9"/>
      <c r="WLX1" s="9"/>
      <c r="WLY1" s="9"/>
      <c r="WLZ1" s="9"/>
      <c r="WMA1" s="9"/>
      <c r="WMB1" s="9"/>
      <c r="WMC1" s="9"/>
      <c r="WMD1" s="9"/>
      <c r="WME1" s="9"/>
      <c r="WMF1" s="9"/>
      <c r="WMG1" s="9"/>
      <c r="WMH1" s="9"/>
      <c r="WMI1" s="9"/>
      <c r="WMJ1" s="9"/>
      <c r="WMK1" s="9"/>
      <c r="WML1" s="9"/>
      <c r="WMM1" s="9"/>
      <c r="WMN1" s="9"/>
      <c r="WMO1" s="9"/>
      <c r="WMP1" s="9"/>
      <c r="WMQ1" s="9"/>
      <c r="WMR1" s="9"/>
      <c r="WMS1" s="9"/>
      <c r="WMT1" s="9"/>
      <c r="WMU1" s="9"/>
      <c r="WMV1" s="9"/>
      <c r="WMW1" s="9"/>
      <c r="WMX1" s="9"/>
      <c r="WMY1" s="9"/>
      <c r="WMZ1" s="9"/>
      <c r="WNA1" s="9"/>
      <c r="WNB1" s="9"/>
      <c r="WNC1" s="9"/>
      <c r="WND1" s="9"/>
      <c r="WNE1" s="9"/>
      <c r="WNF1" s="9"/>
      <c r="WNG1" s="9"/>
      <c r="WNH1" s="9"/>
      <c r="WNI1" s="9"/>
      <c r="WNJ1" s="9"/>
      <c r="WNK1" s="9"/>
      <c r="WNL1" s="9"/>
      <c r="WNM1" s="9"/>
      <c r="WNN1" s="9"/>
      <c r="WNO1" s="9"/>
      <c r="WNP1" s="9"/>
      <c r="WNQ1" s="9"/>
      <c r="WNR1" s="9"/>
      <c r="WNS1" s="9"/>
      <c r="WNT1" s="9"/>
      <c r="WNU1" s="9"/>
      <c r="WNV1" s="9"/>
      <c r="WNW1" s="9"/>
      <c r="WNX1" s="9"/>
      <c r="WNY1" s="9"/>
      <c r="WNZ1" s="9"/>
      <c r="WOA1" s="9"/>
      <c r="WOB1" s="9"/>
      <c r="WOC1" s="9"/>
      <c r="WOD1" s="9"/>
      <c r="WOE1" s="9"/>
      <c r="WOF1" s="9"/>
      <c r="WOG1" s="9"/>
      <c r="WOH1" s="9"/>
      <c r="WOI1" s="9"/>
      <c r="WOJ1" s="9"/>
      <c r="WOK1" s="9"/>
      <c r="WOL1" s="9"/>
      <c r="WOM1" s="9"/>
      <c r="WON1" s="9"/>
      <c r="WOO1" s="9"/>
      <c r="WOP1" s="9"/>
      <c r="WOQ1" s="9"/>
      <c r="WOR1" s="9"/>
      <c r="WOS1" s="9"/>
      <c r="WOT1" s="9"/>
      <c r="WOU1" s="9"/>
      <c r="WOV1" s="9"/>
      <c r="WOW1" s="9"/>
      <c r="WOX1" s="9"/>
      <c r="WOY1" s="9"/>
      <c r="WOZ1" s="9"/>
      <c r="WPA1" s="9"/>
      <c r="WPB1" s="9"/>
      <c r="WPC1" s="9"/>
      <c r="WPD1" s="9"/>
      <c r="WPE1" s="9"/>
      <c r="WPF1" s="9"/>
      <c r="WPG1" s="9"/>
      <c r="WPH1" s="9"/>
      <c r="WPI1" s="9"/>
      <c r="WPJ1" s="9"/>
      <c r="WPK1" s="9"/>
      <c r="WPL1" s="9"/>
      <c r="WPM1" s="9"/>
      <c r="WPN1" s="9"/>
      <c r="WPO1" s="9"/>
      <c r="WPP1" s="9"/>
      <c r="WPQ1" s="9"/>
      <c r="WPR1" s="9"/>
      <c r="WPS1" s="9"/>
      <c r="WPT1" s="9"/>
      <c r="WPU1" s="9"/>
      <c r="WPV1" s="9"/>
      <c r="WPW1" s="9"/>
      <c r="WPX1" s="9"/>
      <c r="WPY1" s="9"/>
      <c r="WPZ1" s="9"/>
      <c r="WQA1" s="9"/>
      <c r="WQB1" s="9"/>
      <c r="WQC1" s="9"/>
      <c r="WQD1" s="9"/>
      <c r="WQE1" s="9"/>
      <c r="WQF1" s="9"/>
      <c r="WQG1" s="9"/>
      <c r="WQH1" s="9"/>
      <c r="WQI1" s="9"/>
      <c r="WQJ1" s="9"/>
      <c r="WQK1" s="9"/>
      <c r="WQL1" s="9"/>
      <c r="WQM1" s="9"/>
      <c r="WQN1" s="9"/>
      <c r="WQO1" s="9"/>
      <c r="WQP1" s="9"/>
      <c r="WQQ1" s="9"/>
      <c r="WQR1" s="9"/>
      <c r="WQS1" s="9"/>
      <c r="WQT1" s="9"/>
      <c r="WQU1" s="9"/>
      <c r="WQV1" s="9"/>
      <c r="WQW1" s="9"/>
      <c r="WQX1" s="9"/>
      <c r="WQY1" s="9"/>
      <c r="WQZ1" s="9"/>
      <c r="WRA1" s="9"/>
      <c r="WRB1" s="9"/>
      <c r="WRC1" s="9"/>
      <c r="WRD1" s="9"/>
      <c r="WRE1" s="9"/>
      <c r="WRF1" s="9"/>
      <c r="WRG1" s="9"/>
      <c r="WRH1" s="9"/>
      <c r="WRI1" s="9"/>
      <c r="WRJ1" s="9"/>
      <c r="WRK1" s="9"/>
      <c r="WRL1" s="9"/>
      <c r="WRM1" s="9"/>
      <c r="WRN1" s="9"/>
      <c r="WRO1" s="9"/>
      <c r="WRP1" s="9"/>
      <c r="WRQ1" s="9"/>
      <c r="WRR1" s="9"/>
      <c r="WRS1" s="9"/>
      <c r="WRT1" s="9"/>
      <c r="WRU1" s="9"/>
      <c r="WRV1" s="9"/>
      <c r="WRW1" s="9"/>
      <c r="WRX1" s="9"/>
      <c r="WRY1" s="9"/>
      <c r="WRZ1" s="9"/>
      <c r="WSA1" s="9"/>
      <c r="WSB1" s="9"/>
      <c r="WSC1" s="9"/>
      <c r="WSD1" s="9"/>
      <c r="WSE1" s="9"/>
      <c r="WSF1" s="9"/>
      <c r="WSG1" s="9"/>
      <c r="WSH1" s="9"/>
      <c r="WSI1" s="9"/>
      <c r="WSJ1" s="9"/>
      <c r="WSK1" s="9"/>
      <c r="WSL1" s="9"/>
      <c r="WSM1" s="9"/>
      <c r="WSN1" s="9"/>
      <c r="WSO1" s="9"/>
      <c r="WSP1" s="9"/>
      <c r="WSQ1" s="9"/>
      <c r="WSR1" s="9"/>
      <c r="WSS1" s="9"/>
      <c r="WST1" s="9"/>
      <c r="WSU1" s="9"/>
      <c r="WSV1" s="9"/>
      <c r="WSW1" s="9"/>
      <c r="WSX1" s="9"/>
      <c r="WSY1" s="9"/>
      <c r="WSZ1" s="9"/>
      <c r="WTA1" s="9"/>
      <c r="WTB1" s="9"/>
      <c r="WTC1" s="9"/>
      <c r="WTD1" s="9"/>
      <c r="WTE1" s="9"/>
      <c r="WTF1" s="9"/>
      <c r="WTG1" s="9"/>
      <c r="WTH1" s="9"/>
      <c r="WTI1" s="9"/>
      <c r="WTJ1" s="9"/>
      <c r="WTK1" s="9"/>
      <c r="WTL1" s="9"/>
      <c r="WTM1" s="9"/>
      <c r="WTN1" s="9"/>
      <c r="WTO1" s="9"/>
      <c r="WTP1" s="9"/>
      <c r="WTQ1" s="9"/>
      <c r="WTR1" s="9"/>
      <c r="WTS1" s="9"/>
      <c r="WTT1" s="9"/>
      <c r="WTU1" s="9"/>
      <c r="WTV1" s="9"/>
      <c r="WTW1" s="9"/>
      <c r="WTX1" s="9"/>
      <c r="WTY1" s="9"/>
      <c r="WTZ1" s="9"/>
      <c r="WUA1" s="9"/>
      <c r="WUB1" s="9"/>
      <c r="WUC1" s="9"/>
      <c r="WUD1" s="9"/>
      <c r="WUE1" s="9"/>
      <c r="WUF1" s="9"/>
      <c r="WUG1" s="9"/>
      <c r="WUH1" s="9"/>
      <c r="WUI1" s="9"/>
      <c r="WUJ1" s="9"/>
      <c r="WUK1" s="9"/>
      <c r="WUL1" s="9"/>
      <c r="WUM1" s="9"/>
      <c r="WUN1" s="9"/>
      <c r="WUO1" s="9"/>
      <c r="WUP1" s="9"/>
      <c r="WUQ1" s="9"/>
      <c r="WUR1" s="9"/>
      <c r="WUS1" s="9"/>
      <c r="WUT1" s="9"/>
      <c r="WUU1" s="9"/>
      <c r="WUV1" s="9"/>
      <c r="WUW1" s="9"/>
      <c r="WUX1" s="9"/>
      <c r="WUY1" s="9"/>
      <c r="WUZ1" s="9"/>
      <c r="WVA1" s="9"/>
      <c r="WVB1" s="9"/>
      <c r="WVC1" s="9"/>
      <c r="WVD1" s="9"/>
      <c r="WVE1" s="9"/>
      <c r="WVF1" s="9"/>
      <c r="WVG1" s="9"/>
      <c r="WVH1" s="9"/>
      <c r="WVI1" s="9"/>
      <c r="WVJ1" s="9"/>
      <c r="WVK1" s="9"/>
      <c r="WVL1" s="9"/>
      <c r="WVM1" s="9"/>
      <c r="WVN1" s="9"/>
      <c r="WVO1" s="9"/>
      <c r="WVP1" s="9"/>
      <c r="WVQ1" s="9"/>
      <c r="WVR1" s="9"/>
      <c r="WVS1" s="9"/>
      <c r="WVT1" s="9"/>
      <c r="WVU1" s="9"/>
      <c r="WVV1" s="9"/>
      <c r="WVW1" s="9"/>
      <c r="WVX1" s="9"/>
      <c r="WVY1" s="9"/>
      <c r="WVZ1" s="9"/>
      <c r="WWA1" s="9"/>
      <c r="WWB1" s="9"/>
      <c r="WWC1" s="9"/>
      <c r="WWD1" s="9"/>
      <c r="WWE1" s="9"/>
      <c r="WWF1" s="9"/>
      <c r="WWG1" s="9"/>
      <c r="WWH1" s="9"/>
      <c r="WWI1" s="9"/>
      <c r="WWJ1" s="9"/>
      <c r="WWK1" s="9"/>
      <c r="WWL1" s="9"/>
      <c r="WWM1" s="9"/>
      <c r="WWN1" s="9"/>
      <c r="WWO1" s="9"/>
      <c r="WWP1" s="9"/>
      <c r="WWQ1" s="9"/>
      <c r="WWR1" s="9"/>
      <c r="WWS1" s="9"/>
      <c r="WWT1" s="9"/>
      <c r="WWU1" s="9"/>
      <c r="WWV1" s="9"/>
      <c r="WWW1" s="9"/>
      <c r="WWX1" s="9"/>
      <c r="WWY1" s="9"/>
      <c r="WWZ1" s="9"/>
      <c r="WXA1" s="9"/>
      <c r="WXB1" s="9"/>
      <c r="WXC1" s="9"/>
      <c r="WXD1" s="9"/>
      <c r="WXE1" s="9"/>
      <c r="WXF1" s="9"/>
      <c r="WXG1" s="9"/>
      <c r="WXH1" s="9"/>
      <c r="WXI1" s="9"/>
      <c r="WXJ1" s="9"/>
      <c r="WXK1" s="9"/>
      <c r="WXL1" s="9"/>
      <c r="WXM1" s="9"/>
      <c r="WXN1" s="9"/>
      <c r="WXO1" s="9"/>
      <c r="WXP1" s="9"/>
      <c r="WXQ1" s="9"/>
      <c r="WXR1" s="9"/>
      <c r="WXS1" s="9"/>
      <c r="WXT1" s="9"/>
      <c r="WXU1" s="9"/>
      <c r="WXV1" s="9"/>
      <c r="WXW1" s="9"/>
      <c r="WXX1" s="9"/>
      <c r="WXY1" s="9"/>
      <c r="WXZ1" s="9"/>
      <c r="WYA1" s="9"/>
      <c r="WYB1" s="9"/>
      <c r="WYC1" s="9"/>
      <c r="WYD1" s="9"/>
      <c r="WYE1" s="9"/>
      <c r="WYF1" s="9"/>
      <c r="WYG1" s="9"/>
      <c r="WYH1" s="9"/>
      <c r="WYI1" s="9"/>
      <c r="WYJ1" s="9"/>
      <c r="WYK1" s="9"/>
      <c r="WYL1" s="9"/>
      <c r="WYM1" s="9"/>
      <c r="WYN1" s="9"/>
      <c r="WYO1" s="9"/>
      <c r="WYP1" s="9"/>
      <c r="WYQ1" s="9"/>
      <c r="WYR1" s="9"/>
      <c r="WYS1" s="9"/>
      <c r="WYT1" s="9"/>
      <c r="WYU1" s="9"/>
      <c r="WYV1" s="9"/>
      <c r="WYW1" s="9"/>
      <c r="WYX1" s="9"/>
      <c r="WYY1" s="9"/>
      <c r="WYZ1" s="9"/>
      <c r="WZA1" s="9"/>
      <c r="WZB1" s="9"/>
      <c r="WZC1" s="9"/>
      <c r="WZD1" s="9"/>
      <c r="WZE1" s="9"/>
      <c r="WZF1" s="9"/>
      <c r="WZG1" s="9"/>
      <c r="WZH1" s="9"/>
      <c r="WZI1" s="9"/>
      <c r="WZJ1" s="9"/>
      <c r="WZK1" s="9"/>
      <c r="WZL1" s="9"/>
      <c r="WZM1" s="9"/>
      <c r="WZN1" s="9"/>
      <c r="WZO1" s="9"/>
      <c r="WZP1" s="9"/>
      <c r="WZQ1" s="9"/>
      <c r="WZR1" s="9"/>
      <c r="WZS1" s="9"/>
      <c r="WZT1" s="9"/>
      <c r="WZU1" s="9"/>
      <c r="WZV1" s="9"/>
      <c r="WZW1" s="9"/>
      <c r="WZX1" s="9"/>
      <c r="WZY1" s="9"/>
      <c r="WZZ1" s="9"/>
      <c r="XAA1" s="9"/>
      <c r="XAB1" s="9"/>
      <c r="XAC1" s="9"/>
      <c r="XAD1" s="9"/>
      <c r="XAE1" s="9"/>
      <c r="XAF1" s="9"/>
      <c r="XAG1" s="9"/>
      <c r="XAH1" s="9"/>
      <c r="XAI1" s="9"/>
      <c r="XAJ1" s="9"/>
      <c r="XAK1" s="9"/>
      <c r="XAL1" s="9"/>
      <c r="XAM1" s="9"/>
      <c r="XAN1" s="9"/>
      <c r="XAO1" s="9"/>
      <c r="XAP1" s="9"/>
      <c r="XAQ1" s="9"/>
      <c r="XAR1" s="9"/>
      <c r="XAS1" s="9"/>
      <c r="XAT1" s="9"/>
      <c r="XAU1" s="9"/>
      <c r="XAV1" s="9"/>
      <c r="XAW1" s="9"/>
      <c r="XAX1" s="9"/>
      <c r="XAY1" s="9"/>
      <c r="XAZ1" s="9"/>
      <c r="XBA1" s="9"/>
      <c r="XBB1" s="9"/>
      <c r="XBC1" s="9"/>
      <c r="XBD1" s="9"/>
      <c r="XBE1" s="9"/>
      <c r="XBF1" s="9"/>
      <c r="XBG1" s="9"/>
      <c r="XBH1" s="9"/>
      <c r="XBI1" s="9"/>
      <c r="XBJ1" s="9"/>
      <c r="XBK1" s="9"/>
      <c r="XBL1" s="9"/>
      <c r="XBM1" s="9"/>
      <c r="XBN1" s="9"/>
      <c r="XBO1" s="9"/>
      <c r="XBP1" s="9"/>
      <c r="XBQ1" s="9"/>
      <c r="XBR1" s="9"/>
      <c r="XBS1" s="9"/>
      <c r="XBT1" s="9"/>
      <c r="XBU1" s="9"/>
      <c r="XBV1" s="9"/>
      <c r="XBW1" s="9"/>
      <c r="XBX1" s="9"/>
      <c r="XBY1" s="9"/>
      <c r="XBZ1" s="9"/>
      <c r="XCA1" s="9"/>
      <c r="XCB1" s="9"/>
      <c r="XCC1" s="9"/>
      <c r="XCD1" s="9"/>
      <c r="XCE1" s="9"/>
      <c r="XCF1" s="9"/>
      <c r="XCG1" s="9"/>
      <c r="XCH1" s="9"/>
      <c r="XCI1" s="9"/>
      <c r="XCJ1" s="9"/>
      <c r="XCK1" s="9"/>
      <c r="XCL1" s="9"/>
      <c r="XCM1" s="9"/>
      <c r="XCN1" s="9"/>
      <c r="XCO1" s="9"/>
      <c r="XCP1" s="9"/>
      <c r="XCQ1" s="9"/>
      <c r="XCR1" s="9"/>
      <c r="XCS1" s="9"/>
      <c r="XCT1" s="9"/>
      <c r="XCU1" s="9"/>
      <c r="XCV1" s="9"/>
      <c r="XCW1" s="9"/>
      <c r="XCX1" s="9"/>
      <c r="XCY1" s="9"/>
      <c r="XCZ1" s="9"/>
      <c r="XDA1" s="9"/>
      <c r="XDB1" s="9"/>
      <c r="XDC1" s="9"/>
      <c r="XDD1" s="9"/>
      <c r="XDE1" s="9"/>
      <c r="XDF1" s="9"/>
      <c r="XDG1" s="9"/>
      <c r="XDH1" s="9"/>
      <c r="XDI1" s="9"/>
      <c r="XDJ1" s="9"/>
      <c r="XDK1" s="9"/>
      <c r="XDL1" s="9"/>
      <c r="XDM1" s="9"/>
      <c r="XDN1" s="9"/>
      <c r="XDO1" s="9"/>
      <c r="XDP1" s="9"/>
      <c r="XDQ1" s="9"/>
      <c r="XDR1" s="9"/>
      <c r="XDS1" s="9"/>
      <c r="XDT1" s="9"/>
      <c r="XDU1" s="9"/>
      <c r="XDV1" s="9"/>
      <c r="XDW1" s="9"/>
      <c r="XDX1" s="9"/>
      <c r="XDY1" s="9"/>
      <c r="XDZ1" s="9"/>
      <c r="XEA1" s="9"/>
      <c r="XEB1" s="9"/>
      <c r="XEC1" s="9"/>
      <c r="XED1" s="9"/>
      <c r="XEE1" s="9"/>
      <c r="XEF1" s="9"/>
      <c r="XEG1" s="9"/>
      <c r="XEH1" s="9"/>
      <c r="XEI1" s="9"/>
      <c r="XEJ1" s="9"/>
      <c r="XEK1" s="9"/>
      <c r="XEL1" s="9"/>
      <c r="XEM1" s="9"/>
      <c r="XEN1" s="9"/>
      <c r="XEO1" s="9"/>
      <c r="XEP1" s="9"/>
      <c r="XEQ1" s="9"/>
      <c r="XER1" s="9"/>
      <c r="XES1" s="9"/>
      <c r="XET1" s="9"/>
      <c r="XEU1" s="9"/>
      <c r="XEV1" s="9"/>
      <c r="XEW1" s="9"/>
      <c r="XEX1" s="9"/>
      <c r="XEY1" s="9"/>
      <c r="XEZ1" s="9"/>
      <c r="XFA1" s="9"/>
      <c r="XFB1" s="9"/>
    </row>
    <row r="2" customFormat="1" ht="87" customHeight="1" spans="1:21">
      <c r="A2" s="93"/>
      <c r="B2" s="94"/>
      <c r="C2" s="95"/>
      <c r="D2" s="94"/>
      <c r="E2" s="95"/>
      <c r="F2" s="95"/>
      <c r="G2" s="95"/>
      <c r="H2" s="95"/>
      <c r="I2" s="94"/>
      <c r="J2" s="117"/>
      <c r="K2" s="118"/>
      <c r="L2" s="67"/>
      <c r="M2" s="67"/>
      <c r="N2" s="67"/>
      <c r="O2" s="69"/>
      <c r="P2" s="69"/>
      <c r="Q2" s="16"/>
      <c r="R2" s="16"/>
      <c r="S2" s="16"/>
      <c r="T2" s="16"/>
      <c r="U2" s="16"/>
    </row>
    <row r="3" customFormat="1" ht="25" customHeight="1" spans="1:21">
      <c r="A3" s="96"/>
      <c r="B3" s="97" t="s">
        <v>217</v>
      </c>
      <c r="C3" s="98"/>
      <c r="D3" s="99" t="s">
        <v>231</v>
      </c>
      <c r="E3" s="100"/>
      <c r="F3" s="101"/>
      <c r="G3" s="101"/>
      <c r="H3" s="102" t="s">
        <v>244</v>
      </c>
      <c r="I3" s="119">
        <f ca="1">NOW()</f>
        <v>43018.3304861111</v>
      </c>
      <c r="J3" s="120"/>
      <c r="K3" s="121"/>
      <c r="L3" s="122"/>
      <c r="M3" s="122"/>
      <c r="N3" s="69"/>
      <c r="O3" s="69"/>
      <c r="P3" s="69"/>
      <c r="Q3" s="16"/>
      <c r="R3" s="16"/>
      <c r="S3" s="16"/>
      <c r="T3" s="16"/>
      <c r="U3" s="16"/>
    </row>
    <row r="4" customFormat="1" ht="31" customHeight="1" spans="1:21">
      <c r="A4" s="96"/>
      <c r="B4" s="103" t="s">
        <v>245</v>
      </c>
      <c r="C4" s="102"/>
      <c r="D4" s="102"/>
      <c r="E4" s="102" t="s">
        <v>246</v>
      </c>
      <c r="F4" s="103" t="s">
        <v>215</v>
      </c>
      <c r="G4" s="103" t="s">
        <v>247</v>
      </c>
      <c r="H4" s="103" t="s">
        <v>248</v>
      </c>
      <c r="I4" s="103"/>
      <c r="J4" s="123" t="s">
        <v>249</v>
      </c>
      <c r="K4" s="124" t="s">
        <v>250</v>
      </c>
      <c r="L4" s="96"/>
      <c r="M4" s="96"/>
      <c r="N4" s="16"/>
      <c r="O4" s="16"/>
      <c r="P4" s="16"/>
      <c r="Q4" s="16"/>
      <c r="R4" s="16"/>
      <c r="S4" s="16"/>
      <c r="T4" s="16"/>
      <c r="U4" s="16"/>
    </row>
    <row r="5" customFormat="1" ht="31" customHeight="1" spans="1:21">
      <c r="A5" s="96"/>
      <c r="B5" s="103" t="s">
        <v>212</v>
      </c>
      <c r="C5" s="102" t="s">
        <v>213</v>
      </c>
      <c r="D5" s="102" t="s">
        <v>214</v>
      </c>
      <c r="E5" s="102"/>
      <c r="F5" s="103"/>
      <c r="G5" s="103"/>
      <c r="H5" s="103" t="s">
        <v>251</v>
      </c>
      <c r="I5" s="103" t="s">
        <v>252</v>
      </c>
      <c r="J5" s="103"/>
      <c r="K5" s="102"/>
      <c r="L5" s="96"/>
      <c r="M5" s="96"/>
      <c r="N5" s="16"/>
      <c r="O5" s="16"/>
      <c r="P5" s="16"/>
      <c r="Q5" s="16"/>
      <c r="R5" s="16"/>
      <c r="S5" s="16"/>
      <c r="T5" s="16"/>
      <c r="U5" s="16"/>
    </row>
    <row r="6" customFormat="1" ht="22" customHeight="1" spans="1:21">
      <c r="A6" s="104"/>
      <c r="B6" s="105"/>
      <c r="C6" s="105"/>
      <c r="D6" s="105"/>
      <c r="E6" s="106"/>
      <c r="F6" s="105"/>
      <c r="G6" s="107"/>
      <c r="H6" s="108"/>
      <c r="I6" s="108"/>
      <c r="J6" s="107"/>
      <c r="K6" s="125"/>
      <c r="L6" s="96"/>
      <c r="M6" s="96"/>
      <c r="N6" s="16"/>
      <c r="O6" s="16"/>
      <c r="P6" s="16"/>
      <c r="Q6" s="16"/>
      <c r="R6" s="16"/>
      <c r="S6" s="16"/>
      <c r="T6" s="16"/>
      <c r="U6" s="16"/>
    </row>
    <row r="7" customFormat="1" ht="22" customHeight="1" spans="1:21">
      <c r="A7" s="104"/>
      <c r="B7" s="105"/>
      <c r="C7" s="105"/>
      <c r="D7" s="105"/>
      <c r="E7" s="106"/>
      <c r="F7" s="105"/>
      <c r="G7" s="107"/>
      <c r="H7" s="109"/>
      <c r="I7" s="109"/>
      <c r="J7" s="107"/>
      <c r="K7" s="126"/>
      <c r="L7" s="96"/>
      <c r="M7" s="96"/>
      <c r="N7" s="16"/>
      <c r="O7" s="16"/>
      <c r="P7" s="16"/>
      <c r="Q7" s="16"/>
      <c r="R7" s="16"/>
      <c r="S7" s="16"/>
      <c r="T7" s="16"/>
      <c r="U7" s="16"/>
    </row>
    <row r="8" customFormat="1" ht="22" customHeight="1" spans="1:21">
      <c r="A8" s="104"/>
      <c r="B8" s="105"/>
      <c r="C8" s="105"/>
      <c r="D8" s="105"/>
      <c r="E8" s="106"/>
      <c r="F8" s="105"/>
      <c r="G8" s="107"/>
      <c r="H8" s="109"/>
      <c r="I8" s="109"/>
      <c r="J8" s="107"/>
      <c r="K8" s="126"/>
      <c r="L8" s="96"/>
      <c r="M8" s="96"/>
      <c r="N8" s="16"/>
      <c r="O8" s="16"/>
      <c r="P8" s="16"/>
      <c r="Q8" s="16"/>
      <c r="R8" s="16"/>
      <c r="S8" s="16"/>
      <c r="T8" s="16"/>
      <c r="U8" s="16"/>
    </row>
    <row r="9" customFormat="1" ht="22" customHeight="1" spans="1:21">
      <c r="A9" s="104"/>
      <c r="B9" s="105"/>
      <c r="C9" s="105"/>
      <c r="D9" s="105"/>
      <c r="E9" s="106"/>
      <c r="F9" s="105"/>
      <c r="G9" s="107"/>
      <c r="H9" s="109"/>
      <c r="I9" s="109"/>
      <c r="J9" s="107"/>
      <c r="K9" s="126"/>
      <c r="L9" s="96"/>
      <c r="M9" s="96"/>
      <c r="N9" s="16"/>
      <c r="O9" s="16"/>
      <c r="P9" s="16"/>
      <c r="Q9" s="16"/>
      <c r="R9" s="16"/>
      <c r="S9" s="16"/>
      <c r="T9" s="16"/>
      <c r="U9" s="16"/>
    </row>
    <row r="10" customFormat="1" ht="22" customHeight="1" spans="1:21">
      <c r="A10" s="104"/>
      <c r="B10" s="105"/>
      <c r="C10" s="105"/>
      <c r="D10" s="105"/>
      <c r="E10" s="106"/>
      <c r="F10" s="105"/>
      <c r="G10" s="107"/>
      <c r="H10" s="109"/>
      <c r="I10" s="109"/>
      <c r="J10" s="107"/>
      <c r="K10" s="126"/>
      <c r="L10" s="96"/>
      <c r="M10" s="96"/>
      <c r="N10" s="16"/>
      <c r="O10" s="16"/>
      <c r="P10" s="16"/>
      <c r="Q10" s="16"/>
      <c r="R10" s="16"/>
      <c r="S10" s="16"/>
      <c r="T10" s="16"/>
      <c r="U10" s="16"/>
    </row>
    <row r="11" customFormat="1" ht="22" customHeight="1" spans="1:21">
      <c r="A11" s="104"/>
      <c r="B11" s="105"/>
      <c r="C11" s="105"/>
      <c r="D11" s="105"/>
      <c r="E11" s="106"/>
      <c r="F11" s="105"/>
      <c r="G11" s="107"/>
      <c r="H11" s="109"/>
      <c r="I11" s="109"/>
      <c r="J11" s="107"/>
      <c r="K11" s="126"/>
      <c r="L11" s="96"/>
      <c r="M11" s="96"/>
      <c r="N11" s="16"/>
      <c r="O11" s="16"/>
      <c r="P11" s="16"/>
      <c r="Q11" s="16"/>
      <c r="R11" s="16"/>
      <c r="S11" s="16"/>
      <c r="T11" s="16"/>
      <c r="U11" s="16"/>
    </row>
    <row r="12" customFormat="1" ht="22" customHeight="1" spans="1:21">
      <c r="A12" s="104"/>
      <c r="B12" s="105"/>
      <c r="C12" s="105"/>
      <c r="D12" s="105"/>
      <c r="E12" s="106"/>
      <c r="F12" s="105"/>
      <c r="G12" s="107"/>
      <c r="H12" s="109"/>
      <c r="I12" s="109"/>
      <c r="J12" s="107"/>
      <c r="K12" s="126"/>
      <c r="L12" s="96"/>
      <c r="M12" s="96"/>
      <c r="N12" s="16"/>
      <c r="O12" s="16"/>
      <c r="P12" s="16"/>
      <c r="Q12" s="16"/>
      <c r="R12" s="16"/>
      <c r="S12" s="16"/>
      <c r="T12" s="16"/>
      <c r="U12" s="16"/>
    </row>
    <row r="13" customFormat="1" ht="22" customHeight="1" spans="1:21">
      <c r="A13" s="104"/>
      <c r="B13" s="105"/>
      <c r="C13" s="105"/>
      <c r="D13" s="105"/>
      <c r="E13" s="106"/>
      <c r="F13" s="105"/>
      <c r="G13" s="107"/>
      <c r="H13" s="109"/>
      <c r="I13" s="109"/>
      <c r="J13" s="107"/>
      <c r="K13" s="126"/>
      <c r="L13" s="96"/>
      <c r="M13" s="96"/>
      <c r="N13" s="16"/>
      <c r="O13" s="16"/>
      <c r="P13" s="16"/>
      <c r="Q13" s="16"/>
      <c r="R13" s="16"/>
      <c r="S13" s="16"/>
      <c r="T13" s="16"/>
      <c r="U13" s="16"/>
    </row>
    <row r="14" customFormat="1" ht="22" customHeight="1" spans="1:21">
      <c r="A14" s="104"/>
      <c r="B14" s="105"/>
      <c r="C14" s="105"/>
      <c r="D14" s="105"/>
      <c r="E14" s="106"/>
      <c r="F14" s="105"/>
      <c r="G14" s="107"/>
      <c r="H14" s="109"/>
      <c r="I14" s="109"/>
      <c r="J14" s="107"/>
      <c r="K14" s="126"/>
      <c r="L14" s="96"/>
      <c r="M14" s="96"/>
      <c r="N14" s="16"/>
      <c r="O14" s="16"/>
      <c r="P14" s="16"/>
      <c r="Q14" s="16"/>
      <c r="R14" s="16"/>
      <c r="S14" s="16"/>
      <c r="T14" s="16"/>
      <c r="U14" s="16"/>
    </row>
    <row r="15" customFormat="1" ht="22" customHeight="1" spans="1:21">
      <c r="A15" s="104"/>
      <c r="B15" s="105"/>
      <c r="C15" s="105"/>
      <c r="D15" s="105"/>
      <c r="E15" s="106"/>
      <c r="F15" s="105"/>
      <c r="G15" s="107"/>
      <c r="H15" s="109"/>
      <c r="I15" s="109"/>
      <c r="J15" s="107"/>
      <c r="K15" s="126"/>
      <c r="L15" s="96"/>
      <c r="M15" s="96"/>
      <c r="N15" s="16"/>
      <c r="O15" s="16"/>
      <c r="P15" s="16"/>
      <c r="Q15" s="16"/>
      <c r="R15" s="16"/>
      <c r="S15" s="16"/>
      <c r="T15" s="16"/>
      <c r="U15" s="16"/>
    </row>
    <row r="16" customFormat="1" ht="22" customHeight="1" spans="1:21">
      <c r="A16" s="104"/>
      <c r="B16" s="105"/>
      <c r="C16" s="105"/>
      <c r="D16" s="105"/>
      <c r="E16" s="106"/>
      <c r="F16" s="105"/>
      <c r="G16" s="107"/>
      <c r="H16" s="109"/>
      <c r="I16" s="109"/>
      <c r="J16" s="107"/>
      <c r="K16" s="126"/>
      <c r="L16" s="96"/>
      <c r="M16" s="96"/>
      <c r="N16" s="16"/>
      <c r="O16" s="16"/>
      <c r="P16" s="16"/>
      <c r="Q16" s="16"/>
      <c r="R16" s="16"/>
      <c r="S16" s="16"/>
      <c r="T16" s="16"/>
      <c r="U16" s="16"/>
    </row>
    <row r="17" s="16" customFormat="1" spans="1:13">
      <c r="A17" s="104"/>
      <c r="B17" s="110"/>
      <c r="C17" s="111"/>
      <c r="D17" s="96"/>
      <c r="E17" s="96"/>
      <c r="F17" s="96"/>
      <c r="G17" s="96"/>
      <c r="H17" s="96"/>
      <c r="I17" s="96"/>
      <c r="J17" s="96"/>
      <c r="K17" s="96"/>
      <c r="L17" s="96"/>
      <c r="M17" s="96"/>
    </row>
    <row r="18" s="16" customFormat="1" spans="1:13">
      <c r="A18" s="57"/>
      <c r="B18" s="110"/>
      <c r="D18" s="96"/>
      <c r="E18" s="96"/>
      <c r="F18" s="96"/>
      <c r="G18" s="96"/>
      <c r="H18" s="96"/>
      <c r="I18" s="96"/>
      <c r="J18" s="96"/>
      <c r="K18" s="96"/>
      <c r="L18" s="96"/>
      <c r="M18" s="96"/>
    </row>
    <row r="19" s="16" customFormat="1" spans="1:13">
      <c r="A19" s="57"/>
      <c r="B19" s="110"/>
      <c r="D19" s="96"/>
      <c r="E19" s="96"/>
      <c r="F19" s="96"/>
      <c r="G19" s="96"/>
      <c r="H19" s="96"/>
      <c r="I19" s="96"/>
      <c r="J19" s="96"/>
      <c r="K19" s="96"/>
      <c r="L19" s="96"/>
      <c r="M19" s="96"/>
    </row>
    <row r="20" s="16" customFormat="1" spans="1:13">
      <c r="A20" s="57"/>
      <c r="B20" s="110"/>
      <c r="D20" s="96"/>
      <c r="E20" s="96"/>
      <c r="F20" s="96"/>
      <c r="G20" s="96"/>
      <c r="H20" s="96"/>
      <c r="I20" s="96"/>
      <c r="J20" s="96"/>
      <c r="K20" s="96"/>
      <c r="L20" s="96"/>
      <c r="M20" s="96"/>
    </row>
    <row r="21" s="16" customFormat="1" spans="1:13">
      <c r="A21" s="57"/>
      <c r="B21" s="110"/>
      <c r="D21" s="96"/>
      <c r="E21" s="96"/>
      <c r="F21" s="96"/>
      <c r="G21" s="96"/>
      <c r="H21" s="96"/>
      <c r="I21" s="96"/>
      <c r="J21" s="96"/>
      <c r="K21" s="96"/>
      <c r="L21" s="96"/>
      <c r="M21" s="96"/>
    </row>
    <row r="22" s="16" customFormat="1" spans="1:13">
      <c r="A22" s="57"/>
      <c r="B22" s="110"/>
      <c r="D22" s="96"/>
      <c r="E22" s="96"/>
      <c r="F22" s="96"/>
      <c r="G22" s="96"/>
      <c r="H22" s="96"/>
      <c r="I22" s="96"/>
      <c r="J22" s="96"/>
      <c r="K22" s="96"/>
      <c r="L22" s="96"/>
      <c r="M22" s="96"/>
    </row>
    <row r="23" s="16" customFormat="1" spans="1:13">
      <c r="A23" s="57"/>
      <c r="B23" s="110"/>
      <c r="D23" s="96"/>
      <c r="E23" s="96"/>
      <c r="F23" s="96"/>
      <c r="G23" s="96"/>
      <c r="H23" s="96"/>
      <c r="I23" s="96"/>
      <c r="J23" s="96"/>
      <c r="K23" s="96"/>
      <c r="L23" s="96"/>
      <c r="M23" s="96"/>
    </row>
    <row r="24" s="16" customFormat="1" spans="1:13">
      <c r="A24" s="57"/>
      <c r="B24" s="112"/>
      <c r="C24" s="57"/>
      <c r="D24" s="112"/>
      <c r="E24" s="57"/>
      <c r="F24" s="113"/>
      <c r="H24" s="57"/>
      <c r="I24" s="57"/>
      <c r="J24" s="96"/>
      <c r="K24" s="96"/>
      <c r="L24" s="96"/>
      <c r="M24" s="96"/>
    </row>
    <row r="25" s="16" customFormat="1" spans="1:13">
      <c r="A25" s="57"/>
      <c r="B25" s="112"/>
      <c r="C25" s="57"/>
      <c r="D25" s="112"/>
      <c r="E25" s="57"/>
      <c r="F25" s="113"/>
      <c r="H25" s="57"/>
      <c r="I25" s="57"/>
      <c r="J25" s="96"/>
      <c r="K25" s="96"/>
      <c r="L25" s="96"/>
      <c r="M25" s="96"/>
    </row>
    <row r="26" s="16" customFormat="1" spans="1:13">
      <c r="A26" s="57"/>
      <c r="B26" s="112"/>
      <c r="C26" s="57"/>
      <c r="D26" s="112"/>
      <c r="E26" s="57"/>
      <c r="F26" s="113"/>
      <c r="H26" s="57"/>
      <c r="I26" s="57"/>
      <c r="J26" s="96"/>
      <c r="K26" s="96"/>
      <c r="L26" s="96"/>
      <c r="M26" s="96"/>
    </row>
    <row r="27" s="16" customFormat="1" spans="1:13">
      <c r="A27" s="57"/>
      <c r="B27" s="112"/>
      <c r="C27" s="57"/>
      <c r="D27" s="112"/>
      <c r="E27" s="57"/>
      <c r="F27" s="113"/>
      <c r="H27" s="57"/>
      <c r="I27" s="57"/>
      <c r="J27" s="96"/>
      <c r="K27" s="96"/>
      <c r="L27" s="96"/>
      <c r="M27" s="96"/>
    </row>
    <row r="28" s="16" customFormat="1" spans="1:13">
      <c r="A28" s="57"/>
      <c r="B28" s="112"/>
      <c r="C28" s="57"/>
      <c r="D28" s="112"/>
      <c r="E28" s="57"/>
      <c r="F28" s="113"/>
      <c r="H28" s="57"/>
      <c r="I28" s="57"/>
      <c r="J28" s="96"/>
      <c r="K28" s="96"/>
      <c r="L28" s="96"/>
      <c r="M28" s="96"/>
    </row>
    <row r="29" s="16" customFormat="1" spans="1:13">
      <c r="A29" s="57"/>
      <c r="B29" s="112"/>
      <c r="C29" s="57"/>
      <c r="D29" s="112"/>
      <c r="E29" s="57"/>
      <c r="F29" s="113"/>
      <c r="H29" s="57"/>
      <c r="I29" s="57"/>
      <c r="J29" s="96"/>
      <c r="K29" s="96"/>
      <c r="L29" s="96"/>
      <c r="M29" s="96"/>
    </row>
    <row r="30" s="16" customFormat="1" spans="1:13">
      <c r="A30" s="57"/>
      <c r="B30" s="112"/>
      <c r="C30" s="57"/>
      <c r="D30" s="112"/>
      <c r="E30" s="57"/>
      <c r="F30" s="113"/>
      <c r="H30" s="57"/>
      <c r="I30" s="57"/>
      <c r="J30" s="96"/>
      <c r="K30" s="96"/>
      <c r="L30" s="96"/>
      <c r="M30" s="96"/>
    </row>
    <row r="31" s="16" customFormat="1" spans="1:13">
      <c r="A31" s="57"/>
      <c r="B31" s="112"/>
      <c r="C31" s="57"/>
      <c r="D31" s="112"/>
      <c r="E31" s="57"/>
      <c r="F31" s="113"/>
      <c r="H31" s="57"/>
      <c r="I31" s="57"/>
      <c r="J31" s="96"/>
      <c r="K31" s="96"/>
      <c r="L31" s="96"/>
      <c r="M31" s="96"/>
    </row>
    <row r="32" s="16" customFormat="1" spans="1:13">
      <c r="A32" s="57"/>
      <c r="B32" s="112"/>
      <c r="C32" s="57"/>
      <c r="D32" s="112"/>
      <c r="E32" s="57"/>
      <c r="F32" s="113"/>
      <c r="H32" s="57"/>
      <c r="I32" s="57"/>
      <c r="J32" s="96"/>
      <c r="K32" s="96"/>
      <c r="L32" s="96"/>
      <c r="M32" s="96"/>
    </row>
    <row r="33" s="16" customFormat="1" spans="1:13">
      <c r="A33" s="57"/>
      <c r="B33" s="112"/>
      <c r="C33" s="57"/>
      <c r="D33" s="112"/>
      <c r="E33" s="57"/>
      <c r="F33" s="113"/>
      <c r="H33" s="57"/>
      <c r="I33" s="57"/>
      <c r="J33" s="96"/>
      <c r="K33" s="96"/>
      <c r="L33" s="96"/>
      <c r="M33" s="96"/>
    </row>
    <row r="34" s="16" customFormat="1" spans="1:13">
      <c r="A34" s="57"/>
      <c r="B34" s="112"/>
      <c r="C34" s="57"/>
      <c r="D34" s="112"/>
      <c r="E34" s="57"/>
      <c r="F34" s="113"/>
      <c r="H34" s="57"/>
      <c r="I34" s="57"/>
      <c r="J34" s="96"/>
      <c r="K34" s="96"/>
      <c r="L34" s="96"/>
      <c r="M34" s="96"/>
    </row>
    <row r="35" s="16" customFormat="1" spans="1:13">
      <c r="A35" s="57"/>
      <c r="B35" s="112"/>
      <c r="C35" s="57"/>
      <c r="D35" s="112"/>
      <c r="E35" s="57"/>
      <c r="F35" s="113"/>
      <c r="H35" s="57"/>
      <c r="I35" s="57"/>
      <c r="J35" s="96"/>
      <c r="K35" s="96"/>
      <c r="L35" s="96"/>
      <c r="M35" s="96"/>
    </row>
    <row r="36" s="16" customFormat="1" spans="1:13">
      <c r="A36" s="57"/>
      <c r="B36" s="112"/>
      <c r="C36" s="57"/>
      <c r="D36" s="112"/>
      <c r="E36" s="57"/>
      <c r="F36" s="113"/>
      <c r="H36" s="57"/>
      <c r="I36" s="57"/>
      <c r="J36" s="96"/>
      <c r="K36" s="96"/>
      <c r="L36" s="96"/>
      <c r="M36" s="96"/>
    </row>
    <row r="37" s="16" customFormat="1" spans="1:13">
      <c r="A37" s="57"/>
      <c r="B37" s="112"/>
      <c r="C37" s="57"/>
      <c r="D37" s="112"/>
      <c r="E37" s="57"/>
      <c r="F37" s="113"/>
      <c r="H37" s="57"/>
      <c r="I37" s="57"/>
      <c r="J37" s="96"/>
      <c r="K37" s="96"/>
      <c r="L37" s="96"/>
      <c r="M37" s="96"/>
    </row>
    <row r="38" s="16" customFormat="1" spans="1:13">
      <c r="A38" s="57"/>
      <c r="B38" s="112"/>
      <c r="C38" s="57"/>
      <c r="D38" s="112"/>
      <c r="E38" s="57"/>
      <c r="F38" s="113"/>
      <c r="H38" s="57"/>
      <c r="I38" s="57"/>
      <c r="J38" s="96"/>
      <c r="K38" s="96"/>
      <c r="L38" s="96"/>
      <c r="M38" s="96"/>
    </row>
    <row r="39" s="16" customFormat="1" spans="1:13">
      <c r="A39" s="57"/>
      <c r="B39" s="112"/>
      <c r="C39" s="57"/>
      <c r="D39" s="112"/>
      <c r="E39" s="57"/>
      <c r="F39" s="113"/>
      <c r="H39" s="57"/>
      <c r="I39" s="57"/>
      <c r="J39" s="96"/>
      <c r="K39" s="96"/>
      <c r="L39" s="96"/>
      <c r="M39" s="96"/>
    </row>
    <row r="40" s="16" customFormat="1" spans="1:13">
      <c r="A40" s="57"/>
      <c r="B40" s="57"/>
      <c r="C40" s="57"/>
      <c r="D40" s="112"/>
      <c r="E40" s="57"/>
      <c r="F40" s="113"/>
      <c r="H40" s="57"/>
      <c r="I40" s="57"/>
      <c r="J40" s="96"/>
      <c r="K40" s="96"/>
      <c r="L40" s="96"/>
      <c r="M40" s="96"/>
    </row>
    <row r="41" s="16" customFormat="1" spans="1:13">
      <c r="A41" s="57"/>
      <c r="B41" s="57"/>
      <c r="C41" s="57"/>
      <c r="D41" s="112"/>
      <c r="E41" s="57"/>
      <c r="F41" s="113"/>
      <c r="H41" s="57"/>
      <c r="I41" s="57"/>
      <c r="J41" s="96"/>
      <c r="K41" s="96"/>
      <c r="L41" s="96"/>
      <c r="M41" s="96"/>
    </row>
    <row r="42" s="16" customFormat="1" spans="1:13">
      <c r="A42" s="57"/>
      <c r="B42" s="57"/>
      <c r="C42" s="57"/>
      <c r="D42" s="112"/>
      <c r="E42" s="57"/>
      <c r="F42" s="113"/>
      <c r="H42" s="57"/>
      <c r="I42" s="57"/>
      <c r="J42" s="96"/>
      <c r="K42" s="96"/>
      <c r="L42" s="96"/>
      <c r="M42" s="96"/>
    </row>
    <row r="43" s="16" customFormat="1" spans="1:13">
      <c r="A43" s="57"/>
      <c r="B43" s="57"/>
      <c r="C43" s="57"/>
      <c r="D43" s="57"/>
      <c r="E43" s="57"/>
      <c r="F43" s="113"/>
      <c r="G43" s="57"/>
      <c r="H43" s="57"/>
      <c r="I43" s="57"/>
      <c r="J43" s="96"/>
      <c r="K43" s="96"/>
      <c r="L43" s="96"/>
      <c r="M43" s="96"/>
    </row>
    <row r="44" s="16" customFormat="1" spans="1:13">
      <c r="A44" s="57"/>
      <c r="B44" s="57"/>
      <c r="C44" s="57"/>
      <c r="D44" s="57"/>
      <c r="E44" s="57"/>
      <c r="F44" s="113"/>
      <c r="G44" s="57"/>
      <c r="H44" s="57"/>
      <c r="I44" s="57"/>
      <c r="J44" s="96"/>
      <c r="K44" s="96"/>
      <c r="L44" s="96"/>
      <c r="M44" s="96"/>
    </row>
    <row r="45" s="16" customFormat="1" spans="1:13">
      <c r="A45" s="57"/>
      <c r="B45" s="57"/>
      <c r="C45" s="57"/>
      <c r="D45" s="57"/>
      <c r="E45" s="57"/>
      <c r="F45" s="113"/>
      <c r="G45" s="57"/>
      <c r="H45" s="57"/>
      <c r="I45" s="57"/>
      <c r="J45" s="96"/>
      <c r="K45" s="96"/>
      <c r="L45" s="96"/>
      <c r="M45" s="96"/>
    </row>
    <row r="46" s="16" customFormat="1" spans="1:13">
      <c r="A46" s="57"/>
      <c r="B46" s="57"/>
      <c r="C46" s="57"/>
      <c r="D46" s="57"/>
      <c r="E46" s="57"/>
      <c r="F46" s="113"/>
      <c r="G46" s="57"/>
      <c r="H46" s="57"/>
      <c r="I46" s="57"/>
      <c r="J46" s="96"/>
      <c r="K46" s="96"/>
      <c r="L46" s="96"/>
      <c r="M46" s="96"/>
    </row>
    <row r="47" s="16" customFormat="1" spans="1:13">
      <c r="A47" s="57"/>
      <c r="B47" s="57"/>
      <c r="C47" s="57"/>
      <c r="D47" s="57"/>
      <c r="E47" s="57"/>
      <c r="F47" s="113"/>
      <c r="G47" s="57"/>
      <c r="H47" s="57"/>
      <c r="I47" s="57"/>
      <c r="J47" s="96"/>
      <c r="K47" s="96"/>
      <c r="L47" s="96"/>
      <c r="M47" s="96"/>
    </row>
    <row r="48" s="16" customFormat="1" spans="1:13">
      <c r="A48" s="57"/>
      <c r="B48" s="57"/>
      <c r="C48" s="57"/>
      <c r="D48" s="57"/>
      <c r="E48" s="57"/>
      <c r="F48" s="113"/>
      <c r="G48" s="57"/>
      <c r="H48" s="57"/>
      <c r="I48" s="57"/>
      <c r="J48" s="96"/>
      <c r="K48" s="96"/>
      <c r="L48" s="96"/>
      <c r="M48" s="96"/>
    </row>
    <row r="49" s="16" customFormat="1" spans="1:11">
      <c r="A49" s="57"/>
      <c r="B49" s="57"/>
      <c r="C49" s="57"/>
      <c r="D49" s="57"/>
      <c r="E49" s="57"/>
      <c r="F49" s="113"/>
      <c r="G49" s="57"/>
      <c r="H49" s="57"/>
      <c r="I49" s="57"/>
      <c r="J49" s="112"/>
      <c r="K49" s="112"/>
    </row>
    <row r="50" s="16" customFormat="1" spans="1:11">
      <c r="A50" s="57"/>
      <c r="B50" s="57"/>
      <c r="C50" s="57"/>
      <c r="D50" s="57"/>
      <c r="E50" s="57"/>
      <c r="F50" s="113"/>
      <c r="G50" s="57"/>
      <c r="H50" s="57"/>
      <c r="I50" s="57"/>
      <c r="J50" s="112"/>
      <c r="K50" s="112"/>
    </row>
    <row r="51" s="16" customFormat="1" spans="1:11">
      <c r="A51" s="57"/>
      <c r="B51" s="57"/>
      <c r="C51" s="57"/>
      <c r="D51" s="57"/>
      <c r="E51" s="57"/>
      <c r="F51" s="113"/>
      <c r="G51" s="57"/>
      <c r="H51" s="57"/>
      <c r="I51" s="57"/>
      <c r="J51" s="112"/>
      <c r="K51" s="112"/>
    </row>
    <row r="52" s="16" customFormat="1" spans="1:11">
      <c r="A52" s="57"/>
      <c r="B52" s="57"/>
      <c r="C52" s="57"/>
      <c r="D52" s="57"/>
      <c r="E52" s="57"/>
      <c r="F52" s="113"/>
      <c r="G52" s="57"/>
      <c r="H52" s="57"/>
      <c r="I52" s="57"/>
      <c r="J52" s="112"/>
      <c r="K52" s="112"/>
    </row>
    <row r="53" s="16" customFormat="1" spans="1:9">
      <c r="A53" s="57"/>
      <c r="B53" s="57"/>
      <c r="C53" s="57"/>
      <c r="D53" s="57"/>
      <c r="E53" s="57"/>
      <c r="F53" s="113"/>
      <c r="G53" s="57"/>
      <c r="H53" s="57"/>
      <c r="I53" s="57"/>
    </row>
    <row r="54" customFormat="1" spans="1:21">
      <c r="A54" s="57"/>
      <c r="B54" s="1"/>
      <c r="C54" s="1"/>
      <c r="D54" s="1"/>
      <c r="E54" s="1"/>
      <c r="F54" s="2"/>
      <c r="G54" s="1"/>
      <c r="H54" s="1"/>
      <c r="I54" s="1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</row>
    <row r="55" customFormat="1" spans="1:21">
      <c r="A55" s="57"/>
      <c r="B55" s="1"/>
      <c r="C55" s="1"/>
      <c r="D55" s="1"/>
      <c r="E55" s="1"/>
      <c r="F55" s="2"/>
      <c r="G55" s="1"/>
      <c r="H55" s="1"/>
      <c r="I55" s="1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</row>
    <row r="56" customFormat="1" spans="1:21">
      <c r="A56" s="57"/>
      <c r="B56" s="1"/>
      <c r="C56" s="1"/>
      <c r="D56" s="1"/>
      <c r="E56" s="1"/>
      <c r="F56" s="2"/>
      <c r="G56" s="1"/>
      <c r="H56" s="1"/>
      <c r="I56" s="1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</row>
    <row r="57" customFormat="1" spans="1:21">
      <c r="A57" s="57"/>
      <c r="B57" s="1"/>
      <c r="C57" s="1"/>
      <c r="D57" s="1"/>
      <c r="E57" s="1"/>
      <c r="F57" s="2"/>
      <c r="G57" s="1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</row>
    <row r="58" customFormat="1" spans="1:21">
      <c r="A58" s="57"/>
      <c r="B58" s="1"/>
      <c r="C58" s="1"/>
      <c r="D58" s="1"/>
      <c r="E58" s="1"/>
      <c r="F58" s="2"/>
      <c r="G58" s="1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</row>
    <row r="59" customFormat="1" spans="1:21">
      <c r="A59" s="57"/>
      <c r="B59" s="1"/>
      <c r="C59" s="1"/>
      <c r="D59" s="1"/>
      <c r="E59" s="1"/>
      <c r="F59" s="2"/>
      <c r="G59" s="1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</row>
  </sheetData>
  <mergeCells count="10">
    <mergeCell ref="D3:E3"/>
    <mergeCell ref="J3:K3"/>
    <mergeCell ref="B4:D4"/>
    <mergeCell ref="H4:I4"/>
    <mergeCell ref="E4:E5"/>
    <mergeCell ref="F4:F5"/>
    <mergeCell ref="G4:G5"/>
    <mergeCell ref="J4:J5"/>
    <mergeCell ref="K4:K5"/>
    <mergeCell ref="B1:K2"/>
  </mergeCells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r:id="rId4">
            <anchor moveWithCells="1">
              <from>
                <xdr:col>11</xdr:col>
                <xdr:colOff>171450</xdr:colOff>
                <xdr:row>1</xdr:row>
                <xdr:rowOff>0</xdr:rowOff>
              </from>
              <to>
                <xdr:col>14</xdr:col>
                <xdr:colOff>361950</xdr:colOff>
                <xdr:row>1</xdr:row>
                <xdr:rowOff>403225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XFC181"/>
  <sheetViews>
    <sheetView workbookViewId="0">
      <pane ySplit="5" topLeftCell="A6" activePane="bottomLeft" state="frozen"/>
      <selection/>
      <selection pane="bottomLeft" activeCell="D65" sqref="D65"/>
    </sheetView>
  </sheetViews>
  <sheetFormatPr defaultColWidth="9" defaultRowHeight="13.5"/>
  <cols>
    <col min="1" max="1" width="12.5" style="64" customWidth="1"/>
    <col min="2" max="2" width="28.75" customWidth="1"/>
    <col min="3" max="3" width="40.375" customWidth="1"/>
    <col min="4" max="4" width="33.125" customWidth="1"/>
    <col min="5" max="5" width="34.875" customWidth="1"/>
    <col min="6" max="12" width="9" style="16"/>
  </cols>
  <sheetData>
    <row r="1" ht="38" customHeight="1" spans="2:8">
      <c r="B1" s="65" t="s">
        <v>257</v>
      </c>
      <c r="C1" s="65"/>
      <c r="D1" s="65"/>
      <c r="E1" s="65"/>
      <c r="F1" s="66"/>
      <c r="G1" s="66"/>
      <c r="H1" s="66"/>
    </row>
    <row r="2" ht="60" customHeight="1" spans="2:8">
      <c r="B2" s="65"/>
      <c r="C2" s="65"/>
      <c r="D2" s="65"/>
      <c r="E2" s="65"/>
      <c r="F2" s="67"/>
      <c r="G2" s="67"/>
      <c r="H2" s="67"/>
    </row>
    <row r="3" ht="21" customHeight="1" spans="2:8">
      <c r="B3" s="68">
        <f ca="1">NOW()</f>
        <v>43018.3304861111</v>
      </c>
      <c r="C3" s="68"/>
      <c r="D3" s="68"/>
      <c r="E3" s="68"/>
      <c r="F3" s="69"/>
      <c r="G3" s="69"/>
      <c r="H3" s="69"/>
    </row>
    <row r="4" ht="30" customHeight="1" spans="2:5">
      <c r="B4" s="38" t="s">
        <v>220</v>
      </c>
      <c r="C4" s="38" t="s">
        <v>9</v>
      </c>
      <c r="D4" s="38" t="s">
        <v>248</v>
      </c>
      <c r="E4" s="38"/>
    </row>
    <row r="5" ht="30" customHeight="1" spans="2:5">
      <c r="B5" s="38"/>
      <c r="C5" s="38"/>
      <c r="D5" s="38" t="s">
        <v>206</v>
      </c>
      <c r="E5" s="38" t="s">
        <v>207</v>
      </c>
    </row>
    <row r="6" ht="30" customHeight="1" spans="2:5">
      <c r="B6" s="70">
        <v>1001</v>
      </c>
      <c r="C6" s="71" t="s">
        <v>13</v>
      </c>
      <c r="D6" s="72">
        <f>余额表!E6</f>
        <v>335</v>
      </c>
      <c r="E6" s="72">
        <f>余额表!F6</f>
        <v>37280</v>
      </c>
    </row>
    <row r="7" ht="30" customHeight="1" spans="2:5">
      <c r="B7" s="70">
        <v>1002</v>
      </c>
      <c r="C7" s="71" t="s">
        <v>14</v>
      </c>
      <c r="D7" s="72">
        <f>余额表!E7</f>
        <v>280</v>
      </c>
      <c r="E7" s="72">
        <f>余额表!F7</f>
        <v>25000</v>
      </c>
    </row>
    <row r="8" ht="30" customHeight="1" spans="2:5">
      <c r="B8" s="70">
        <v>1015</v>
      </c>
      <c r="C8" s="71" t="s">
        <v>21</v>
      </c>
      <c r="D8" s="72">
        <f>余额表!E8</f>
        <v>0</v>
      </c>
      <c r="E8" s="72">
        <f>余额表!F8</f>
        <v>0</v>
      </c>
    </row>
    <row r="9" ht="30" customHeight="1" spans="2:5">
      <c r="B9" s="70">
        <v>1121</v>
      </c>
      <c r="C9" s="71" t="s">
        <v>26</v>
      </c>
      <c r="D9" s="72">
        <f>余额表!E9</f>
        <v>0</v>
      </c>
      <c r="E9" s="72">
        <f>余额表!F9</f>
        <v>111</v>
      </c>
    </row>
    <row r="10" ht="30" customHeight="1" spans="2:5">
      <c r="B10" s="70">
        <v>1122</v>
      </c>
      <c r="C10" s="71" t="s">
        <v>28</v>
      </c>
      <c r="D10" s="72">
        <f>余额表!E10</f>
        <v>0</v>
      </c>
      <c r="E10" s="72">
        <f>余额表!F10</f>
        <v>99562</v>
      </c>
    </row>
    <row r="11" ht="30" customHeight="1" spans="2:5">
      <c r="B11" s="70">
        <v>1123</v>
      </c>
      <c r="C11" s="71" t="s">
        <v>29</v>
      </c>
      <c r="D11" s="72">
        <f>余额表!E11</f>
        <v>0</v>
      </c>
      <c r="E11" s="72">
        <f>余额表!F11</f>
        <v>0</v>
      </c>
    </row>
    <row r="12" ht="30" customHeight="1" spans="2:5">
      <c r="B12" s="70">
        <v>1131</v>
      </c>
      <c r="C12" s="71" t="s">
        <v>31</v>
      </c>
      <c r="D12" s="72">
        <f>余额表!E12</f>
        <v>0</v>
      </c>
      <c r="E12" s="72">
        <f>余额表!F12</f>
        <v>0</v>
      </c>
    </row>
    <row r="13" ht="30" customHeight="1" spans="2:5">
      <c r="B13" s="70">
        <v>1132</v>
      </c>
      <c r="C13" s="71" t="s">
        <v>32</v>
      </c>
      <c r="D13" s="72">
        <f>余额表!E13</f>
        <v>0</v>
      </c>
      <c r="E13" s="72">
        <f>余额表!F13</f>
        <v>0</v>
      </c>
    </row>
    <row r="14" ht="30" customHeight="1" spans="2:5">
      <c r="B14" s="70">
        <v>1231</v>
      </c>
      <c r="C14" s="71" t="s">
        <v>36</v>
      </c>
      <c r="D14" s="72">
        <f>余额表!E14</f>
        <v>2000</v>
      </c>
      <c r="E14" s="72">
        <f>余额表!F14</f>
        <v>0</v>
      </c>
    </row>
    <row r="15" ht="30" customHeight="1" spans="2:5">
      <c r="B15" s="70">
        <v>1241</v>
      </c>
      <c r="C15" s="71" t="s">
        <v>41</v>
      </c>
      <c r="D15" s="72">
        <f>余额表!E15</f>
        <v>0</v>
      </c>
      <c r="E15" s="72">
        <f>余额表!F15</f>
        <v>0</v>
      </c>
    </row>
    <row r="16" ht="30" customHeight="1" spans="2:5">
      <c r="B16" s="70">
        <v>1321</v>
      </c>
      <c r="C16" s="71" t="s">
        <v>47</v>
      </c>
      <c r="D16" s="72">
        <f>余额表!E16</f>
        <v>0</v>
      </c>
      <c r="E16" s="72">
        <f>余额表!F16</f>
        <v>0</v>
      </c>
    </row>
    <row r="17" ht="30" customHeight="1" spans="2:5">
      <c r="B17" s="70">
        <v>1401</v>
      </c>
      <c r="C17" s="71" t="s">
        <v>48</v>
      </c>
      <c r="D17" s="72">
        <f>余额表!E17</f>
        <v>0</v>
      </c>
      <c r="E17" s="72">
        <f>余额表!F17</f>
        <v>0</v>
      </c>
    </row>
    <row r="18" ht="30" customHeight="1" spans="2:5">
      <c r="B18" s="70">
        <v>1403</v>
      </c>
      <c r="C18" s="71" t="s">
        <v>50</v>
      </c>
      <c r="D18" s="72">
        <f>余额表!E18</f>
        <v>0</v>
      </c>
      <c r="E18" s="72">
        <f>余额表!F18</f>
        <v>0</v>
      </c>
    </row>
    <row r="19" ht="30" customHeight="1" spans="2:5">
      <c r="B19" s="70">
        <v>1404</v>
      </c>
      <c r="C19" s="71" t="s">
        <v>54</v>
      </c>
      <c r="D19" s="72">
        <f>余额表!E19</f>
        <v>0</v>
      </c>
      <c r="E19" s="72">
        <f>余额表!F19</f>
        <v>0</v>
      </c>
    </row>
    <row r="20" ht="30" customHeight="1" spans="2:5">
      <c r="B20" s="70">
        <v>1406</v>
      </c>
      <c r="C20" s="71" t="s">
        <v>55</v>
      </c>
      <c r="D20" s="72">
        <f>余额表!E20</f>
        <v>0</v>
      </c>
      <c r="E20" s="72">
        <f>余额表!F20</f>
        <v>112</v>
      </c>
    </row>
    <row r="21" ht="30" customHeight="1" spans="2:5">
      <c r="B21" s="70">
        <v>1407</v>
      </c>
      <c r="C21" s="71" t="s">
        <v>56</v>
      </c>
      <c r="D21" s="72">
        <f>余额表!E21</f>
        <v>0</v>
      </c>
      <c r="E21" s="72">
        <f>余额表!F21</f>
        <v>0</v>
      </c>
    </row>
    <row r="22" ht="30" customHeight="1" spans="2:5">
      <c r="B22" s="70">
        <v>1410</v>
      </c>
      <c r="C22" s="71" t="s">
        <v>57</v>
      </c>
      <c r="D22" s="72">
        <f>余额表!E22</f>
        <v>0</v>
      </c>
      <c r="E22" s="72">
        <f>余额表!F22</f>
        <v>0</v>
      </c>
    </row>
    <row r="23" ht="30" customHeight="1" spans="2:5">
      <c r="B23" s="70">
        <v>1411</v>
      </c>
      <c r="C23" s="71" t="s">
        <v>58</v>
      </c>
      <c r="D23" s="72">
        <f>余额表!E23</f>
        <v>0</v>
      </c>
      <c r="E23" s="72">
        <f>余额表!F23</f>
        <v>0</v>
      </c>
    </row>
    <row r="24" ht="30" customHeight="1" spans="2:5">
      <c r="B24" s="70">
        <v>1431</v>
      </c>
      <c r="C24" s="71" t="s">
        <v>59</v>
      </c>
      <c r="D24" s="72">
        <f>余额表!E24</f>
        <v>0</v>
      </c>
      <c r="E24" s="72">
        <f>余额表!F24</f>
        <v>0</v>
      </c>
    </row>
    <row r="25" ht="30" customHeight="1" spans="2:5">
      <c r="B25" s="70">
        <v>1461</v>
      </c>
      <c r="C25" s="71" t="s">
        <v>65</v>
      </c>
      <c r="D25" s="72">
        <f>余额表!E25</f>
        <v>0</v>
      </c>
      <c r="E25" s="72">
        <f>余额表!F25</f>
        <v>0</v>
      </c>
    </row>
    <row r="26" ht="30" customHeight="1" spans="2:5">
      <c r="B26" s="70">
        <v>1501</v>
      </c>
      <c r="C26" s="71" t="s">
        <v>258</v>
      </c>
      <c r="D26" s="72">
        <f>余额表!E26</f>
        <v>0</v>
      </c>
      <c r="E26" s="72">
        <f>余额表!F26</f>
        <v>0</v>
      </c>
    </row>
    <row r="27" ht="30" customHeight="1" spans="2:5">
      <c r="B27" s="70">
        <v>1601</v>
      </c>
      <c r="C27" s="71" t="s">
        <v>75</v>
      </c>
      <c r="D27" s="72">
        <f>余额表!E27</f>
        <v>0</v>
      </c>
      <c r="E27" s="72">
        <f>余额表!F27</f>
        <v>0</v>
      </c>
    </row>
    <row r="28" ht="30" customHeight="1" spans="2:5">
      <c r="B28" s="70">
        <v>1602</v>
      </c>
      <c r="C28" s="71" t="s">
        <v>77</v>
      </c>
      <c r="D28" s="72">
        <f>余额表!E28</f>
        <v>0</v>
      </c>
      <c r="E28" s="72">
        <f>余额表!F28</f>
        <v>0</v>
      </c>
    </row>
    <row r="29" ht="30" customHeight="1" spans="2:5">
      <c r="B29" s="70">
        <v>1603</v>
      </c>
      <c r="C29" s="71" t="s">
        <v>79</v>
      </c>
      <c r="D29" s="72">
        <f>余额表!E29</f>
        <v>0</v>
      </c>
      <c r="E29" s="72">
        <f>余额表!F29</f>
        <v>0</v>
      </c>
    </row>
    <row r="30" ht="30" customHeight="1" spans="2:5">
      <c r="B30" s="70">
        <v>1604</v>
      </c>
      <c r="C30" s="71" t="s">
        <v>80</v>
      </c>
      <c r="D30" s="72">
        <f>余额表!E30</f>
        <v>0</v>
      </c>
      <c r="E30" s="72">
        <f>余额表!F30</f>
        <v>0</v>
      </c>
    </row>
    <row r="31" ht="30" customHeight="1" spans="2:5">
      <c r="B31" s="70">
        <v>1605</v>
      </c>
      <c r="C31" s="71" t="s">
        <v>82</v>
      </c>
      <c r="D31" s="72">
        <f>余额表!E31</f>
        <v>0</v>
      </c>
      <c r="E31" s="72">
        <f>余额表!F31</f>
        <v>0</v>
      </c>
    </row>
    <row r="32" ht="30" customHeight="1" spans="2:5">
      <c r="B32" s="70">
        <v>1701</v>
      </c>
      <c r="C32" s="71" t="s">
        <v>90</v>
      </c>
      <c r="D32" s="72">
        <f>余额表!E32</f>
        <v>0</v>
      </c>
      <c r="E32" s="72">
        <f>余额表!F32</f>
        <v>0</v>
      </c>
    </row>
    <row r="33" ht="30" customHeight="1" spans="2:5">
      <c r="B33" s="70">
        <v>1702</v>
      </c>
      <c r="C33" s="71" t="s">
        <v>91</v>
      </c>
      <c r="D33" s="72">
        <f>余额表!E33</f>
        <v>0</v>
      </c>
      <c r="E33" s="72">
        <f>余额表!F33</f>
        <v>0</v>
      </c>
    </row>
    <row r="34" ht="30" customHeight="1" spans="2:5">
      <c r="B34" s="70">
        <v>1703</v>
      </c>
      <c r="C34" s="71" t="s">
        <v>92</v>
      </c>
      <c r="D34" s="72">
        <f>余额表!E34</f>
        <v>0</v>
      </c>
      <c r="E34" s="72">
        <f>余额表!F34</f>
        <v>0</v>
      </c>
    </row>
    <row r="35" ht="30" customHeight="1" spans="2:5">
      <c r="B35" s="70">
        <v>1711</v>
      </c>
      <c r="C35" s="71" t="s">
        <v>93</v>
      </c>
      <c r="D35" s="72">
        <f>余额表!E35</f>
        <v>0</v>
      </c>
      <c r="E35" s="72">
        <f>余额表!F35</f>
        <v>0</v>
      </c>
    </row>
    <row r="36" ht="30" customHeight="1" spans="2:5">
      <c r="B36" s="70">
        <v>1801</v>
      </c>
      <c r="C36" s="71" t="s">
        <v>94</v>
      </c>
      <c r="D36" s="72">
        <f>余额表!E36</f>
        <v>0</v>
      </c>
      <c r="E36" s="72">
        <f>余额表!F36</f>
        <v>0</v>
      </c>
    </row>
    <row r="37" ht="30" customHeight="1" spans="2:5">
      <c r="B37" s="70">
        <v>1901</v>
      </c>
      <c r="C37" s="71" t="s">
        <v>259</v>
      </c>
      <c r="D37" s="72">
        <f>余额表!E37</f>
        <v>0</v>
      </c>
      <c r="E37" s="72">
        <f>余额表!F37</f>
        <v>0</v>
      </c>
    </row>
    <row r="38" ht="30" customHeight="1" spans="2:5">
      <c r="B38" s="73" t="s">
        <v>260</v>
      </c>
      <c r="C38" s="74"/>
      <c r="D38" s="75">
        <f>余额表!E38</f>
        <v>2615</v>
      </c>
      <c r="E38" s="75">
        <f>余额表!F38</f>
        <v>162065</v>
      </c>
    </row>
    <row r="39" ht="30" customHeight="1" spans="2:5">
      <c r="B39" s="70">
        <v>2001</v>
      </c>
      <c r="C39" s="71" t="s">
        <v>98</v>
      </c>
      <c r="D39" s="72">
        <f>余额表!E39</f>
        <v>0</v>
      </c>
      <c r="E39" s="72">
        <f>余额表!F39</f>
        <v>0</v>
      </c>
    </row>
    <row r="40" ht="30" customHeight="1" spans="2:5">
      <c r="B40" s="70">
        <v>2201</v>
      </c>
      <c r="C40" s="71" t="s">
        <v>107</v>
      </c>
      <c r="D40" s="72">
        <f>余额表!E40</f>
        <v>0</v>
      </c>
      <c r="E40" s="72">
        <f>余额表!F40</f>
        <v>0</v>
      </c>
    </row>
    <row r="41" ht="30" customHeight="1" spans="2:5">
      <c r="B41" s="70">
        <v>2202</v>
      </c>
      <c r="C41" s="71" t="s">
        <v>108</v>
      </c>
      <c r="D41" s="72">
        <f>余额表!E41</f>
        <v>0</v>
      </c>
      <c r="E41" s="72">
        <f>余额表!F41</f>
        <v>0</v>
      </c>
    </row>
    <row r="42" ht="30" customHeight="1" spans="2:5">
      <c r="B42" s="70">
        <v>2203</v>
      </c>
      <c r="C42" s="71" t="s">
        <v>109</v>
      </c>
      <c r="D42" s="72">
        <f>余额表!E42</f>
        <v>0</v>
      </c>
      <c r="E42" s="72">
        <f>余额表!F42</f>
        <v>0</v>
      </c>
    </row>
    <row r="43" ht="30" customHeight="1" spans="2:5">
      <c r="B43" s="70">
        <v>2211</v>
      </c>
      <c r="C43" s="71" t="s">
        <v>110</v>
      </c>
      <c r="D43" s="72">
        <f>余额表!E43</f>
        <v>35000</v>
      </c>
      <c r="E43" s="72">
        <f>余额表!F43</f>
        <v>0</v>
      </c>
    </row>
    <row r="44" ht="30" customHeight="1" spans="2:5">
      <c r="B44" s="70">
        <v>2221</v>
      </c>
      <c r="C44" s="71" t="s">
        <v>111</v>
      </c>
      <c r="D44" s="72">
        <f>余额表!E44</f>
        <v>25000</v>
      </c>
      <c r="E44" s="72">
        <f>余额表!F44</f>
        <v>16550</v>
      </c>
    </row>
    <row r="45" ht="30" customHeight="1" spans="2:5">
      <c r="B45" s="70">
        <v>2231</v>
      </c>
      <c r="C45" s="71" t="s">
        <v>117</v>
      </c>
      <c r="D45" s="72">
        <f>余额表!E45</f>
        <v>0</v>
      </c>
      <c r="E45" s="72">
        <f>余额表!F45</f>
        <v>0</v>
      </c>
    </row>
    <row r="46" ht="30" customHeight="1" spans="2:5">
      <c r="B46" s="70">
        <v>2232</v>
      </c>
      <c r="C46" s="71" t="s">
        <v>116</v>
      </c>
      <c r="D46" s="72">
        <f>余额表!E46</f>
        <v>0</v>
      </c>
      <c r="E46" s="72">
        <f>余额表!F46</f>
        <v>0</v>
      </c>
    </row>
    <row r="47" ht="30" customHeight="1" spans="2:5">
      <c r="B47" s="70">
        <v>2241</v>
      </c>
      <c r="C47" s="71" t="s">
        <v>118</v>
      </c>
      <c r="D47" s="72">
        <f>余额表!E47</f>
        <v>0</v>
      </c>
      <c r="E47" s="72">
        <f>余额表!F47</f>
        <v>0</v>
      </c>
    </row>
    <row r="48" ht="30" customHeight="1" spans="2:5">
      <c r="B48" s="70">
        <v>2401</v>
      </c>
      <c r="C48" s="71" t="s">
        <v>261</v>
      </c>
      <c r="D48" s="72">
        <f>余额表!E48</f>
        <v>0</v>
      </c>
      <c r="E48" s="72">
        <f>余额表!F48</f>
        <v>0</v>
      </c>
    </row>
    <row r="49" ht="30" customHeight="1" spans="2:5">
      <c r="B49" s="70">
        <v>2411</v>
      </c>
      <c r="C49" s="71" t="s">
        <v>135</v>
      </c>
      <c r="D49" s="72">
        <f>余额表!E49</f>
        <v>0</v>
      </c>
      <c r="E49" s="72">
        <f>余额表!F49</f>
        <v>0</v>
      </c>
    </row>
    <row r="50" ht="30" customHeight="1" spans="2:5">
      <c r="B50" s="70">
        <v>2501</v>
      </c>
      <c r="C50" s="71" t="s">
        <v>125</v>
      </c>
      <c r="D50" s="72">
        <f>余额表!E50</f>
        <v>0</v>
      </c>
      <c r="E50" s="72">
        <f>余额表!F50</f>
        <v>0</v>
      </c>
    </row>
    <row r="51" ht="30" customHeight="1" spans="2:5">
      <c r="B51" s="70">
        <v>2601</v>
      </c>
      <c r="C51" s="71" t="s">
        <v>126</v>
      </c>
      <c r="D51" s="72">
        <f>余额表!E51</f>
        <v>0</v>
      </c>
      <c r="E51" s="72">
        <f>余额表!F51</f>
        <v>0</v>
      </c>
    </row>
    <row r="52" ht="30" customHeight="1" spans="2:5">
      <c r="B52" s="70">
        <v>2602</v>
      </c>
      <c r="C52" s="71" t="s">
        <v>262</v>
      </c>
      <c r="D52" s="72">
        <f>余额表!E52</f>
        <v>0</v>
      </c>
      <c r="E52" s="72">
        <f>余额表!F52</f>
        <v>0</v>
      </c>
    </row>
    <row r="53" ht="30" customHeight="1" spans="2:5">
      <c r="B53" s="70">
        <v>2801</v>
      </c>
      <c r="C53" s="71" t="s">
        <v>132</v>
      </c>
      <c r="D53" s="72">
        <f>余额表!E53</f>
        <v>0</v>
      </c>
      <c r="E53" s="72">
        <f>余额表!F53</f>
        <v>0</v>
      </c>
    </row>
    <row r="54" ht="30" customHeight="1" spans="2:5">
      <c r="B54" s="70">
        <v>2802</v>
      </c>
      <c r="C54" s="71" t="s">
        <v>133</v>
      </c>
      <c r="D54" s="72">
        <f>余额表!E54</f>
        <v>0</v>
      </c>
      <c r="E54" s="72">
        <f>余额表!F54</f>
        <v>0</v>
      </c>
    </row>
    <row r="55" ht="30" customHeight="1" spans="2:5">
      <c r="B55" s="70">
        <v>2811</v>
      </c>
      <c r="C55" s="71" t="s">
        <v>134</v>
      </c>
      <c r="D55" s="72">
        <f>余额表!E55</f>
        <v>0</v>
      </c>
      <c r="E55" s="72">
        <f>余额表!F55</f>
        <v>0</v>
      </c>
    </row>
    <row r="56" ht="30" customHeight="1" spans="2:5">
      <c r="B56" s="70">
        <v>2901</v>
      </c>
      <c r="C56" s="71" t="s">
        <v>136</v>
      </c>
      <c r="D56" s="72">
        <f>余额表!E56</f>
        <v>0</v>
      </c>
      <c r="E56" s="72">
        <f>余额表!F56</f>
        <v>0</v>
      </c>
    </row>
    <row r="57" ht="30" customHeight="1" spans="2:5">
      <c r="B57" s="76" t="s">
        <v>263</v>
      </c>
      <c r="C57" s="77"/>
      <c r="D57" s="78">
        <f>余额表!E57</f>
        <v>60000</v>
      </c>
      <c r="E57" s="78">
        <f>余额表!F57</f>
        <v>16550</v>
      </c>
    </row>
    <row r="58" ht="30" customHeight="1" spans="2:5">
      <c r="B58" s="70">
        <v>4001</v>
      </c>
      <c r="C58" s="71" t="s">
        <v>264</v>
      </c>
      <c r="D58" s="72">
        <f>余额表!E58</f>
        <v>0</v>
      </c>
      <c r="E58" s="72">
        <f>余额表!F58</f>
        <v>0</v>
      </c>
    </row>
    <row r="59" ht="30" customHeight="1" spans="2:5">
      <c r="B59" s="70">
        <v>4002</v>
      </c>
      <c r="C59" s="71" t="s">
        <v>143</v>
      </c>
      <c r="D59" s="72">
        <f>余额表!E59</f>
        <v>0</v>
      </c>
      <c r="E59" s="72">
        <f>余额表!F59</f>
        <v>0</v>
      </c>
    </row>
    <row r="60" ht="30" customHeight="1" spans="2:5">
      <c r="B60" s="70">
        <v>4101</v>
      </c>
      <c r="C60" s="71" t="s">
        <v>144</v>
      </c>
      <c r="D60" s="72">
        <f>余额表!E60</f>
        <v>0</v>
      </c>
      <c r="E60" s="72">
        <f>余额表!F60</f>
        <v>0</v>
      </c>
    </row>
    <row r="61" ht="30" customHeight="1" spans="2:5">
      <c r="B61" s="70">
        <v>4103</v>
      </c>
      <c r="C61" s="71" t="s">
        <v>146</v>
      </c>
      <c r="D61" s="72">
        <f>余额表!E61</f>
        <v>0</v>
      </c>
      <c r="E61" s="72">
        <f>余额表!F61</f>
        <v>0</v>
      </c>
    </row>
    <row r="62" ht="30" customHeight="1" spans="2:5">
      <c r="B62" s="70">
        <v>4104</v>
      </c>
      <c r="C62" s="71" t="s">
        <v>147</v>
      </c>
      <c r="D62" s="72">
        <f>余额表!E62</f>
        <v>0</v>
      </c>
      <c r="E62" s="72">
        <f>余额表!F62</f>
        <v>0</v>
      </c>
    </row>
    <row r="63" ht="30" customHeight="1" spans="2:5">
      <c r="B63" s="70">
        <v>4201</v>
      </c>
      <c r="C63" s="71" t="s">
        <v>148</v>
      </c>
      <c r="D63" s="72">
        <f>余额表!E63</f>
        <v>0</v>
      </c>
      <c r="E63" s="72">
        <f>余额表!F63</f>
        <v>0</v>
      </c>
    </row>
    <row r="64" ht="30" customHeight="1" spans="2:5">
      <c r="B64" s="79" t="s">
        <v>265</v>
      </c>
      <c r="C64" s="80"/>
      <c r="D64" s="81">
        <f>余额表!E64</f>
        <v>0</v>
      </c>
      <c r="E64" s="81">
        <f>余额表!F64</f>
        <v>0</v>
      </c>
    </row>
    <row r="65" ht="30" customHeight="1" spans="2:5">
      <c r="B65" s="70">
        <v>5001</v>
      </c>
      <c r="C65" s="71" t="s">
        <v>149</v>
      </c>
      <c r="D65" s="72">
        <f>余额表!E65</f>
        <v>0</v>
      </c>
      <c r="E65" s="72">
        <f>余额表!F65</f>
        <v>0</v>
      </c>
    </row>
    <row r="66" ht="30" customHeight="1" spans="2:5">
      <c r="B66" s="70">
        <v>5101</v>
      </c>
      <c r="C66" s="71" t="s">
        <v>152</v>
      </c>
      <c r="D66" s="72">
        <f>余额表!E66</f>
        <v>0</v>
      </c>
      <c r="E66" s="72">
        <f>余额表!F66</f>
        <v>0</v>
      </c>
    </row>
    <row r="67" ht="30" customHeight="1" spans="2:5">
      <c r="B67" s="70">
        <v>5201</v>
      </c>
      <c r="C67" s="71" t="s">
        <v>157</v>
      </c>
      <c r="D67" s="72">
        <f>余额表!E67</f>
        <v>0</v>
      </c>
      <c r="E67" s="72">
        <f>余额表!F67</f>
        <v>0</v>
      </c>
    </row>
    <row r="68" ht="30" customHeight="1" spans="2:5">
      <c r="B68" s="70">
        <v>5301</v>
      </c>
      <c r="C68" s="71" t="s">
        <v>158</v>
      </c>
      <c r="D68" s="72">
        <f>余额表!E68</f>
        <v>0</v>
      </c>
      <c r="E68" s="72">
        <f>余额表!F68</f>
        <v>0</v>
      </c>
    </row>
    <row r="69" ht="30" customHeight="1" spans="2:5">
      <c r="B69" s="70">
        <v>6001</v>
      </c>
      <c r="C69" s="71" t="s">
        <v>162</v>
      </c>
      <c r="D69" s="72">
        <f>余额表!E69</f>
        <v>116000</v>
      </c>
      <c r="E69" s="72">
        <f>余额表!F69</f>
        <v>0</v>
      </c>
    </row>
    <row r="70" ht="30" customHeight="1" spans="2:5">
      <c r="B70" s="70">
        <v>6051</v>
      </c>
      <c r="C70" s="71" t="s">
        <v>167</v>
      </c>
      <c r="D70" s="72">
        <f>余额表!E70</f>
        <v>0</v>
      </c>
      <c r="E70" s="72">
        <f>余额表!F70</f>
        <v>0</v>
      </c>
    </row>
    <row r="71" ht="30" customHeight="1" spans="2:5">
      <c r="B71" s="70">
        <v>6101</v>
      </c>
      <c r="C71" s="71" t="s">
        <v>169</v>
      </c>
      <c r="D71" s="72">
        <f>余额表!E71</f>
        <v>0</v>
      </c>
      <c r="E71" s="72">
        <f>余额表!F71</f>
        <v>0</v>
      </c>
    </row>
    <row r="72" ht="30" customHeight="1" spans="2:5">
      <c r="B72" s="70">
        <v>6111</v>
      </c>
      <c r="C72" s="71" t="s">
        <v>170</v>
      </c>
      <c r="D72" s="72">
        <f>余额表!E72</f>
        <v>0</v>
      </c>
      <c r="E72" s="72">
        <f>余额表!F72</f>
        <v>0</v>
      </c>
    </row>
    <row r="73" ht="30" customHeight="1" spans="2:5">
      <c r="B73" s="70">
        <v>6301</v>
      </c>
      <c r="C73" s="71" t="s">
        <v>174</v>
      </c>
      <c r="D73" s="72">
        <f>余额表!E73</f>
        <v>0</v>
      </c>
      <c r="E73" s="72">
        <f>余额表!F73</f>
        <v>0</v>
      </c>
    </row>
    <row r="74" ht="30" customHeight="1" spans="2:5">
      <c r="B74" s="70">
        <v>6401</v>
      </c>
      <c r="C74" s="71" t="s">
        <v>175</v>
      </c>
      <c r="D74" s="72">
        <f>余额表!E74</f>
        <v>0</v>
      </c>
      <c r="E74" s="72">
        <f>余额表!F74</f>
        <v>0</v>
      </c>
    </row>
    <row r="75" ht="30" customHeight="1" spans="2:5">
      <c r="B75" s="70">
        <v>6403</v>
      </c>
      <c r="C75" s="71" t="s">
        <v>177</v>
      </c>
      <c r="D75" s="72">
        <f>余额表!E75</f>
        <v>0</v>
      </c>
      <c r="E75" s="72">
        <f>余额表!F75</f>
        <v>0</v>
      </c>
    </row>
    <row r="76" ht="30" customHeight="1" spans="2:5">
      <c r="B76" s="70">
        <v>6601</v>
      </c>
      <c r="C76" s="71" t="s">
        <v>187</v>
      </c>
      <c r="D76" s="72">
        <f>余额表!E76</f>
        <v>0</v>
      </c>
      <c r="E76" s="72">
        <f>余额表!F76</f>
        <v>0</v>
      </c>
    </row>
    <row r="77" ht="30" customHeight="1" spans="2:5">
      <c r="B77" s="70">
        <v>6602</v>
      </c>
      <c r="C77" s="71" t="s">
        <v>192</v>
      </c>
      <c r="D77" s="72">
        <f>余额表!E77</f>
        <v>0</v>
      </c>
      <c r="E77" s="72">
        <f>余额表!F77</f>
        <v>0</v>
      </c>
    </row>
    <row r="78" ht="30" customHeight="1" spans="2:5">
      <c r="B78" s="70">
        <v>6603</v>
      </c>
      <c r="C78" s="71" t="s">
        <v>194</v>
      </c>
      <c r="D78" s="72">
        <f>余额表!E78</f>
        <v>0</v>
      </c>
      <c r="E78" s="72">
        <f>余额表!F78</f>
        <v>0</v>
      </c>
    </row>
    <row r="79" ht="30" customHeight="1" spans="2:5">
      <c r="B79" s="70">
        <v>660301</v>
      </c>
      <c r="C79" s="71" t="s">
        <v>266</v>
      </c>
      <c r="D79" s="72">
        <f>余额表!E79</f>
        <v>0</v>
      </c>
      <c r="E79" s="72">
        <f>余额表!F79</f>
        <v>0</v>
      </c>
    </row>
    <row r="80" ht="30" customHeight="1" spans="2:5">
      <c r="B80" s="70">
        <v>660302</v>
      </c>
      <c r="C80" s="71" t="s">
        <v>267</v>
      </c>
      <c r="D80" s="72">
        <f>余额表!E80</f>
        <v>0</v>
      </c>
      <c r="E80" s="72">
        <f>余额表!F80</f>
        <v>0</v>
      </c>
    </row>
    <row r="81" ht="30" customHeight="1" spans="2:5">
      <c r="B81" s="70">
        <v>660303</v>
      </c>
      <c r="C81" s="71" t="s">
        <v>168</v>
      </c>
      <c r="D81" s="72">
        <f>余额表!E81</f>
        <v>0</v>
      </c>
      <c r="E81" s="72">
        <f>余额表!F81</f>
        <v>0</v>
      </c>
    </row>
    <row r="82" ht="30" customHeight="1" spans="2:5">
      <c r="B82" s="70">
        <v>6604</v>
      </c>
      <c r="C82" s="71" t="s">
        <v>198</v>
      </c>
      <c r="D82" s="72">
        <f>余额表!E82</f>
        <v>0</v>
      </c>
      <c r="E82" s="72">
        <f>余额表!F82</f>
        <v>0</v>
      </c>
    </row>
    <row r="83" ht="30" customHeight="1" spans="2:5">
      <c r="B83" s="70">
        <v>6701</v>
      </c>
      <c r="C83" s="71" t="s">
        <v>199</v>
      </c>
      <c r="D83" s="72">
        <f>余额表!E83</f>
        <v>0</v>
      </c>
      <c r="E83" s="72">
        <f>余额表!F83</f>
        <v>0</v>
      </c>
    </row>
    <row r="84" ht="30" customHeight="1" spans="2:5">
      <c r="B84" s="70">
        <v>6711</v>
      </c>
      <c r="C84" s="71" t="s">
        <v>200</v>
      </c>
      <c r="D84" s="72">
        <f>余额表!E84</f>
        <v>0</v>
      </c>
      <c r="E84" s="72">
        <f>余额表!F84</f>
        <v>0</v>
      </c>
    </row>
    <row r="85" ht="30" customHeight="1" spans="2:5">
      <c r="B85" s="70">
        <v>671101</v>
      </c>
      <c r="C85" s="71" t="s">
        <v>268</v>
      </c>
      <c r="D85" s="72">
        <f>余额表!E85</f>
        <v>0</v>
      </c>
      <c r="E85" s="72">
        <f>余额表!F85</f>
        <v>0</v>
      </c>
    </row>
    <row r="86" ht="30" customHeight="1" spans="2:5">
      <c r="B86" s="70">
        <v>671102</v>
      </c>
      <c r="C86" s="71" t="s">
        <v>269</v>
      </c>
      <c r="D86" s="72">
        <f>余额表!E86</f>
        <v>0</v>
      </c>
      <c r="E86" s="72">
        <f>余额表!F86</f>
        <v>0</v>
      </c>
    </row>
    <row r="87" ht="30" customHeight="1" spans="2:5">
      <c r="B87" s="70">
        <v>6801</v>
      </c>
      <c r="C87" s="71" t="s">
        <v>270</v>
      </c>
      <c r="D87" s="72">
        <f>余额表!E87</f>
        <v>0</v>
      </c>
      <c r="E87" s="72">
        <f>余额表!F87</f>
        <v>0</v>
      </c>
    </row>
    <row r="88" ht="30" customHeight="1" spans="2:5">
      <c r="B88" s="70">
        <v>6901</v>
      </c>
      <c r="C88" s="71" t="s">
        <v>204</v>
      </c>
      <c r="D88" s="72">
        <f>余额表!E88</f>
        <v>0</v>
      </c>
      <c r="E88" s="72">
        <f>余额表!F88</f>
        <v>0</v>
      </c>
    </row>
    <row r="89" s="16" customFormat="1" ht="30" customHeight="1" spans="1:16383">
      <c r="A89" s="64"/>
      <c r="B89" s="82" t="s">
        <v>271</v>
      </c>
      <c r="C89" s="83"/>
      <c r="D89" s="84">
        <f>余额表!E89</f>
        <v>116000</v>
      </c>
      <c r="E89" s="84">
        <f>余额表!F89</f>
        <v>0</v>
      </c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  <c r="AJY89"/>
      <c r="AJZ89"/>
      <c r="AKA89"/>
      <c r="AKB89"/>
      <c r="AKC89"/>
      <c r="AKD89"/>
      <c r="AKE89"/>
      <c r="AKF89"/>
      <c r="AKG89"/>
      <c r="AKH89"/>
      <c r="AKI89"/>
      <c r="AKJ89"/>
      <c r="AKK89"/>
      <c r="AKL89"/>
      <c r="AKM89"/>
      <c r="AKN89"/>
      <c r="AKO89"/>
      <c r="AKP89"/>
      <c r="AKQ89"/>
      <c r="AKR89"/>
      <c r="AKS89"/>
      <c r="AKT89"/>
      <c r="AKU89"/>
      <c r="AKV89"/>
      <c r="AKW89"/>
      <c r="AKX89"/>
      <c r="AKY89"/>
      <c r="AKZ89"/>
      <c r="ALA89"/>
      <c r="ALB89"/>
      <c r="ALC89"/>
      <c r="ALD89"/>
      <c r="ALE89"/>
      <c r="ALF89"/>
      <c r="ALG89"/>
      <c r="ALH89"/>
      <c r="ALI89"/>
      <c r="ALJ89"/>
      <c r="ALK89"/>
      <c r="ALL89"/>
      <c r="ALM89"/>
      <c r="ALN89"/>
      <c r="ALO89"/>
      <c r="ALP89"/>
      <c r="ALQ89"/>
      <c r="ALR89"/>
      <c r="ALS89"/>
      <c r="ALT89"/>
      <c r="ALU89"/>
      <c r="ALV89"/>
      <c r="ALW89"/>
      <c r="ALX89"/>
      <c r="ALY89"/>
      <c r="ALZ89"/>
      <c r="AMA89"/>
      <c r="AMB89"/>
      <c r="AMC89"/>
      <c r="AMD89"/>
      <c r="AME89"/>
      <c r="AMF89"/>
      <c r="AMG89"/>
      <c r="AMH89"/>
      <c r="AMI89"/>
      <c r="AMJ89"/>
      <c r="AMK89"/>
      <c r="AML89"/>
      <c r="AMM89"/>
      <c r="AMN89"/>
      <c r="AMO89"/>
      <c r="AMP89"/>
      <c r="AMQ89"/>
      <c r="AMR89"/>
      <c r="AMS89"/>
      <c r="AMT89"/>
      <c r="AMU89"/>
      <c r="AMV89"/>
      <c r="AMW89"/>
      <c r="AMX89"/>
      <c r="AMY89"/>
      <c r="AMZ89"/>
      <c r="ANA89"/>
      <c r="ANB89"/>
      <c r="ANC89"/>
      <c r="AND89"/>
      <c r="ANE89"/>
      <c r="ANF89"/>
      <c r="ANG89"/>
      <c r="ANH89"/>
      <c r="ANI89"/>
      <c r="ANJ89"/>
      <c r="ANK89"/>
      <c r="ANL89"/>
      <c r="ANM89"/>
      <c r="ANN89"/>
      <c r="ANO89"/>
      <c r="ANP89"/>
      <c r="ANQ89"/>
      <c r="ANR89"/>
      <c r="ANS89"/>
      <c r="ANT89"/>
      <c r="ANU89"/>
      <c r="ANV89"/>
      <c r="ANW89"/>
      <c r="ANX89"/>
      <c r="ANY89"/>
      <c r="ANZ89"/>
      <c r="AOA89"/>
      <c r="AOB89"/>
      <c r="AOC89"/>
      <c r="AOD89"/>
      <c r="AOE89"/>
      <c r="AOF89"/>
      <c r="AOG89"/>
      <c r="AOH89"/>
      <c r="AOI89"/>
      <c r="AOJ89"/>
      <c r="AOK89"/>
      <c r="AOL89"/>
      <c r="AOM89"/>
      <c r="AON89"/>
      <c r="AOO89"/>
      <c r="AOP89"/>
      <c r="AOQ89"/>
      <c r="AOR89"/>
      <c r="AOS89"/>
      <c r="AOT89"/>
      <c r="AOU89"/>
      <c r="AOV89"/>
      <c r="AOW89"/>
      <c r="AOX89"/>
      <c r="AOY89"/>
      <c r="AOZ89"/>
      <c r="APA89"/>
      <c r="APB89"/>
      <c r="APC89"/>
      <c r="APD89"/>
      <c r="APE89"/>
      <c r="APF89"/>
      <c r="APG89"/>
      <c r="APH89"/>
      <c r="API89"/>
      <c r="APJ89"/>
      <c r="APK89"/>
      <c r="APL89"/>
      <c r="APM89"/>
      <c r="APN89"/>
      <c r="APO89"/>
      <c r="APP89"/>
      <c r="APQ89"/>
      <c r="APR89"/>
      <c r="APS89"/>
      <c r="APT89"/>
      <c r="APU89"/>
      <c r="APV89"/>
      <c r="APW89"/>
      <c r="APX89"/>
      <c r="APY89"/>
      <c r="APZ89"/>
      <c r="AQA89"/>
      <c r="AQB89"/>
      <c r="AQC89"/>
      <c r="AQD89"/>
      <c r="AQE89"/>
      <c r="AQF89"/>
      <c r="AQG89"/>
      <c r="AQH89"/>
      <c r="AQI89"/>
      <c r="AQJ89"/>
      <c r="AQK89"/>
      <c r="AQL89"/>
      <c r="AQM89"/>
      <c r="AQN89"/>
      <c r="AQO89"/>
      <c r="AQP89"/>
      <c r="AQQ89"/>
      <c r="AQR89"/>
      <c r="AQS89"/>
      <c r="AQT89"/>
      <c r="AQU89"/>
      <c r="AQV89"/>
      <c r="AQW89"/>
      <c r="AQX89"/>
      <c r="AQY89"/>
      <c r="AQZ89"/>
      <c r="ARA89"/>
      <c r="ARB89"/>
      <c r="ARC89"/>
      <c r="ARD89"/>
      <c r="ARE89"/>
      <c r="ARF89"/>
      <c r="ARG89"/>
      <c r="ARH89"/>
      <c r="ARI89"/>
      <c r="ARJ89"/>
      <c r="ARK89"/>
      <c r="ARL89"/>
      <c r="ARM89"/>
      <c r="ARN89"/>
      <c r="ARO89"/>
      <c r="ARP89"/>
      <c r="ARQ89"/>
      <c r="ARR89"/>
      <c r="ARS89"/>
      <c r="ART89"/>
      <c r="ARU89"/>
      <c r="ARV89"/>
      <c r="ARW89"/>
      <c r="ARX89"/>
      <c r="ARY89"/>
      <c r="ARZ89"/>
      <c r="ASA89"/>
      <c r="ASB89"/>
      <c r="ASC89"/>
      <c r="ASD89"/>
      <c r="ASE89"/>
      <c r="ASF89"/>
      <c r="ASG89"/>
      <c r="ASH89"/>
      <c r="ASI89"/>
      <c r="ASJ89"/>
      <c r="ASK89"/>
      <c r="ASL89"/>
      <c r="ASM89"/>
      <c r="ASN89"/>
      <c r="ASO89"/>
      <c r="ASP89"/>
      <c r="ASQ89"/>
      <c r="ASR89"/>
      <c r="ASS89"/>
      <c r="AST89"/>
      <c r="ASU89"/>
      <c r="ASV89"/>
      <c r="ASW89"/>
      <c r="ASX89"/>
      <c r="ASY89"/>
      <c r="ASZ89"/>
      <c r="ATA89"/>
      <c r="ATB89"/>
      <c r="ATC89"/>
      <c r="ATD89"/>
      <c r="ATE89"/>
      <c r="ATF89"/>
      <c r="ATG89"/>
      <c r="ATH89"/>
      <c r="ATI89"/>
      <c r="ATJ89"/>
      <c r="ATK89"/>
      <c r="ATL89"/>
      <c r="ATM89"/>
      <c r="ATN89"/>
      <c r="ATO89"/>
      <c r="ATP89"/>
      <c r="ATQ89"/>
      <c r="ATR89"/>
      <c r="ATS89"/>
      <c r="ATT89"/>
      <c r="ATU89"/>
      <c r="ATV89"/>
      <c r="ATW89"/>
      <c r="ATX89"/>
      <c r="ATY89"/>
      <c r="ATZ89"/>
      <c r="AUA89"/>
      <c r="AUB89"/>
      <c r="AUC89"/>
      <c r="AUD89"/>
      <c r="AUE89"/>
      <c r="AUF89"/>
      <c r="AUG89"/>
      <c r="AUH89"/>
      <c r="AUI89"/>
      <c r="AUJ89"/>
      <c r="AUK89"/>
      <c r="AUL89"/>
      <c r="AUM89"/>
      <c r="AUN89"/>
      <c r="AUO89"/>
      <c r="AUP89"/>
      <c r="AUQ89"/>
      <c r="AUR89"/>
      <c r="AUS89"/>
      <c r="AUT89"/>
      <c r="AUU89"/>
      <c r="AUV89"/>
      <c r="AUW89"/>
      <c r="AUX89"/>
      <c r="AUY89"/>
      <c r="AUZ89"/>
      <c r="AVA89"/>
      <c r="AVB89"/>
      <c r="AVC89"/>
      <c r="AVD89"/>
      <c r="AVE89"/>
      <c r="AVF89"/>
      <c r="AVG89"/>
      <c r="AVH89"/>
      <c r="AVI89"/>
      <c r="AVJ89"/>
      <c r="AVK89"/>
      <c r="AVL89"/>
      <c r="AVM89"/>
      <c r="AVN89"/>
      <c r="AVO89"/>
      <c r="AVP89"/>
      <c r="AVQ89"/>
      <c r="AVR89"/>
      <c r="AVS89"/>
      <c r="AVT89"/>
      <c r="AVU89"/>
      <c r="AVV89"/>
      <c r="AVW89"/>
      <c r="AVX89"/>
      <c r="AVY89"/>
      <c r="AVZ89"/>
      <c r="AWA89"/>
      <c r="AWB89"/>
      <c r="AWC89"/>
      <c r="AWD89"/>
      <c r="AWE89"/>
      <c r="AWF89"/>
      <c r="AWG89"/>
      <c r="AWH89"/>
      <c r="AWI89"/>
      <c r="AWJ89"/>
      <c r="AWK89"/>
      <c r="AWL89"/>
      <c r="AWM89"/>
      <c r="AWN89"/>
      <c r="AWO89"/>
      <c r="AWP89"/>
      <c r="AWQ89"/>
      <c r="AWR89"/>
      <c r="AWS89"/>
      <c r="AWT89"/>
      <c r="AWU89"/>
      <c r="AWV89"/>
      <c r="AWW89"/>
      <c r="AWX89"/>
      <c r="AWY89"/>
      <c r="AWZ89"/>
      <c r="AXA89"/>
      <c r="AXB89"/>
      <c r="AXC89"/>
      <c r="AXD89"/>
      <c r="AXE89"/>
      <c r="AXF89"/>
      <c r="AXG89"/>
      <c r="AXH89"/>
      <c r="AXI89"/>
      <c r="AXJ89"/>
      <c r="AXK89"/>
      <c r="AXL89"/>
      <c r="AXM89"/>
      <c r="AXN89"/>
      <c r="AXO89"/>
      <c r="AXP89"/>
      <c r="AXQ89"/>
      <c r="AXR89"/>
      <c r="AXS89"/>
      <c r="AXT89"/>
      <c r="AXU89"/>
      <c r="AXV89"/>
      <c r="AXW89"/>
      <c r="AXX89"/>
      <c r="AXY89"/>
      <c r="AXZ89"/>
      <c r="AYA89"/>
      <c r="AYB89"/>
      <c r="AYC89"/>
      <c r="AYD89"/>
      <c r="AYE89"/>
      <c r="AYF89"/>
      <c r="AYG89"/>
      <c r="AYH89"/>
      <c r="AYI89"/>
      <c r="AYJ89"/>
      <c r="AYK89"/>
      <c r="AYL89"/>
      <c r="AYM89"/>
      <c r="AYN89"/>
      <c r="AYO89"/>
      <c r="AYP89"/>
      <c r="AYQ89"/>
      <c r="AYR89"/>
      <c r="AYS89"/>
      <c r="AYT89"/>
      <c r="AYU89"/>
      <c r="AYV89"/>
      <c r="AYW89"/>
      <c r="AYX89"/>
      <c r="AYY89"/>
      <c r="AYZ89"/>
      <c r="AZA89"/>
      <c r="AZB89"/>
      <c r="AZC89"/>
      <c r="AZD89"/>
      <c r="AZE89"/>
      <c r="AZF89"/>
      <c r="AZG89"/>
      <c r="AZH89"/>
      <c r="AZI89"/>
      <c r="AZJ89"/>
      <c r="AZK89"/>
      <c r="AZL89"/>
      <c r="AZM89"/>
      <c r="AZN89"/>
      <c r="AZO89"/>
      <c r="AZP89"/>
      <c r="AZQ89"/>
      <c r="AZR89"/>
      <c r="AZS89"/>
      <c r="AZT89"/>
      <c r="AZU89"/>
      <c r="AZV89"/>
      <c r="AZW89"/>
      <c r="AZX89"/>
      <c r="AZY89"/>
      <c r="AZZ89"/>
      <c r="BAA89"/>
      <c r="BAB89"/>
      <c r="BAC89"/>
      <c r="BAD89"/>
      <c r="BAE89"/>
      <c r="BAF89"/>
      <c r="BAG89"/>
      <c r="BAH89"/>
      <c r="BAI89"/>
      <c r="BAJ89"/>
      <c r="BAK89"/>
      <c r="BAL89"/>
      <c r="BAM89"/>
      <c r="BAN89"/>
      <c r="BAO89"/>
      <c r="BAP89"/>
      <c r="BAQ89"/>
      <c r="BAR89"/>
      <c r="BAS89"/>
      <c r="BAT89"/>
      <c r="BAU89"/>
      <c r="BAV89"/>
      <c r="BAW89"/>
      <c r="BAX89"/>
      <c r="BAY89"/>
      <c r="BAZ89"/>
      <c r="BBA89"/>
      <c r="BBB89"/>
      <c r="BBC89"/>
      <c r="BBD89"/>
      <c r="BBE89"/>
      <c r="BBF89"/>
      <c r="BBG89"/>
      <c r="BBH89"/>
      <c r="BBI89"/>
      <c r="BBJ89"/>
      <c r="BBK89"/>
      <c r="BBL89"/>
      <c r="BBM89"/>
      <c r="BBN89"/>
      <c r="BBO89"/>
      <c r="BBP89"/>
      <c r="BBQ89"/>
      <c r="BBR89"/>
      <c r="BBS89"/>
      <c r="BBT89"/>
      <c r="BBU89"/>
      <c r="BBV89"/>
      <c r="BBW89"/>
      <c r="BBX89"/>
      <c r="BBY89"/>
      <c r="BBZ89"/>
      <c r="BCA89"/>
      <c r="BCB89"/>
      <c r="BCC89"/>
      <c r="BCD89"/>
      <c r="BCE89"/>
      <c r="BCF89"/>
      <c r="BCG89"/>
      <c r="BCH89"/>
      <c r="BCI89"/>
      <c r="BCJ89"/>
      <c r="BCK89"/>
      <c r="BCL89"/>
      <c r="BCM89"/>
      <c r="BCN89"/>
      <c r="BCO89"/>
      <c r="BCP89"/>
      <c r="BCQ89"/>
      <c r="BCR89"/>
      <c r="BCS89"/>
      <c r="BCT89"/>
      <c r="BCU89"/>
      <c r="BCV89"/>
      <c r="BCW89"/>
      <c r="BCX89"/>
      <c r="BCY89"/>
      <c r="BCZ89"/>
      <c r="BDA89"/>
      <c r="BDB89"/>
      <c r="BDC89"/>
      <c r="BDD89"/>
      <c r="BDE89"/>
      <c r="BDF89"/>
      <c r="BDG89"/>
      <c r="BDH89"/>
      <c r="BDI89"/>
      <c r="BDJ89"/>
      <c r="BDK89"/>
      <c r="BDL89"/>
      <c r="BDM89"/>
      <c r="BDN89"/>
      <c r="BDO89"/>
      <c r="BDP89"/>
      <c r="BDQ89"/>
      <c r="BDR89"/>
      <c r="BDS89"/>
      <c r="BDT89"/>
      <c r="BDU89"/>
      <c r="BDV89"/>
      <c r="BDW89"/>
      <c r="BDX89"/>
      <c r="BDY89"/>
      <c r="BDZ89"/>
      <c r="BEA89"/>
      <c r="BEB89"/>
      <c r="BEC89"/>
      <c r="BED89"/>
      <c r="BEE89"/>
      <c r="BEF89"/>
      <c r="BEG89"/>
      <c r="BEH89"/>
      <c r="BEI89"/>
      <c r="BEJ89"/>
      <c r="BEK89"/>
      <c r="BEL89"/>
      <c r="BEM89"/>
      <c r="BEN89"/>
      <c r="BEO89"/>
      <c r="BEP89"/>
      <c r="BEQ89"/>
      <c r="BER89"/>
      <c r="BES89"/>
      <c r="BET89"/>
      <c r="BEU89"/>
      <c r="BEV89"/>
      <c r="BEW89"/>
      <c r="BEX89"/>
      <c r="BEY89"/>
      <c r="BEZ89"/>
      <c r="BFA89"/>
      <c r="BFB89"/>
      <c r="BFC89"/>
      <c r="BFD89"/>
      <c r="BFE89"/>
      <c r="BFF89"/>
      <c r="BFG89"/>
      <c r="BFH89"/>
      <c r="BFI89"/>
      <c r="BFJ89"/>
      <c r="BFK89"/>
      <c r="BFL89"/>
      <c r="BFM89"/>
      <c r="BFN89"/>
      <c r="BFO89"/>
      <c r="BFP89"/>
      <c r="BFQ89"/>
      <c r="BFR89"/>
      <c r="BFS89"/>
      <c r="BFT89"/>
      <c r="BFU89"/>
      <c r="BFV89"/>
      <c r="BFW89"/>
      <c r="BFX89"/>
      <c r="BFY89"/>
      <c r="BFZ89"/>
      <c r="BGA89"/>
      <c r="BGB89"/>
      <c r="BGC89"/>
      <c r="BGD89"/>
      <c r="BGE89"/>
      <c r="BGF89"/>
      <c r="BGG89"/>
      <c r="BGH89"/>
      <c r="BGI89"/>
      <c r="BGJ89"/>
      <c r="BGK89"/>
      <c r="BGL89"/>
      <c r="BGM89"/>
      <c r="BGN89"/>
      <c r="BGO89"/>
      <c r="BGP89"/>
      <c r="BGQ89"/>
      <c r="BGR89"/>
      <c r="BGS89"/>
      <c r="BGT89"/>
      <c r="BGU89"/>
      <c r="BGV89"/>
      <c r="BGW89"/>
      <c r="BGX89"/>
      <c r="BGY89"/>
      <c r="BGZ89"/>
      <c r="BHA89"/>
      <c r="BHB89"/>
      <c r="BHC89"/>
      <c r="BHD89"/>
      <c r="BHE89"/>
      <c r="BHF89"/>
      <c r="BHG89"/>
      <c r="BHH89"/>
      <c r="BHI89"/>
      <c r="BHJ89"/>
      <c r="BHK89"/>
      <c r="BHL89"/>
      <c r="BHM89"/>
      <c r="BHN89"/>
      <c r="BHO89"/>
      <c r="BHP89"/>
      <c r="BHQ89"/>
      <c r="BHR89"/>
      <c r="BHS89"/>
      <c r="BHT89"/>
      <c r="BHU89"/>
      <c r="BHV89"/>
      <c r="BHW89"/>
      <c r="BHX89"/>
      <c r="BHY89"/>
      <c r="BHZ89"/>
      <c r="BIA89"/>
      <c r="BIB89"/>
      <c r="BIC89"/>
      <c r="BID89"/>
      <c r="BIE89"/>
      <c r="BIF89"/>
      <c r="BIG89"/>
      <c r="BIH89"/>
      <c r="BII89"/>
      <c r="BIJ89"/>
      <c r="BIK89"/>
      <c r="BIL89"/>
      <c r="BIM89"/>
      <c r="BIN89"/>
      <c r="BIO89"/>
      <c r="BIP89"/>
      <c r="BIQ89"/>
      <c r="BIR89"/>
      <c r="BIS89"/>
      <c r="BIT89"/>
      <c r="BIU89"/>
      <c r="BIV89"/>
      <c r="BIW89"/>
      <c r="BIX89"/>
      <c r="BIY89"/>
      <c r="BIZ89"/>
      <c r="BJA89"/>
      <c r="BJB89"/>
      <c r="BJC89"/>
      <c r="BJD89"/>
      <c r="BJE89"/>
      <c r="BJF89"/>
      <c r="BJG89"/>
      <c r="BJH89"/>
      <c r="BJI89"/>
      <c r="BJJ89"/>
      <c r="BJK89"/>
      <c r="BJL89"/>
      <c r="BJM89"/>
      <c r="BJN89"/>
      <c r="BJO89"/>
      <c r="BJP89"/>
      <c r="BJQ89"/>
      <c r="BJR89"/>
      <c r="BJS89"/>
      <c r="BJT89"/>
      <c r="BJU89"/>
      <c r="BJV89"/>
      <c r="BJW89"/>
      <c r="BJX89"/>
      <c r="BJY89"/>
      <c r="BJZ89"/>
      <c r="BKA89"/>
      <c r="BKB89"/>
      <c r="BKC89"/>
      <c r="BKD89"/>
      <c r="BKE89"/>
      <c r="BKF89"/>
      <c r="BKG89"/>
      <c r="BKH89"/>
      <c r="BKI89"/>
      <c r="BKJ89"/>
      <c r="BKK89"/>
      <c r="BKL89"/>
      <c r="BKM89"/>
      <c r="BKN89"/>
      <c r="BKO89"/>
      <c r="BKP89"/>
      <c r="BKQ89"/>
      <c r="BKR89"/>
      <c r="BKS89"/>
      <c r="BKT89"/>
      <c r="BKU89"/>
      <c r="BKV89"/>
      <c r="BKW89"/>
      <c r="BKX89"/>
      <c r="BKY89"/>
      <c r="BKZ89"/>
      <c r="BLA89"/>
      <c r="BLB89"/>
      <c r="BLC89"/>
      <c r="BLD89"/>
      <c r="BLE89"/>
      <c r="BLF89"/>
      <c r="BLG89"/>
      <c r="BLH89"/>
      <c r="BLI89"/>
      <c r="BLJ89"/>
      <c r="BLK89"/>
      <c r="BLL89"/>
      <c r="BLM89"/>
      <c r="BLN89"/>
      <c r="BLO89"/>
      <c r="BLP89"/>
      <c r="BLQ89"/>
      <c r="BLR89"/>
      <c r="BLS89"/>
      <c r="BLT89"/>
      <c r="BLU89"/>
      <c r="BLV89"/>
      <c r="BLW89"/>
      <c r="BLX89"/>
      <c r="BLY89"/>
      <c r="BLZ89"/>
      <c r="BMA89"/>
      <c r="BMB89"/>
      <c r="BMC89"/>
      <c r="BMD89"/>
      <c r="BME89"/>
      <c r="BMF89"/>
      <c r="BMG89"/>
      <c r="BMH89"/>
      <c r="BMI89"/>
      <c r="BMJ89"/>
      <c r="BMK89"/>
      <c r="BML89"/>
      <c r="BMM89"/>
      <c r="BMN89"/>
      <c r="BMO89"/>
      <c r="BMP89"/>
      <c r="BMQ89"/>
      <c r="BMR89"/>
      <c r="BMS89"/>
      <c r="BMT89"/>
      <c r="BMU89"/>
      <c r="BMV89"/>
      <c r="BMW89"/>
      <c r="BMX89"/>
      <c r="BMY89"/>
      <c r="BMZ89"/>
      <c r="BNA89"/>
      <c r="BNB89"/>
      <c r="BNC89"/>
      <c r="BND89"/>
      <c r="BNE89"/>
      <c r="BNF89"/>
      <c r="BNG89"/>
      <c r="BNH89"/>
      <c r="BNI89"/>
      <c r="BNJ89"/>
      <c r="BNK89"/>
      <c r="BNL89"/>
      <c r="BNM89"/>
      <c r="BNN89"/>
      <c r="BNO89"/>
      <c r="BNP89"/>
      <c r="BNQ89"/>
      <c r="BNR89"/>
      <c r="BNS89"/>
      <c r="BNT89"/>
      <c r="BNU89"/>
      <c r="BNV89"/>
      <c r="BNW89"/>
      <c r="BNX89"/>
      <c r="BNY89"/>
      <c r="BNZ89"/>
      <c r="BOA89"/>
      <c r="BOB89"/>
      <c r="BOC89"/>
      <c r="BOD89"/>
      <c r="BOE89"/>
      <c r="BOF89"/>
      <c r="BOG89"/>
      <c r="BOH89"/>
      <c r="BOI89"/>
      <c r="BOJ89"/>
      <c r="BOK89"/>
      <c r="BOL89"/>
      <c r="BOM89"/>
      <c r="BON89"/>
      <c r="BOO89"/>
      <c r="BOP89"/>
      <c r="BOQ89"/>
      <c r="BOR89"/>
      <c r="BOS89"/>
      <c r="BOT89"/>
      <c r="BOU89"/>
      <c r="BOV89"/>
      <c r="BOW89"/>
      <c r="BOX89"/>
      <c r="BOY89"/>
      <c r="BOZ89"/>
      <c r="BPA89"/>
      <c r="BPB89"/>
      <c r="BPC89"/>
      <c r="BPD89"/>
      <c r="BPE89"/>
      <c r="BPF89"/>
      <c r="BPG89"/>
      <c r="BPH89"/>
      <c r="BPI89"/>
      <c r="BPJ89"/>
      <c r="BPK89"/>
      <c r="BPL89"/>
      <c r="BPM89"/>
      <c r="BPN89"/>
      <c r="BPO89"/>
      <c r="BPP89"/>
      <c r="BPQ89"/>
      <c r="BPR89"/>
      <c r="BPS89"/>
      <c r="BPT89"/>
      <c r="BPU89"/>
      <c r="BPV89"/>
      <c r="BPW89"/>
      <c r="BPX89"/>
      <c r="BPY89"/>
      <c r="BPZ89"/>
      <c r="BQA89"/>
      <c r="BQB89"/>
      <c r="BQC89"/>
      <c r="BQD89"/>
      <c r="BQE89"/>
      <c r="BQF89"/>
      <c r="BQG89"/>
      <c r="BQH89"/>
      <c r="BQI89"/>
      <c r="BQJ89"/>
      <c r="BQK89"/>
      <c r="BQL89"/>
      <c r="BQM89"/>
      <c r="BQN89"/>
      <c r="BQO89"/>
      <c r="BQP89"/>
      <c r="BQQ89"/>
      <c r="BQR89"/>
      <c r="BQS89"/>
      <c r="BQT89"/>
      <c r="BQU89"/>
      <c r="BQV89"/>
      <c r="BQW89"/>
      <c r="BQX89"/>
      <c r="BQY89"/>
      <c r="BQZ89"/>
      <c r="BRA89"/>
      <c r="BRB89"/>
      <c r="BRC89"/>
      <c r="BRD89"/>
      <c r="BRE89"/>
      <c r="BRF89"/>
      <c r="BRG89"/>
      <c r="BRH89"/>
      <c r="BRI89"/>
      <c r="BRJ89"/>
      <c r="BRK89"/>
      <c r="BRL89"/>
      <c r="BRM89"/>
      <c r="BRN89"/>
      <c r="BRO89"/>
      <c r="BRP89"/>
      <c r="BRQ89"/>
      <c r="BRR89"/>
      <c r="BRS89"/>
      <c r="BRT89"/>
      <c r="BRU89"/>
      <c r="BRV89"/>
      <c r="BRW89"/>
      <c r="BRX89"/>
      <c r="BRY89"/>
      <c r="BRZ89"/>
      <c r="BSA89"/>
      <c r="BSB89"/>
      <c r="BSC89"/>
      <c r="BSD89"/>
      <c r="BSE89"/>
      <c r="BSF89"/>
      <c r="BSG89"/>
      <c r="BSH89"/>
      <c r="BSI89"/>
      <c r="BSJ89"/>
      <c r="BSK89"/>
      <c r="BSL89"/>
      <c r="BSM89"/>
      <c r="BSN89"/>
      <c r="BSO89"/>
      <c r="BSP89"/>
      <c r="BSQ89"/>
      <c r="BSR89"/>
      <c r="BSS89"/>
      <c r="BST89"/>
      <c r="BSU89"/>
      <c r="BSV89"/>
      <c r="BSW89"/>
      <c r="BSX89"/>
      <c r="BSY89"/>
      <c r="BSZ89"/>
      <c r="BTA89"/>
      <c r="BTB89"/>
      <c r="BTC89"/>
      <c r="BTD89"/>
      <c r="BTE89"/>
      <c r="BTF89"/>
      <c r="BTG89"/>
      <c r="BTH89"/>
      <c r="BTI89"/>
      <c r="BTJ89"/>
      <c r="BTK89"/>
      <c r="BTL89"/>
      <c r="BTM89"/>
      <c r="BTN89"/>
      <c r="BTO89"/>
      <c r="BTP89"/>
      <c r="BTQ89"/>
      <c r="BTR89"/>
      <c r="BTS89"/>
      <c r="BTT89"/>
      <c r="BTU89"/>
      <c r="BTV89"/>
      <c r="BTW89"/>
      <c r="BTX89"/>
      <c r="BTY89"/>
      <c r="BTZ89"/>
      <c r="BUA89"/>
      <c r="BUB89"/>
      <c r="BUC89"/>
      <c r="BUD89"/>
      <c r="BUE89"/>
      <c r="BUF89"/>
      <c r="BUG89"/>
      <c r="BUH89"/>
      <c r="BUI89"/>
      <c r="BUJ89"/>
      <c r="BUK89"/>
      <c r="BUL89"/>
      <c r="BUM89"/>
      <c r="BUN89"/>
      <c r="BUO89"/>
      <c r="BUP89"/>
      <c r="BUQ89"/>
      <c r="BUR89"/>
      <c r="BUS89"/>
      <c r="BUT89"/>
      <c r="BUU89"/>
      <c r="BUV89"/>
      <c r="BUW89"/>
      <c r="BUX89"/>
      <c r="BUY89"/>
      <c r="BUZ89"/>
      <c r="BVA89"/>
      <c r="BVB89"/>
      <c r="BVC89"/>
      <c r="BVD89"/>
      <c r="BVE89"/>
      <c r="BVF89"/>
      <c r="BVG89"/>
      <c r="BVH89"/>
      <c r="BVI89"/>
      <c r="BVJ89"/>
      <c r="BVK89"/>
      <c r="BVL89"/>
      <c r="BVM89"/>
      <c r="BVN89"/>
      <c r="BVO89"/>
      <c r="BVP89"/>
      <c r="BVQ89"/>
      <c r="BVR89"/>
      <c r="BVS89"/>
      <c r="BVT89"/>
      <c r="BVU89"/>
      <c r="BVV89"/>
      <c r="BVW89"/>
      <c r="BVX89"/>
      <c r="BVY89"/>
      <c r="BVZ89"/>
      <c r="BWA89"/>
      <c r="BWB89"/>
      <c r="BWC89"/>
      <c r="BWD89"/>
      <c r="BWE89"/>
      <c r="BWF89"/>
      <c r="BWG89"/>
      <c r="BWH89"/>
      <c r="BWI89"/>
      <c r="BWJ89"/>
      <c r="BWK89"/>
      <c r="BWL89"/>
      <c r="BWM89"/>
      <c r="BWN89"/>
      <c r="BWO89"/>
      <c r="BWP89"/>
      <c r="BWQ89"/>
      <c r="BWR89"/>
      <c r="BWS89"/>
      <c r="BWT89"/>
      <c r="BWU89"/>
      <c r="BWV89"/>
      <c r="BWW89"/>
      <c r="BWX89"/>
      <c r="BWY89"/>
      <c r="BWZ89"/>
      <c r="BXA89"/>
      <c r="BXB89"/>
      <c r="BXC89"/>
      <c r="BXD89"/>
      <c r="BXE89"/>
      <c r="BXF89"/>
      <c r="BXG89"/>
      <c r="BXH89"/>
      <c r="BXI89"/>
      <c r="BXJ89"/>
      <c r="BXK89"/>
      <c r="BXL89"/>
      <c r="BXM89"/>
      <c r="BXN89"/>
      <c r="BXO89"/>
      <c r="BXP89"/>
      <c r="BXQ89"/>
      <c r="BXR89"/>
      <c r="BXS89"/>
      <c r="BXT89"/>
      <c r="BXU89"/>
      <c r="BXV89"/>
      <c r="BXW89"/>
      <c r="BXX89"/>
      <c r="BXY89"/>
      <c r="BXZ89"/>
      <c r="BYA89"/>
      <c r="BYB89"/>
      <c r="BYC89"/>
      <c r="BYD89"/>
      <c r="BYE89"/>
      <c r="BYF89"/>
      <c r="BYG89"/>
      <c r="BYH89"/>
      <c r="BYI89"/>
      <c r="BYJ89"/>
      <c r="BYK89"/>
      <c r="BYL89"/>
      <c r="BYM89"/>
      <c r="BYN89"/>
      <c r="BYO89"/>
      <c r="BYP89"/>
      <c r="BYQ89"/>
      <c r="BYR89"/>
      <c r="BYS89"/>
      <c r="BYT89"/>
      <c r="BYU89"/>
      <c r="BYV89"/>
      <c r="BYW89"/>
      <c r="BYX89"/>
      <c r="BYY89"/>
      <c r="BYZ89"/>
      <c r="BZA89"/>
      <c r="BZB89"/>
      <c r="BZC89"/>
      <c r="BZD89"/>
      <c r="BZE89"/>
      <c r="BZF89"/>
      <c r="BZG89"/>
      <c r="BZH89"/>
      <c r="BZI89"/>
      <c r="BZJ89"/>
      <c r="BZK89"/>
      <c r="BZL89"/>
      <c r="BZM89"/>
      <c r="BZN89"/>
      <c r="BZO89"/>
      <c r="BZP89"/>
      <c r="BZQ89"/>
      <c r="BZR89"/>
      <c r="BZS89"/>
      <c r="BZT89"/>
      <c r="BZU89"/>
      <c r="BZV89"/>
      <c r="BZW89"/>
      <c r="BZX89"/>
      <c r="BZY89"/>
      <c r="BZZ89"/>
      <c r="CAA89"/>
      <c r="CAB89"/>
      <c r="CAC89"/>
      <c r="CAD89"/>
      <c r="CAE89"/>
      <c r="CAF89"/>
      <c r="CAG89"/>
      <c r="CAH89"/>
      <c r="CAI89"/>
      <c r="CAJ89"/>
      <c r="CAK89"/>
      <c r="CAL89"/>
      <c r="CAM89"/>
      <c r="CAN89"/>
      <c r="CAO89"/>
      <c r="CAP89"/>
      <c r="CAQ89"/>
      <c r="CAR89"/>
      <c r="CAS89"/>
      <c r="CAT89"/>
      <c r="CAU89"/>
      <c r="CAV89"/>
      <c r="CAW89"/>
      <c r="CAX89"/>
      <c r="CAY89"/>
      <c r="CAZ89"/>
      <c r="CBA89"/>
      <c r="CBB89"/>
      <c r="CBC89"/>
      <c r="CBD89"/>
      <c r="CBE89"/>
      <c r="CBF89"/>
      <c r="CBG89"/>
      <c r="CBH89"/>
      <c r="CBI89"/>
      <c r="CBJ89"/>
      <c r="CBK89"/>
      <c r="CBL89"/>
      <c r="CBM89"/>
      <c r="CBN89"/>
      <c r="CBO89"/>
      <c r="CBP89"/>
      <c r="CBQ89"/>
      <c r="CBR89"/>
      <c r="CBS89"/>
      <c r="CBT89"/>
      <c r="CBU89"/>
      <c r="CBV89"/>
      <c r="CBW89"/>
      <c r="CBX89"/>
      <c r="CBY89"/>
      <c r="CBZ89"/>
      <c r="CCA89"/>
      <c r="CCB89"/>
      <c r="CCC89"/>
      <c r="CCD89"/>
      <c r="CCE89"/>
      <c r="CCF89"/>
      <c r="CCG89"/>
      <c r="CCH89"/>
      <c r="CCI89"/>
      <c r="CCJ89"/>
      <c r="CCK89"/>
      <c r="CCL89"/>
      <c r="CCM89"/>
      <c r="CCN89"/>
      <c r="CCO89"/>
      <c r="CCP89"/>
      <c r="CCQ89"/>
      <c r="CCR89"/>
      <c r="CCS89"/>
      <c r="CCT89"/>
      <c r="CCU89"/>
      <c r="CCV89"/>
      <c r="CCW89"/>
      <c r="CCX89"/>
      <c r="CCY89"/>
      <c r="CCZ89"/>
      <c r="CDA89"/>
      <c r="CDB89"/>
      <c r="CDC89"/>
      <c r="CDD89"/>
      <c r="CDE89"/>
      <c r="CDF89"/>
      <c r="CDG89"/>
      <c r="CDH89"/>
      <c r="CDI89"/>
      <c r="CDJ89"/>
      <c r="CDK89"/>
      <c r="CDL89"/>
      <c r="CDM89"/>
      <c r="CDN89"/>
      <c r="CDO89"/>
      <c r="CDP89"/>
      <c r="CDQ89"/>
      <c r="CDR89"/>
      <c r="CDS89"/>
      <c r="CDT89"/>
      <c r="CDU89"/>
      <c r="CDV89"/>
      <c r="CDW89"/>
      <c r="CDX89"/>
      <c r="CDY89"/>
      <c r="CDZ89"/>
      <c r="CEA89"/>
      <c r="CEB89"/>
      <c r="CEC89"/>
      <c r="CED89"/>
      <c r="CEE89"/>
      <c r="CEF89"/>
      <c r="CEG89"/>
      <c r="CEH89"/>
      <c r="CEI89"/>
      <c r="CEJ89"/>
      <c r="CEK89"/>
      <c r="CEL89"/>
      <c r="CEM89"/>
      <c r="CEN89"/>
      <c r="CEO89"/>
      <c r="CEP89"/>
      <c r="CEQ89"/>
      <c r="CER89"/>
      <c r="CES89"/>
      <c r="CET89"/>
      <c r="CEU89"/>
      <c r="CEV89"/>
      <c r="CEW89"/>
      <c r="CEX89"/>
      <c r="CEY89"/>
      <c r="CEZ89"/>
      <c r="CFA89"/>
      <c r="CFB89"/>
      <c r="CFC89"/>
      <c r="CFD89"/>
      <c r="CFE89"/>
      <c r="CFF89"/>
      <c r="CFG89"/>
      <c r="CFH89"/>
      <c r="CFI89"/>
      <c r="CFJ89"/>
      <c r="CFK89"/>
      <c r="CFL89"/>
      <c r="CFM89"/>
      <c r="CFN89"/>
      <c r="CFO89"/>
      <c r="CFP89"/>
      <c r="CFQ89"/>
      <c r="CFR89"/>
      <c r="CFS89"/>
      <c r="CFT89"/>
      <c r="CFU89"/>
      <c r="CFV89"/>
      <c r="CFW89"/>
      <c r="CFX89"/>
      <c r="CFY89"/>
      <c r="CFZ89"/>
      <c r="CGA89"/>
      <c r="CGB89"/>
      <c r="CGC89"/>
      <c r="CGD89"/>
      <c r="CGE89"/>
      <c r="CGF89"/>
      <c r="CGG89"/>
      <c r="CGH89"/>
      <c r="CGI89"/>
      <c r="CGJ89"/>
      <c r="CGK89"/>
      <c r="CGL89"/>
      <c r="CGM89"/>
      <c r="CGN89"/>
      <c r="CGO89"/>
      <c r="CGP89"/>
      <c r="CGQ89"/>
      <c r="CGR89"/>
      <c r="CGS89"/>
      <c r="CGT89"/>
      <c r="CGU89"/>
      <c r="CGV89"/>
      <c r="CGW89"/>
      <c r="CGX89"/>
      <c r="CGY89"/>
      <c r="CGZ89"/>
      <c r="CHA89"/>
      <c r="CHB89"/>
      <c r="CHC89"/>
      <c r="CHD89"/>
      <c r="CHE89"/>
      <c r="CHF89"/>
      <c r="CHG89"/>
      <c r="CHH89"/>
      <c r="CHI89"/>
      <c r="CHJ89"/>
      <c r="CHK89"/>
      <c r="CHL89"/>
      <c r="CHM89"/>
      <c r="CHN89"/>
      <c r="CHO89"/>
      <c r="CHP89"/>
      <c r="CHQ89"/>
      <c r="CHR89"/>
      <c r="CHS89"/>
      <c r="CHT89"/>
      <c r="CHU89"/>
      <c r="CHV89"/>
      <c r="CHW89"/>
      <c r="CHX89"/>
      <c r="CHY89"/>
      <c r="CHZ89"/>
      <c r="CIA89"/>
      <c r="CIB89"/>
      <c r="CIC89"/>
      <c r="CID89"/>
      <c r="CIE89"/>
      <c r="CIF89"/>
      <c r="CIG89"/>
      <c r="CIH89"/>
      <c r="CII89"/>
      <c r="CIJ89"/>
      <c r="CIK89"/>
      <c r="CIL89"/>
      <c r="CIM89"/>
      <c r="CIN89"/>
      <c r="CIO89"/>
      <c r="CIP89"/>
      <c r="CIQ89"/>
      <c r="CIR89"/>
      <c r="CIS89"/>
      <c r="CIT89"/>
      <c r="CIU89"/>
      <c r="CIV89"/>
      <c r="CIW89"/>
      <c r="CIX89"/>
      <c r="CIY89"/>
      <c r="CIZ89"/>
      <c r="CJA89"/>
      <c r="CJB89"/>
      <c r="CJC89"/>
      <c r="CJD89"/>
      <c r="CJE89"/>
      <c r="CJF89"/>
      <c r="CJG89"/>
      <c r="CJH89"/>
      <c r="CJI89"/>
      <c r="CJJ89"/>
      <c r="CJK89"/>
      <c r="CJL89"/>
      <c r="CJM89"/>
      <c r="CJN89"/>
      <c r="CJO89"/>
      <c r="CJP89"/>
      <c r="CJQ89"/>
      <c r="CJR89"/>
      <c r="CJS89"/>
      <c r="CJT89"/>
      <c r="CJU89"/>
      <c r="CJV89"/>
      <c r="CJW89"/>
      <c r="CJX89"/>
      <c r="CJY89"/>
      <c r="CJZ89"/>
      <c r="CKA89"/>
      <c r="CKB89"/>
      <c r="CKC89"/>
      <c r="CKD89"/>
      <c r="CKE89"/>
      <c r="CKF89"/>
      <c r="CKG89"/>
      <c r="CKH89"/>
      <c r="CKI89"/>
      <c r="CKJ89"/>
      <c r="CKK89"/>
      <c r="CKL89"/>
      <c r="CKM89"/>
      <c r="CKN89"/>
      <c r="CKO89"/>
      <c r="CKP89"/>
      <c r="CKQ89"/>
      <c r="CKR89"/>
      <c r="CKS89"/>
      <c r="CKT89"/>
      <c r="CKU89"/>
      <c r="CKV89"/>
      <c r="CKW89"/>
      <c r="CKX89"/>
      <c r="CKY89"/>
      <c r="CKZ89"/>
      <c r="CLA89"/>
      <c r="CLB89"/>
      <c r="CLC89"/>
      <c r="CLD89"/>
      <c r="CLE89"/>
      <c r="CLF89"/>
      <c r="CLG89"/>
      <c r="CLH89"/>
      <c r="CLI89"/>
      <c r="CLJ89"/>
      <c r="CLK89"/>
      <c r="CLL89"/>
      <c r="CLM89"/>
      <c r="CLN89"/>
      <c r="CLO89"/>
      <c r="CLP89"/>
      <c r="CLQ89"/>
      <c r="CLR89"/>
      <c r="CLS89"/>
      <c r="CLT89"/>
      <c r="CLU89"/>
      <c r="CLV89"/>
      <c r="CLW89"/>
      <c r="CLX89"/>
      <c r="CLY89"/>
      <c r="CLZ89"/>
      <c r="CMA89"/>
      <c r="CMB89"/>
      <c r="CMC89"/>
      <c r="CMD89"/>
      <c r="CME89"/>
      <c r="CMF89"/>
      <c r="CMG89"/>
      <c r="CMH89"/>
      <c r="CMI89"/>
      <c r="CMJ89"/>
      <c r="CMK89"/>
      <c r="CML89"/>
      <c r="CMM89"/>
      <c r="CMN89"/>
      <c r="CMO89"/>
      <c r="CMP89"/>
      <c r="CMQ89"/>
      <c r="CMR89"/>
      <c r="CMS89"/>
      <c r="CMT89"/>
      <c r="CMU89"/>
      <c r="CMV89"/>
      <c r="CMW89"/>
      <c r="CMX89"/>
      <c r="CMY89"/>
      <c r="CMZ89"/>
      <c r="CNA89"/>
      <c r="CNB89"/>
      <c r="CNC89"/>
      <c r="CND89"/>
      <c r="CNE89"/>
      <c r="CNF89"/>
      <c r="CNG89"/>
      <c r="CNH89"/>
      <c r="CNI89"/>
      <c r="CNJ89"/>
      <c r="CNK89"/>
      <c r="CNL89"/>
      <c r="CNM89"/>
      <c r="CNN89"/>
      <c r="CNO89"/>
      <c r="CNP89"/>
      <c r="CNQ89"/>
      <c r="CNR89"/>
      <c r="CNS89"/>
      <c r="CNT89"/>
      <c r="CNU89"/>
      <c r="CNV89"/>
      <c r="CNW89"/>
      <c r="CNX89"/>
      <c r="CNY89"/>
      <c r="CNZ89"/>
      <c r="COA89"/>
      <c r="COB89"/>
      <c r="COC89"/>
      <c r="COD89"/>
      <c r="COE89"/>
      <c r="COF89"/>
      <c r="COG89"/>
      <c r="COH89"/>
      <c r="COI89"/>
      <c r="COJ89"/>
      <c r="COK89"/>
      <c r="COL89"/>
      <c r="COM89"/>
      <c r="CON89"/>
      <c r="COO89"/>
      <c r="COP89"/>
      <c r="COQ89"/>
      <c r="COR89"/>
      <c r="COS89"/>
      <c r="COT89"/>
      <c r="COU89"/>
      <c r="COV89"/>
      <c r="COW89"/>
      <c r="COX89"/>
      <c r="COY89"/>
      <c r="COZ89"/>
      <c r="CPA89"/>
      <c r="CPB89"/>
      <c r="CPC89"/>
      <c r="CPD89"/>
      <c r="CPE89"/>
      <c r="CPF89"/>
      <c r="CPG89"/>
      <c r="CPH89"/>
      <c r="CPI89"/>
      <c r="CPJ89"/>
      <c r="CPK89"/>
      <c r="CPL89"/>
      <c r="CPM89"/>
      <c r="CPN89"/>
      <c r="CPO89"/>
      <c r="CPP89"/>
      <c r="CPQ89"/>
      <c r="CPR89"/>
      <c r="CPS89"/>
      <c r="CPT89"/>
      <c r="CPU89"/>
      <c r="CPV89"/>
      <c r="CPW89"/>
      <c r="CPX89"/>
      <c r="CPY89"/>
      <c r="CPZ89"/>
      <c r="CQA89"/>
      <c r="CQB89"/>
      <c r="CQC89"/>
      <c r="CQD89"/>
      <c r="CQE89"/>
      <c r="CQF89"/>
      <c r="CQG89"/>
      <c r="CQH89"/>
      <c r="CQI89"/>
      <c r="CQJ89"/>
      <c r="CQK89"/>
      <c r="CQL89"/>
      <c r="CQM89"/>
      <c r="CQN89"/>
      <c r="CQO89"/>
      <c r="CQP89"/>
      <c r="CQQ89"/>
      <c r="CQR89"/>
      <c r="CQS89"/>
      <c r="CQT89"/>
      <c r="CQU89"/>
      <c r="CQV89"/>
      <c r="CQW89"/>
      <c r="CQX89"/>
      <c r="CQY89"/>
      <c r="CQZ89"/>
      <c r="CRA89"/>
      <c r="CRB89"/>
      <c r="CRC89"/>
      <c r="CRD89"/>
      <c r="CRE89"/>
      <c r="CRF89"/>
      <c r="CRG89"/>
      <c r="CRH89"/>
      <c r="CRI89"/>
      <c r="CRJ89"/>
      <c r="CRK89"/>
      <c r="CRL89"/>
      <c r="CRM89"/>
      <c r="CRN89"/>
      <c r="CRO89"/>
      <c r="CRP89"/>
      <c r="CRQ89"/>
      <c r="CRR89"/>
      <c r="CRS89"/>
      <c r="CRT89"/>
      <c r="CRU89"/>
      <c r="CRV89"/>
      <c r="CRW89"/>
      <c r="CRX89"/>
      <c r="CRY89"/>
      <c r="CRZ89"/>
      <c r="CSA89"/>
      <c r="CSB89"/>
      <c r="CSC89"/>
      <c r="CSD89"/>
      <c r="CSE89"/>
      <c r="CSF89"/>
      <c r="CSG89"/>
      <c r="CSH89"/>
      <c r="CSI89"/>
      <c r="CSJ89"/>
      <c r="CSK89"/>
      <c r="CSL89"/>
      <c r="CSM89"/>
      <c r="CSN89"/>
      <c r="CSO89"/>
      <c r="CSP89"/>
      <c r="CSQ89"/>
      <c r="CSR89"/>
      <c r="CSS89"/>
      <c r="CST89"/>
      <c r="CSU89"/>
      <c r="CSV89"/>
      <c r="CSW89"/>
      <c r="CSX89"/>
      <c r="CSY89"/>
      <c r="CSZ89"/>
      <c r="CTA89"/>
      <c r="CTB89"/>
      <c r="CTC89"/>
      <c r="CTD89"/>
      <c r="CTE89"/>
      <c r="CTF89"/>
      <c r="CTG89"/>
      <c r="CTH89"/>
      <c r="CTI89"/>
      <c r="CTJ89"/>
      <c r="CTK89"/>
      <c r="CTL89"/>
      <c r="CTM89"/>
      <c r="CTN89"/>
      <c r="CTO89"/>
      <c r="CTP89"/>
      <c r="CTQ89"/>
      <c r="CTR89"/>
      <c r="CTS89"/>
      <c r="CTT89"/>
      <c r="CTU89"/>
      <c r="CTV89"/>
      <c r="CTW89"/>
      <c r="CTX89"/>
      <c r="CTY89"/>
      <c r="CTZ89"/>
      <c r="CUA89"/>
      <c r="CUB89"/>
      <c r="CUC89"/>
      <c r="CUD89"/>
      <c r="CUE89"/>
      <c r="CUF89"/>
      <c r="CUG89"/>
      <c r="CUH89"/>
      <c r="CUI89"/>
      <c r="CUJ89"/>
      <c r="CUK89"/>
      <c r="CUL89"/>
      <c r="CUM89"/>
      <c r="CUN89"/>
      <c r="CUO89"/>
      <c r="CUP89"/>
      <c r="CUQ89"/>
      <c r="CUR89"/>
      <c r="CUS89"/>
      <c r="CUT89"/>
      <c r="CUU89"/>
      <c r="CUV89"/>
      <c r="CUW89"/>
      <c r="CUX89"/>
      <c r="CUY89"/>
      <c r="CUZ89"/>
      <c r="CVA89"/>
      <c r="CVB89"/>
      <c r="CVC89"/>
      <c r="CVD89"/>
      <c r="CVE89"/>
      <c r="CVF89"/>
      <c r="CVG89"/>
      <c r="CVH89"/>
      <c r="CVI89"/>
      <c r="CVJ89"/>
      <c r="CVK89"/>
      <c r="CVL89"/>
      <c r="CVM89"/>
      <c r="CVN89"/>
      <c r="CVO89"/>
      <c r="CVP89"/>
      <c r="CVQ89"/>
      <c r="CVR89"/>
      <c r="CVS89"/>
      <c r="CVT89"/>
      <c r="CVU89"/>
      <c r="CVV89"/>
      <c r="CVW89"/>
      <c r="CVX89"/>
      <c r="CVY89"/>
      <c r="CVZ89"/>
      <c r="CWA89"/>
      <c r="CWB89"/>
      <c r="CWC89"/>
      <c r="CWD89"/>
      <c r="CWE89"/>
      <c r="CWF89"/>
      <c r="CWG89"/>
      <c r="CWH89"/>
      <c r="CWI89"/>
      <c r="CWJ89"/>
      <c r="CWK89"/>
      <c r="CWL89"/>
      <c r="CWM89"/>
      <c r="CWN89"/>
      <c r="CWO89"/>
      <c r="CWP89"/>
      <c r="CWQ89"/>
      <c r="CWR89"/>
      <c r="CWS89"/>
      <c r="CWT89"/>
      <c r="CWU89"/>
      <c r="CWV89"/>
      <c r="CWW89"/>
      <c r="CWX89"/>
      <c r="CWY89"/>
      <c r="CWZ89"/>
      <c r="CXA89"/>
      <c r="CXB89"/>
      <c r="CXC89"/>
      <c r="CXD89"/>
      <c r="CXE89"/>
      <c r="CXF89"/>
      <c r="CXG89"/>
      <c r="CXH89"/>
      <c r="CXI89"/>
      <c r="CXJ89"/>
      <c r="CXK89"/>
      <c r="CXL89"/>
      <c r="CXM89"/>
      <c r="CXN89"/>
      <c r="CXO89"/>
      <c r="CXP89"/>
      <c r="CXQ89"/>
      <c r="CXR89"/>
      <c r="CXS89"/>
      <c r="CXT89"/>
      <c r="CXU89"/>
      <c r="CXV89"/>
      <c r="CXW89"/>
      <c r="CXX89"/>
      <c r="CXY89"/>
      <c r="CXZ89"/>
      <c r="CYA89"/>
      <c r="CYB89"/>
      <c r="CYC89"/>
      <c r="CYD89"/>
      <c r="CYE89"/>
      <c r="CYF89"/>
      <c r="CYG89"/>
      <c r="CYH89"/>
      <c r="CYI89"/>
      <c r="CYJ89"/>
      <c r="CYK89"/>
      <c r="CYL89"/>
      <c r="CYM89"/>
      <c r="CYN89"/>
      <c r="CYO89"/>
      <c r="CYP89"/>
      <c r="CYQ89"/>
      <c r="CYR89"/>
      <c r="CYS89"/>
      <c r="CYT89"/>
      <c r="CYU89"/>
      <c r="CYV89"/>
      <c r="CYW89"/>
      <c r="CYX89"/>
      <c r="CYY89"/>
      <c r="CYZ89"/>
      <c r="CZA89"/>
      <c r="CZB89"/>
      <c r="CZC89"/>
      <c r="CZD89"/>
      <c r="CZE89"/>
      <c r="CZF89"/>
      <c r="CZG89"/>
      <c r="CZH89"/>
      <c r="CZI89"/>
      <c r="CZJ89"/>
      <c r="CZK89"/>
      <c r="CZL89"/>
      <c r="CZM89"/>
      <c r="CZN89"/>
      <c r="CZO89"/>
      <c r="CZP89"/>
      <c r="CZQ89"/>
      <c r="CZR89"/>
      <c r="CZS89"/>
      <c r="CZT89"/>
      <c r="CZU89"/>
      <c r="CZV89"/>
      <c r="CZW89"/>
      <c r="CZX89"/>
      <c r="CZY89"/>
      <c r="CZZ89"/>
      <c r="DAA89"/>
      <c r="DAB89"/>
      <c r="DAC89"/>
      <c r="DAD89"/>
      <c r="DAE89"/>
      <c r="DAF89"/>
      <c r="DAG89"/>
      <c r="DAH89"/>
      <c r="DAI89"/>
      <c r="DAJ89"/>
      <c r="DAK89"/>
      <c r="DAL89"/>
      <c r="DAM89"/>
      <c r="DAN89"/>
      <c r="DAO89"/>
      <c r="DAP89"/>
      <c r="DAQ89"/>
      <c r="DAR89"/>
      <c r="DAS89"/>
      <c r="DAT89"/>
      <c r="DAU89"/>
      <c r="DAV89"/>
      <c r="DAW89"/>
      <c r="DAX89"/>
      <c r="DAY89"/>
      <c r="DAZ89"/>
      <c r="DBA89"/>
      <c r="DBB89"/>
      <c r="DBC89"/>
      <c r="DBD89"/>
      <c r="DBE89"/>
      <c r="DBF89"/>
      <c r="DBG89"/>
      <c r="DBH89"/>
      <c r="DBI89"/>
      <c r="DBJ89"/>
      <c r="DBK89"/>
      <c r="DBL89"/>
      <c r="DBM89"/>
      <c r="DBN89"/>
      <c r="DBO89"/>
      <c r="DBP89"/>
      <c r="DBQ89"/>
      <c r="DBR89"/>
      <c r="DBS89"/>
      <c r="DBT89"/>
      <c r="DBU89"/>
      <c r="DBV89"/>
      <c r="DBW89"/>
      <c r="DBX89"/>
      <c r="DBY89"/>
      <c r="DBZ89"/>
      <c r="DCA89"/>
      <c r="DCB89"/>
      <c r="DCC89"/>
      <c r="DCD89"/>
      <c r="DCE89"/>
      <c r="DCF89"/>
      <c r="DCG89"/>
      <c r="DCH89"/>
      <c r="DCI89"/>
      <c r="DCJ89"/>
      <c r="DCK89"/>
      <c r="DCL89"/>
      <c r="DCM89"/>
      <c r="DCN89"/>
      <c r="DCO89"/>
      <c r="DCP89"/>
      <c r="DCQ89"/>
      <c r="DCR89"/>
      <c r="DCS89"/>
      <c r="DCT89"/>
      <c r="DCU89"/>
      <c r="DCV89"/>
      <c r="DCW89"/>
      <c r="DCX89"/>
      <c r="DCY89"/>
      <c r="DCZ89"/>
      <c r="DDA89"/>
      <c r="DDB89"/>
      <c r="DDC89"/>
      <c r="DDD89"/>
      <c r="DDE89"/>
      <c r="DDF89"/>
      <c r="DDG89"/>
      <c r="DDH89"/>
      <c r="DDI89"/>
      <c r="DDJ89"/>
      <c r="DDK89"/>
      <c r="DDL89"/>
      <c r="DDM89"/>
      <c r="DDN89"/>
      <c r="DDO89"/>
      <c r="DDP89"/>
      <c r="DDQ89"/>
      <c r="DDR89"/>
      <c r="DDS89"/>
      <c r="DDT89"/>
      <c r="DDU89"/>
      <c r="DDV89"/>
      <c r="DDW89"/>
      <c r="DDX89"/>
      <c r="DDY89"/>
      <c r="DDZ89"/>
      <c r="DEA89"/>
      <c r="DEB89"/>
      <c r="DEC89"/>
      <c r="DED89"/>
      <c r="DEE89"/>
      <c r="DEF89"/>
      <c r="DEG89"/>
      <c r="DEH89"/>
      <c r="DEI89"/>
      <c r="DEJ89"/>
      <c r="DEK89"/>
      <c r="DEL89"/>
      <c r="DEM89"/>
      <c r="DEN89"/>
      <c r="DEO89"/>
      <c r="DEP89"/>
      <c r="DEQ89"/>
      <c r="DER89"/>
      <c r="DES89"/>
      <c r="DET89"/>
      <c r="DEU89"/>
      <c r="DEV89"/>
      <c r="DEW89"/>
      <c r="DEX89"/>
      <c r="DEY89"/>
      <c r="DEZ89"/>
      <c r="DFA89"/>
      <c r="DFB89"/>
      <c r="DFC89"/>
      <c r="DFD89"/>
      <c r="DFE89"/>
      <c r="DFF89"/>
      <c r="DFG89"/>
      <c r="DFH89"/>
      <c r="DFI89"/>
      <c r="DFJ89"/>
      <c r="DFK89"/>
      <c r="DFL89"/>
      <c r="DFM89"/>
      <c r="DFN89"/>
      <c r="DFO89"/>
      <c r="DFP89"/>
      <c r="DFQ89"/>
      <c r="DFR89"/>
      <c r="DFS89"/>
      <c r="DFT89"/>
      <c r="DFU89"/>
      <c r="DFV89"/>
      <c r="DFW89"/>
      <c r="DFX89"/>
      <c r="DFY89"/>
      <c r="DFZ89"/>
      <c r="DGA89"/>
      <c r="DGB89"/>
      <c r="DGC89"/>
      <c r="DGD89"/>
      <c r="DGE89"/>
      <c r="DGF89"/>
      <c r="DGG89"/>
      <c r="DGH89"/>
      <c r="DGI89"/>
      <c r="DGJ89"/>
      <c r="DGK89"/>
      <c r="DGL89"/>
      <c r="DGM89"/>
      <c r="DGN89"/>
      <c r="DGO89"/>
      <c r="DGP89"/>
      <c r="DGQ89"/>
      <c r="DGR89"/>
      <c r="DGS89"/>
      <c r="DGT89"/>
      <c r="DGU89"/>
      <c r="DGV89"/>
      <c r="DGW89"/>
      <c r="DGX89"/>
      <c r="DGY89"/>
      <c r="DGZ89"/>
      <c r="DHA89"/>
      <c r="DHB89"/>
      <c r="DHC89"/>
      <c r="DHD89"/>
      <c r="DHE89"/>
      <c r="DHF89"/>
      <c r="DHG89"/>
      <c r="DHH89"/>
      <c r="DHI89"/>
      <c r="DHJ89"/>
      <c r="DHK89"/>
      <c r="DHL89"/>
      <c r="DHM89"/>
      <c r="DHN89"/>
      <c r="DHO89"/>
      <c r="DHP89"/>
      <c r="DHQ89"/>
      <c r="DHR89"/>
      <c r="DHS89"/>
      <c r="DHT89"/>
      <c r="DHU89"/>
      <c r="DHV89"/>
      <c r="DHW89"/>
      <c r="DHX89"/>
      <c r="DHY89"/>
      <c r="DHZ89"/>
      <c r="DIA89"/>
      <c r="DIB89"/>
      <c r="DIC89"/>
      <c r="DID89"/>
      <c r="DIE89"/>
      <c r="DIF89"/>
      <c r="DIG89"/>
      <c r="DIH89"/>
      <c r="DII89"/>
      <c r="DIJ89"/>
      <c r="DIK89"/>
      <c r="DIL89"/>
      <c r="DIM89"/>
      <c r="DIN89"/>
      <c r="DIO89"/>
      <c r="DIP89"/>
      <c r="DIQ89"/>
      <c r="DIR89"/>
      <c r="DIS89"/>
      <c r="DIT89"/>
      <c r="DIU89"/>
      <c r="DIV89"/>
      <c r="DIW89"/>
      <c r="DIX89"/>
      <c r="DIY89"/>
      <c r="DIZ89"/>
      <c r="DJA89"/>
      <c r="DJB89"/>
      <c r="DJC89"/>
      <c r="DJD89"/>
      <c r="DJE89"/>
      <c r="DJF89"/>
      <c r="DJG89"/>
      <c r="DJH89"/>
      <c r="DJI89"/>
      <c r="DJJ89"/>
      <c r="DJK89"/>
      <c r="DJL89"/>
      <c r="DJM89"/>
      <c r="DJN89"/>
      <c r="DJO89"/>
      <c r="DJP89"/>
      <c r="DJQ89"/>
      <c r="DJR89"/>
      <c r="DJS89"/>
      <c r="DJT89"/>
      <c r="DJU89"/>
      <c r="DJV89"/>
      <c r="DJW89"/>
      <c r="DJX89"/>
      <c r="DJY89"/>
      <c r="DJZ89"/>
      <c r="DKA89"/>
      <c r="DKB89"/>
      <c r="DKC89"/>
      <c r="DKD89"/>
      <c r="DKE89"/>
      <c r="DKF89"/>
      <c r="DKG89"/>
      <c r="DKH89"/>
      <c r="DKI89"/>
      <c r="DKJ89"/>
      <c r="DKK89"/>
      <c r="DKL89"/>
      <c r="DKM89"/>
      <c r="DKN89"/>
      <c r="DKO89"/>
      <c r="DKP89"/>
      <c r="DKQ89"/>
      <c r="DKR89"/>
      <c r="DKS89"/>
      <c r="DKT89"/>
      <c r="DKU89"/>
      <c r="DKV89"/>
      <c r="DKW89"/>
      <c r="DKX89"/>
      <c r="DKY89"/>
      <c r="DKZ89"/>
      <c r="DLA89"/>
      <c r="DLB89"/>
      <c r="DLC89"/>
      <c r="DLD89"/>
      <c r="DLE89"/>
      <c r="DLF89"/>
      <c r="DLG89"/>
      <c r="DLH89"/>
      <c r="DLI89"/>
      <c r="DLJ89"/>
      <c r="DLK89"/>
      <c r="DLL89"/>
      <c r="DLM89"/>
      <c r="DLN89"/>
      <c r="DLO89"/>
      <c r="DLP89"/>
      <c r="DLQ89"/>
      <c r="DLR89"/>
      <c r="DLS89"/>
      <c r="DLT89"/>
      <c r="DLU89"/>
      <c r="DLV89"/>
      <c r="DLW89"/>
      <c r="DLX89"/>
      <c r="DLY89"/>
      <c r="DLZ89"/>
      <c r="DMA89"/>
      <c r="DMB89"/>
      <c r="DMC89"/>
      <c r="DMD89"/>
      <c r="DME89"/>
      <c r="DMF89"/>
      <c r="DMG89"/>
      <c r="DMH89"/>
      <c r="DMI89"/>
      <c r="DMJ89"/>
      <c r="DMK89"/>
      <c r="DML89"/>
      <c r="DMM89"/>
      <c r="DMN89"/>
      <c r="DMO89"/>
      <c r="DMP89"/>
      <c r="DMQ89"/>
      <c r="DMR89"/>
      <c r="DMS89"/>
      <c r="DMT89"/>
      <c r="DMU89"/>
      <c r="DMV89"/>
      <c r="DMW89"/>
      <c r="DMX89"/>
      <c r="DMY89"/>
      <c r="DMZ89"/>
      <c r="DNA89"/>
      <c r="DNB89"/>
      <c r="DNC89"/>
      <c r="DND89"/>
      <c r="DNE89"/>
      <c r="DNF89"/>
      <c r="DNG89"/>
      <c r="DNH89"/>
      <c r="DNI89"/>
      <c r="DNJ89"/>
      <c r="DNK89"/>
      <c r="DNL89"/>
      <c r="DNM89"/>
      <c r="DNN89"/>
      <c r="DNO89"/>
      <c r="DNP89"/>
      <c r="DNQ89"/>
      <c r="DNR89"/>
      <c r="DNS89"/>
      <c r="DNT89"/>
      <c r="DNU89"/>
      <c r="DNV89"/>
      <c r="DNW89"/>
      <c r="DNX89"/>
      <c r="DNY89"/>
      <c r="DNZ89"/>
      <c r="DOA89"/>
      <c r="DOB89"/>
      <c r="DOC89"/>
      <c r="DOD89"/>
      <c r="DOE89"/>
      <c r="DOF89"/>
      <c r="DOG89"/>
      <c r="DOH89"/>
      <c r="DOI89"/>
      <c r="DOJ89"/>
      <c r="DOK89"/>
      <c r="DOL89"/>
      <c r="DOM89"/>
      <c r="DON89"/>
      <c r="DOO89"/>
      <c r="DOP89"/>
      <c r="DOQ89"/>
      <c r="DOR89"/>
      <c r="DOS89"/>
      <c r="DOT89"/>
      <c r="DOU89"/>
      <c r="DOV89"/>
      <c r="DOW89"/>
      <c r="DOX89"/>
      <c r="DOY89"/>
      <c r="DOZ89"/>
      <c r="DPA89"/>
      <c r="DPB89"/>
      <c r="DPC89"/>
      <c r="DPD89"/>
      <c r="DPE89"/>
      <c r="DPF89"/>
      <c r="DPG89"/>
      <c r="DPH89"/>
      <c r="DPI89"/>
      <c r="DPJ89"/>
      <c r="DPK89"/>
      <c r="DPL89"/>
      <c r="DPM89"/>
      <c r="DPN89"/>
      <c r="DPO89"/>
      <c r="DPP89"/>
      <c r="DPQ89"/>
      <c r="DPR89"/>
      <c r="DPS89"/>
      <c r="DPT89"/>
      <c r="DPU89"/>
      <c r="DPV89"/>
      <c r="DPW89"/>
      <c r="DPX89"/>
      <c r="DPY89"/>
      <c r="DPZ89"/>
      <c r="DQA89"/>
      <c r="DQB89"/>
      <c r="DQC89"/>
      <c r="DQD89"/>
      <c r="DQE89"/>
      <c r="DQF89"/>
      <c r="DQG89"/>
      <c r="DQH89"/>
      <c r="DQI89"/>
      <c r="DQJ89"/>
      <c r="DQK89"/>
      <c r="DQL89"/>
      <c r="DQM89"/>
      <c r="DQN89"/>
      <c r="DQO89"/>
      <c r="DQP89"/>
      <c r="DQQ89"/>
      <c r="DQR89"/>
      <c r="DQS89"/>
      <c r="DQT89"/>
      <c r="DQU89"/>
      <c r="DQV89"/>
      <c r="DQW89"/>
      <c r="DQX89"/>
      <c r="DQY89"/>
      <c r="DQZ89"/>
      <c r="DRA89"/>
      <c r="DRB89"/>
      <c r="DRC89"/>
      <c r="DRD89"/>
      <c r="DRE89"/>
      <c r="DRF89"/>
      <c r="DRG89"/>
      <c r="DRH89"/>
      <c r="DRI89"/>
      <c r="DRJ89"/>
      <c r="DRK89"/>
      <c r="DRL89"/>
      <c r="DRM89"/>
      <c r="DRN89"/>
      <c r="DRO89"/>
      <c r="DRP89"/>
      <c r="DRQ89"/>
      <c r="DRR89"/>
      <c r="DRS89"/>
      <c r="DRT89"/>
      <c r="DRU89"/>
      <c r="DRV89"/>
      <c r="DRW89"/>
      <c r="DRX89"/>
      <c r="DRY89"/>
      <c r="DRZ89"/>
      <c r="DSA89"/>
      <c r="DSB89"/>
      <c r="DSC89"/>
      <c r="DSD89"/>
      <c r="DSE89"/>
      <c r="DSF89"/>
      <c r="DSG89"/>
      <c r="DSH89"/>
      <c r="DSI89"/>
      <c r="DSJ89"/>
      <c r="DSK89"/>
      <c r="DSL89"/>
      <c r="DSM89"/>
      <c r="DSN89"/>
      <c r="DSO89"/>
      <c r="DSP89"/>
      <c r="DSQ89"/>
      <c r="DSR89"/>
      <c r="DSS89"/>
      <c r="DST89"/>
      <c r="DSU89"/>
      <c r="DSV89"/>
      <c r="DSW89"/>
      <c r="DSX89"/>
      <c r="DSY89"/>
      <c r="DSZ89"/>
      <c r="DTA89"/>
      <c r="DTB89"/>
      <c r="DTC89"/>
      <c r="DTD89"/>
      <c r="DTE89"/>
      <c r="DTF89"/>
      <c r="DTG89"/>
      <c r="DTH89"/>
      <c r="DTI89"/>
      <c r="DTJ89"/>
      <c r="DTK89"/>
      <c r="DTL89"/>
      <c r="DTM89"/>
      <c r="DTN89"/>
      <c r="DTO89"/>
      <c r="DTP89"/>
      <c r="DTQ89"/>
      <c r="DTR89"/>
      <c r="DTS89"/>
      <c r="DTT89"/>
      <c r="DTU89"/>
      <c r="DTV89"/>
      <c r="DTW89"/>
      <c r="DTX89"/>
      <c r="DTY89"/>
      <c r="DTZ89"/>
      <c r="DUA89"/>
      <c r="DUB89"/>
      <c r="DUC89"/>
      <c r="DUD89"/>
      <c r="DUE89"/>
      <c r="DUF89"/>
      <c r="DUG89"/>
      <c r="DUH89"/>
      <c r="DUI89"/>
      <c r="DUJ89"/>
      <c r="DUK89"/>
      <c r="DUL89"/>
      <c r="DUM89"/>
      <c r="DUN89"/>
      <c r="DUO89"/>
      <c r="DUP89"/>
      <c r="DUQ89"/>
      <c r="DUR89"/>
      <c r="DUS89"/>
      <c r="DUT89"/>
      <c r="DUU89"/>
      <c r="DUV89"/>
      <c r="DUW89"/>
      <c r="DUX89"/>
      <c r="DUY89"/>
      <c r="DUZ89"/>
      <c r="DVA89"/>
      <c r="DVB89"/>
      <c r="DVC89"/>
      <c r="DVD89"/>
      <c r="DVE89"/>
      <c r="DVF89"/>
      <c r="DVG89"/>
      <c r="DVH89"/>
      <c r="DVI89"/>
      <c r="DVJ89"/>
      <c r="DVK89"/>
      <c r="DVL89"/>
      <c r="DVM89"/>
      <c r="DVN89"/>
      <c r="DVO89"/>
      <c r="DVP89"/>
      <c r="DVQ89"/>
      <c r="DVR89"/>
      <c r="DVS89"/>
      <c r="DVT89"/>
      <c r="DVU89"/>
      <c r="DVV89"/>
      <c r="DVW89"/>
      <c r="DVX89"/>
      <c r="DVY89"/>
      <c r="DVZ89"/>
      <c r="DWA89"/>
      <c r="DWB89"/>
      <c r="DWC89"/>
      <c r="DWD89"/>
      <c r="DWE89"/>
      <c r="DWF89"/>
      <c r="DWG89"/>
      <c r="DWH89"/>
      <c r="DWI89"/>
      <c r="DWJ89"/>
      <c r="DWK89"/>
      <c r="DWL89"/>
      <c r="DWM89"/>
      <c r="DWN89"/>
      <c r="DWO89"/>
      <c r="DWP89"/>
      <c r="DWQ89"/>
      <c r="DWR89"/>
      <c r="DWS89"/>
      <c r="DWT89"/>
      <c r="DWU89"/>
      <c r="DWV89"/>
      <c r="DWW89"/>
      <c r="DWX89"/>
      <c r="DWY89"/>
      <c r="DWZ89"/>
      <c r="DXA89"/>
      <c r="DXB89"/>
      <c r="DXC89"/>
      <c r="DXD89"/>
      <c r="DXE89"/>
      <c r="DXF89"/>
      <c r="DXG89"/>
      <c r="DXH89"/>
      <c r="DXI89"/>
      <c r="DXJ89"/>
      <c r="DXK89"/>
      <c r="DXL89"/>
      <c r="DXM89"/>
      <c r="DXN89"/>
      <c r="DXO89"/>
      <c r="DXP89"/>
      <c r="DXQ89"/>
      <c r="DXR89"/>
      <c r="DXS89"/>
      <c r="DXT89"/>
      <c r="DXU89"/>
      <c r="DXV89"/>
      <c r="DXW89"/>
      <c r="DXX89"/>
      <c r="DXY89"/>
      <c r="DXZ89"/>
      <c r="DYA89"/>
      <c r="DYB89"/>
      <c r="DYC89"/>
      <c r="DYD89"/>
      <c r="DYE89"/>
      <c r="DYF89"/>
      <c r="DYG89"/>
      <c r="DYH89"/>
      <c r="DYI89"/>
      <c r="DYJ89"/>
      <c r="DYK89"/>
      <c r="DYL89"/>
      <c r="DYM89"/>
      <c r="DYN89"/>
      <c r="DYO89"/>
      <c r="DYP89"/>
      <c r="DYQ89"/>
      <c r="DYR89"/>
      <c r="DYS89"/>
      <c r="DYT89"/>
      <c r="DYU89"/>
      <c r="DYV89"/>
      <c r="DYW89"/>
      <c r="DYX89"/>
      <c r="DYY89"/>
      <c r="DYZ89"/>
      <c r="DZA89"/>
      <c r="DZB89"/>
      <c r="DZC89"/>
      <c r="DZD89"/>
      <c r="DZE89"/>
      <c r="DZF89"/>
      <c r="DZG89"/>
      <c r="DZH89"/>
      <c r="DZI89"/>
      <c r="DZJ89"/>
      <c r="DZK89"/>
      <c r="DZL89"/>
      <c r="DZM89"/>
      <c r="DZN89"/>
      <c r="DZO89"/>
      <c r="DZP89"/>
      <c r="DZQ89"/>
      <c r="DZR89"/>
      <c r="DZS89"/>
      <c r="DZT89"/>
      <c r="DZU89"/>
      <c r="DZV89"/>
      <c r="DZW89"/>
      <c r="DZX89"/>
      <c r="DZY89"/>
      <c r="DZZ89"/>
      <c r="EAA89"/>
      <c r="EAB89"/>
      <c r="EAC89"/>
      <c r="EAD89"/>
      <c r="EAE89"/>
      <c r="EAF89"/>
      <c r="EAG89"/>
      <c r="EAH89"/>
      <c r="EAI89"/>
      <c r="EAJ89"/>
      <c r="EAK89"/>
      <c r="EAL89"/>
      <c r="EAM89"/>
      <c r="EAN89"/>
      <c r="EAO89"/>
      <c r="EAP89"/>
      <c r="EAQ89"/>
      <c r="EAR89"/>
      <c r="EAS89"/>
      <c r="EAT89"/>
      <c r="EAU89"/>
      <c r="EAV89"/>
      <c r="EAW89"/>
      <c r="EAX89"/>
      <c r="EAY89"/>
      <c r="EAZ89"/>
      <c r="EBA89"/>
      <c r="EBB89"/>
      <c r="EBC89"/>
      <c r="EBD89"/>
      <c r="EBE89"/>
      <c r="EBF89"/>
      <c r="EBG89"/>
      <c r="EBH89"/>
      <c r="EBI89"/>
      <c r="EBJ89"/>
      <c r="EBK89"/>
      <c r="EBL89"/>
      <c r="EBM89"/>
      <c r="EBN89"/>
      <c r="EBO89"/>
      <c r="EBP89"/>
      <c r="EBQ89"/>
      <c r="EBR89"/>
      <c r="EBS89"/>
      <c r="EBT89"/>
      <c r="EBU89"/>
      <c r="EBV89"/>
      <c r="EBW89"/>
      <c r="EBX89"/>
      <c r="EBY89"/>
      <c r="EBZ89"/>
      <c r="ECA89"/>
      <c r="ECB89"/>
      <c r="ECC89"/>
      <c r="ECD89"/>
      <c r="ECE89"/>
      <c r="ECF89"/>
      <c r="ECG89"/>
      <c r="ECH89"/>
      <c r="ECI89"/>
      <c r="ECJ89"/>
      <c r="ECK89"/>
      <c r="ECL89"/>
      <c r="ECM89"/>
      <c r="ECN89"/>
      <c r="ECO89"/>
      <c r="ECP89"/>
      <c r="ECQ89"/>
      <c r="ECR89"/>
      <c r="ECS89"/>
      <c r="ECT89"/>
      <c r="ECU89"/>
      <c r="ECV89"/>
      <c r="ECW89"/>
      <c r="ECX89"/>
      <c r="ECY89"/>
      <c r="ECZ89"/>
      <c r="EDA89"/>
      <c r="EDB89"/>
      <c r="EDC89"/>
      <c r="EDD89"/>
      <c r="EDE89"/>
      <c r="EDF89"/>
      <c r="EDG89"/>
      <c r="EDH89"/>
      <c r="EDI89"/>
      <c r="EDJ89"/>
      <c r="EDK89"/>
      <c r="EDL89"/>
      <c r="EDM89"/>
      <c r="EDN89"/>
      <c r="EDO89"/>
      <c r="EDP89"/>
      <c r="EDQ89"/>
      <c r="EDR89"/>
      <c r="EDS89"/>
      <c r="EDT89"/>
      <c r="EDU89"/>
      <c r="EDV89"/>
      <c r="EDW89"/>
      <c r="EDX89"/>
      <c r="EDY89"/>
      <c r="EDZ89"/>
      <c r="EEA89"/>
      <c r="EEB89"/>
      <c r="EEC89"/>
      <c r="EED89"/>
      <c r="EEE89"/>
      <c r="EEF89"/>
      <c r="EEG89"/>
      <c r="EEH89"/>
      <c r="EEI89"/>
      <c r="EEJ89"/>
      <c r="EEK89"/>
      <c r="EEL89"/>
      <c r="EEM89"/>
      <c r="EEN89"/>
      <c r="EEO89"/>
      <c r="EEP89"/>
      <c r="EEQ89"/>
      <c r="EER89"/>
      <c r="EES89"/>
      <c r="EET89"/>
      <c r="EEU89"/>
      <c r="EEV89"/>
      <c r="EEW89"/>
      <c r="EEX89"/>
      <c r="EEY89"/>
      <c r="EEZ89"/>
      <c r="EFA89"/>
      <c r="EFB89"/>
      <c r="EFC89"/>
      <c r="EFD89"/>
      <c r="EFE89"/>
      <c r="EFF89"/>
      <c r="EFG89"/>
      <c r="EFH89"/>
      <c r="EFI89"/>
      <c r="EFJ89"/>
      <c r="EFK89"/>
      <c r="EFL89"/>
      <c r="EFM89"/>
      <c r="EFN89"/>
      <c r="EFO89"/>
      <c r="EFP89"/>
      <c r="EFQ89"/>
      <c r="EFR89"/>
      <c r="EFS89"/>
      <c r="EFT89"/>
      <c r="EFU89"/>
      <c r="EFV89"/>
      <c r="EFW89"/>
      <c r="EFX89"/>
      <c r="EFY89"/>
      <c r="EFZ89"/>
      <c r="EGA89"/>
      <c r="EGB89"/>
      <c r="EGC89"/>
      <c r="EGD89"/>
      <c r="EGE89"/>
      <c r="EGF89"/>
      <c r="EGG89"/>
      <c r="EGH89"/>
      <c r="EGI89"/>
      <c r="EGJ89"/>
      <c r="EGK89"/>
      <c r="EGL89"/>
      <c r="EGM89"/>
      <c r="EGN89"/>
      <c r="EGO89"/>
      <c r="EGP89"/>
      <c r="EGQ89"/>
      <c r="EGR89"/>
      <c r="EGS89"/>
      <c r="EGT89"/>
      <c r="EGU89"/>
      <c r="EGV89"/>
      <c r="EGW89"/>
      <c r="EGX89"/>
      <c r="EGY89"/>
      <c r="EGZ89"/>
      <c r="EHA89"/>
      <c r="EHB89"/>
      <c r="EHC89"/>
      <c r="EHD89"/>
      <c r="EHE89"/>
      <c r="EHF89"/>
      <c r="EHG89"/>
      <c r="EHH89"/>
      <c r="EHI89"/>
      <c r="EHJ89"/>
      <c r="EHK89"/>
      <c r="EHL89"/>
      <c r="EHM89"/>
      <c r="EHN89"/>
      <c r="EHO89"/>
      <c r="EHP89"/>
      <c r="EHQ89"/>
      <c r="EHR89"/>
      <c r="EHS89"/>
      <c r="EHT89"/>
      <c r="EHU89"/>
      <c r="EHV89"/>
      <c r="EHW89"/>
      <c r="EHX89"/>
      <c r="EHY89"/>
      <c r="EHZ89"/>
      <c r="EIA89"/>
      <c r="EIB89"/>
      <c r="EIC89"/>
      <c r="EID89"/>
      <c r="EIE89"/>
      <c r="EIF89"/>
      <c r="EIG89"/>
      <c r="EIH89"/>
      <c r="EII89"/>
      <c r="EIJ89"/>
      <c r="EIK89"/>
      <c r="EIL89"/>
      <c r="EIM89"/>
      <c r="EIN89"/>
      <c r="EIO89"/>
      <c r="EIP89"/>
      <c r="EIQ89"/>
      <c r="EIR89"/>
      <c r="EIS89"/>
      <c r="EIT89"/>
      <c r="EIU89"/>
      <c r="EIV89"/>
      <c r="EIW89"/>
      <c r="EIX89"/>
      <c r="EIY89"/>
      <c r="EIZ89"/>
      <c r="EJA89"/>
      <c r="EJB89"/>
      <c r="EJC89"/>
      <c r="EJD89"/>
      <c r="EJE89"/>
      <c r="EJF89"/>
      <c r="EJG89"/>
      <c r="EJH89"/>
      <c r="EJI89"/>
      <c r="EJJ89"/>
      <c r="EJK89"/>
      <c r="EJL89"/>
      <c r="EJM89"/>
      <c r="EJN89"/>
      <c r="EJO89"/>
      <c r="EJP89"/>
      <c r="EJQ89"/>
      <c r="EJR89"/>
      <c r="EJS89"/>
      <c r="EJT89"/>
      <c r="EJU89"/>
      <c r="EJV89"/>
      <c r="EJW89"/>
      <c r="EJX89"/>
      <c r="EJY89"/>
      <c r="EJZ89"/>
      <c r="EKA89"/>
      <c r="EKB89"/>
      <c r="EKC89"/>
      <c r="EKD89"/>
      <c r="EKE89"/>
      <c r="EKF89"/>
      <c r="EKG89"/>
      <c r="EKH89"/>
      <c r="EKI89"/>
      <c r="EKJ89"/>
      <c r="EKK89"/>
      <c r="EKL89"/>
      <c r="EKM89"/>
      <c r="EKN89"/>
      <c r="EKO89"/>
      <c r="EKP89"/>
      <c r="EKQ89"/>
      <c r="EKR89"/>
      <c r="EKS89"/>
      <c r="EKT89"/>
      <c r="EKU89"/>
      <c r="EKV89"/>
      <c r="EKW89"/>
      <c r="EKX89"/>
      <c r="EKY89"/>
      <c r="EKZ89"/>
      <c r="ELA89"/>
      <c r="ELB89"/>
      <c r="ELC89"/>
      <c r="ELD89"/>
      <c r="ELE89"/>
      <c r="ELF89"/>
      <c r="ELG89"/>
      <c r="ELH89"/>
      <c r="ELI89"/>
      <c r="ELJ89"/>
      <c r="ELK89"/>
      <c r="ELL89"/>
      <c r="ELM89"/>
      <c r="ELN89"/>
      <c r="ELO89"/>
      <c r="ELP89"/>
      <c r="ELQ89"/>
      <c r="ELR89"/>
      <c r="ELS89"/>
      <c r="ELT89"/>
      <c r="ELU89"/>
      <c r="ELV89"/>
      <c r="ELW89"/>
      <c r="ELX89"/>
      <c r="ELY89"/>
      <c r="ELZ89"/>
      <c r="EMA89"/>
      <c r="EMB89"/>
      <c r="EMC89"/>
      <c r="EMD89"/>
      <c r="EME89"/>
      <c r="EMF89"/>
      <c r="EMG89"/>
      <c r="EMH89"/>
      <c r="EMI89"/>
      <c r="EMJ89"/>
      <c r="EMK89"/>
      <c r="EML89"/>
      <c r="EMM89"/>
      <c r="EMN89"/>
      <c r="EMO89"/>
      <c r="EMP89"/>
      <c r="EMQ89"/>
      <c r="EMR89"/>
      <c r="EMS89"/>
      <c r="EMT89"/>
      <c r="EMU89"/>
      <c r="EMV89"/>
      <c r="EMW89"/>
      <c r="EMX89"/>
      <c r="EMY89"/>
      <c r="EMZ89"/>
      <c r="ENA89"/>
      <c r="ENB89"/>
      <c r="ENC89"/>
      <c r="END89"/>
      <c r="ENE89"/>
      <c r="ENF89"/>
      <c r="ENG89"/>
      <c r="ENH89"/>
      <c r="ENI89"/>
      <c r="ENJ89"/>
      <c r="ENK89"/>
      <c r="ENL89"/>
      <c r="ENM89"/>
      <c r="ENN89"/>
      <c r="ENO89"/>
      <c r="ENP89"/>
      <c r="ENQ89"/>
      <c r="ENR89"/>
      <c r="ENS89"/>
      <c r="ENT89"/>
      <c r="ENU89"/>
      <c r="ENV89"/>
      <c r="ENW89"/>
      <c r="ENX89"/>
      <c r="ENY89"/>
      <c r="ENZ89"/>
      <c r="EOA89"/>
      <c r="EOB89"/>
      <c r="EOC89"/>
      <c r="EOD89"/>
      <c r="EOE89"/>
      <c r="EOF89"/>
      <c r="EOG89"/>
      <c r="EOH89"/>
      <c r="EOI89"/>
      <c r="EOJ89"/>
      <c r="EOK89"/>
      <c r="EOL89"/>
      <c r="EOM89"/>
      <c r="EON89"/>
      <c r="EOO89"/>
      <c r="EOP89"/>
      <c r="EOQ89"/>
      <c r="EOR89"/>
      <c r="EOS89"/>
      <c r="EOT89"/>
      <c r="EOU89"/>
      <c r="EOV89"/>
      <c r="EOW89"/>
      <c r="EOX89"/>
      <c r="EOY89"/>
      <c r="EOZ89"/>
      <c r="EPA89"/>
      <c r="EPB89"/>
      <c r="EPC89"/>
      <c r="EPD89"/>
      <c r="EPE89"/>
      <c r="EPF89"/>
      <c r="EPG89"/>
      <c r="EPH89"/>
      <c r="EPI89"/>
      <c r="EPJ89"/>
      <c r="EPK89"/>
      <c r="EPL89"/>
      <c r="EPM89"/>
      <c r="EPN89"/>
      <c r="EPO89"/>
      <c r="EPP89"/>
      <c r="EPQ89"/>
      <c r="EPR89"/>
      <c r="EPS89"/>
      <c r="EPT89"/>
      <c r="EPU89"/>
      <c r="EPV89"/>
      <c r="EPW89"/>
      <c r="EPX89"/>
      <c r="EPY89"/>
      <c r="EPZ89"/>
      <c r="EQA89"/>
      <c r="EQB89"/>
      <c r="EQC89"/>
      <c r="EQD89"/>
      <c r="EQE89"/>
      <c r="EQF89"/>
      <c r="EQG89"/>
      <c r="EQH89"/>
      <c r="EQI89"/>
      <c r="EQJ89"/>
      <c r="EQK89"/>
      <c r="EQL89"/>
      <c r="EQM89"/>
      <c r="EQN89"/>
      <c r="EQO89"/>
      <c r="EQP89"/>
      <c r="EQQ89"/>
      <c r="EQR89"/>
      <c r="EQS89"/>
      <c r="EQT89"/>
      <c r="EQU89"/>
      <c r="EQV89"/>
      <c r="EQW89"/>
      <c r="EQX89"/>
      <c r="EQY89"/>
      <c r="EQZ89"/>
      <c r="ERA89"/>
      <c r="ERB89"/>
      <c r="ERC89"/>
      <c r="ERD89"/>
      <c r="ERE89"/>
      <c r="ERF89"/>
      <c r="ERG89"/>
      <c r="ERH89"/>
      <c r="ERI89"/>
      <c r="ERJ89"/>
      <c r="ERK89"/>
      <c r="ERL89"/>
      <c r="ERM89"/>
      <c r="ERN89"/>
      <c r="ERO89"/>
      <c r="ERP89"/>
      <c r="ERQ89"/>
      <c r="ERR89"/>
      <c r="ERS89"/>
      <c r="ERT89"/>
      <c r="ERU89"/>
      <c r="ERV89"/>
      <c r="ERW89"/>
      <c r="ERX89"/>
      <c r="ERY89"/>
      <c r="ERZ89"/>
      <c r="ESA89"/>
      <c r="ESB89"/>
      <c r="ESC89"/>
      <c r="ESD89"/>
      <c r="ESE89"/>
      <c r="ESF89"/>
      <c r="ESG89"/>
      <c r="ESH89"/>
      <c r="ESI89"/>
      <c r="ESJ89"/>
      <c r="ESK89"/>
      <c r="ESL89"/>
      <c r="ESM89"/>
      <c r="ESN89"/>
      <c r="ESO89"/>
      <c r="ESP89"/>
      <c r="ESQ89"/>
      <c r="ESR89"/>
      <c r="ESS89"/>
      <c r="EST89"/>
      <c r="ESU89"/>
      <c r="ESV89"/>
      <c r="ESW89"/>
      <c r="ESX89"/>
      <c r="ESY89"/>
      <c r="ESZ89"/>
      <c r="ETA89"/>
      <c r="ETB89"/>
      <c r="ETC89"/>
      <c r="ETD89"/>
      <c r="ETE89"/>
      <c r="ETF89"/>
      <c r="ETG89"/>
      <c r="ETH89"/>
      <c r="ETI89"/>
      <c r="ETJ89"/>
      <c r="ETK89"/>
      <c r="ETL89"/>
      <c r="ETM89"/>
      <c r="ETN89"/>
      <c r="ETO89"/>
      <c r="ETP89"/>
      <c r="ETQ89"/>
      <c r="ETR89"/>
      <c r="ETS89"/>
      <c r="ETT89"/>
      <c r="ETU89"/>
      <c r="ETV89"/>
      <c r="ETW89"/>
      <c r="ETX89"/>
      <c r="ETY89"/>
      <c r="ETZ89"/>
      <c r="EUA89"/>
      <c r="EUB89"/>
      <c r="EUC89"/>
      <c r="EUD89"/>
      <c r="EUE89"/>
      <c r="EUF89"/>
      <c r="EUG89"/>
      <c r="EUH89"/>
      <c r="EUI89"/>
      <c r="EUJ89"/>
      <c r="EUK89"/>
      <c r="EUL89"/>
      <c r="EUM89"/>
      <c r="EUN89"/>
      <c r="EUO89"/>
      <c r="EUP89"/>
      <c r="EUQ89"/>
      <c r="EUR89"/>
      <c r="EUS89"/>
      <c r="EUT89"/>
      <c r="EUU89"/>
      <c r="EUV89"/>
      <c r="EUW89"/>
      <c r="EUX89"/>
      <c r="EUY89"/>
      <c r="EUZ89"/>
      <c r="EVA89"/>
      <c r="EVB89"/>
      <c r="EVC89"/>
      <c r="EVD89"/>
      <c r="EVE89"/>
      <c r="EVF89"/>
      <c r="EVG89"/>
      <c r="EVH89"/>
      <c r="EVI89"/>
      <c r="EVJ89"/>
      <c r="EVK89"/>
      <c r="EVL89"/>
      <c r="EVM89"/>
      <c r="EVN89"/>
      <c r="EVO89"/>
      <c r="EVP89"/>
      <c r="EVQ89"/>
      <c r="EVR89"/>
      <c r="EVS89"/>
      <c r="EVT89"/>
      <c r="EVU89"/>
      <c r="EVV89"/>
      <c r="EVW89"/>
      <c r="EVX89"/>
      <c r="EVY89"/>
      <c r="EVZ89"/>
      <c r="EWA89"/>
      <c r="EWB89"/>
      <c r="EWC89"/>
      <c r="EWD89"/>
      <c r="EWE89"/>
      <c r="EWF89"/>
      <c r="EWG89"/>
      <c r="EWH89"/>
      <c r="EWI89"/>
      <c r="EWJ89"/>
      <c r="EWK89"/>
      <c r="EWL89"/>
      <c r="EWM89"/>
      <c r="EWN89"/>
      <c r="EWO89"/>
      <c r="EWP89"/>
      <c r="EWQ89"/>
      <c r="EWR89"/>
      <c r="EWS89"/>
      <c r="EWT89"/>
      <c r="EWU89"/>
      <c r="EWV89"/>
      <c r="EWW89"/>
      <c r="EWX89"/>
      <c r="EWY89"/>
      <c r="EWZ89"/>
      <c r="EXA89"/>
      <c r="EXB89"/>
      <c r="EXC89"/>
      <c r="EXD89"/>
      <c r="EXE89"/>
      <c r="EXF89"/>
      <c r="EXG89"/>
      <c r="EXH89"/>
      <c r="EXI89"/>
      <c r="EXJ89"/>
      <c r="EXK89"/>
      <c r="EXL89"/>
      <c r="EXM89"/>
      <c r="EXN89"/>
      <c r="EXO89"/>
      <c r="EXP89"/>
      <c r="EXQ89"/>
      <c r="EXR89"/>
      <c r="EXS89"/>
      <c r="EXT89"/>
      <c r="EXU89"/>
      <c r="EXV89"/>
      <c r="EXW89"/>
      <c r="EXX89"/>
      <c r="EXY89"/>
      <c r="EXZ89"/>
      <c r="EYA89"/>
      <c r="EYB89"/>
      <c r="EYC89"/>
      <c r="EYD89"/>
      <c r="EYE89"/>
      <c r="EYF89"/>
      <c r="EYG89"/>
      <c r="EYH89"/>
      <c r="EYI89"/>
      <c r="EYJ89"/>
      <c r="EYK89"/>
      <c r="EYL89"/>
      <c r="EYM89"/>
      <c r="EYN89"/>
      <c r="EYO89"/>
      <c r="EYP89"/>
      <c r="EYQ89"/>
      <c r="EYR89"/>
      <c r="EYS89"/>
      <c r="EYT89"/>
      <c r="EYU89"/>
      <c r="EYV89"/>
      <c r="EYW89"/>
      <c r="EYX89"/>
      <c r="EYY89"/>
      <c r="EYZ89"/>
      <c r="EZA89"/>
      <c r="EZB89"/>
      <c r="EZC89"/>
      <c r="EZD89"/>
      <c r="EZE89"/>
      <c r="EZF89"/>
      <c r="EZG89"/>
      <c r="EZH89"/>
      <c r="EZI89"/>
      <c r="EZJ89"/>
      <c r="EZK89"/>
      <c r="EZL89"/>
      <c r="EZM89"/>
      <c r="EZN89"/>
      <c r="EZO89"/>
      <c r="EZP89"/>
      <c r="EZQ89"/>
      <c r="EZR89"/>
      <c r="EZS89"/>
      <c r="EZT89"/>
      <c r="EZU89"/>
      <c r="EZV89"/>
      <c r="EZW89"/>
      <c r="EZX89"/>
      <c r="EZY89"/>
      <c r="EZZ89"/>
      <c r="FAA89"/>
      <c r="FAB89"/>
      <c r="FAC89"/>
      <c r="FAD89"/>
      <c r="FAE89"/>
      <c r="FAF89"/>
      <c r="FAG89"/>
      <c r="FAH89"/>
      <c r="FAI89"/>
      <c r="FAJ89"/>
      <c r="FAK89"/>
      <c r="FAL89"/>
      <c r="FAM89"/>
      <c r="FAN89"/>
      <c r="FAO89"/>
      <c r="FAP89"/>
      <c r="FAQ89"/>
      <c r="FAR89"/>
      <c r="FAS89"/>
      <c r="FAT89"/>
      <c r="FAU89"/>
      <c r="FAV89"/>
      <c r="FAW89"/>
      <c r="FAX89"/>
      <c r="FAY89"/>
      <c r="FAZ89"/>
      <c r="FBA89"/>
      <c r="FBB89"/>
      <c r="FBC89"/>
      <c r="FBD89"/>
      <c r="FBE89"/>
      <c r="FBF89"/>
      <c r="FBG89"/>
      <c r="FBH89"/>
      <c r="FBI89"/>
      <c r="FBJ89"/>
      <c r="FBK89"/>
      <c r="FBL89"/>
      <c r="FBM89"/>
      <c r="FBN89"/>
      <c r="FBO89"/>
      <c r="FBP89"/>
      <c r="FBQ89"/>
      <c r="FBR89"/>
      <c r="FBS89"/>
      <c r="FBT89"/>
      <c r="FBU89"/>
      <c r="FBV89"/>
      <c r="FBW89"/>
      <c r="FBX89"/>
      <c r="FBY89"/>
      <c r="FBZ89"/>
      <c r="FCA89"/>
      <c r="FCB89"/>
      <c r="FCC89"/>
      <c r="FCD89"/>
      <c r="FCE89"/>
      <c r="FCF89"/>
      <c r="FCG89"/>
      <c r="FCH89"/>
      <c r="FCI89"/>
      <c r="FCJ89"/>
      <c r="FCK89"/>
      <c r="FCL89"/>
      <c r="FCM89"/>
      <c r="FCN89"/>
      <c r="FCO89"/>
      <c r="FCP89"/>
      <c r="FCQ89"/>
      <c r="FCR89"/>
      <c r="FCS89"/>
      <c r="FCT89"/>
      <c r="FCU89"/>
      <c r="FCV89"/>
      <c r="FCW89"/>
      <c r="FCX89"/>
      <c r="FCY89"/>
      <c r="FCZ89"/>
      <c r="FDA89"/>
      <c r="FDB89"/>
      <c r="FDC89"/>
      <c r="FDD89"/>
      <c r="FDE89"/>
      <c r="FDF89"/>
      <c r="FDG89"/>
      <c r="FDH89"/>
      <c r="FDI89"/>
      <c r="FDJ89"/>
      <c r="FDK89"/>
      <c r="FDL89"/>
      <c r="FDM89"/>
      <c r="FDN89"/>
      <c r="FDO89"/>
      <c r="FDP89"/>
      <c r="FDQ89"/>
      <c r="FDR89"/>
      <c r="FDS89"/>
      <c r="FDT89"/>
      <c r="FDU89"/>
      <c r="FDV89"/>
      <c r="FDW89"/>
      <c r="FDX89"/>
      <c r="FDY89"/>
      <c r="FDZ89"/>
      <c r="FEA89"/>
      <c r="FEB89"/>
      <c r="FEC89"/>
      <c r="FED89"/>
      <c r="FEE89"/>
      <c r="FEF89"/>
      <c r="FEG89"/>
      <c r="FEH89"/>
      <c r="FEI89"/>
      <c r="FEJ89"/>
      <c r="FEK89"/>
      <c r="FEL89"/>
      <c r="FEM89"/>
      <c r="FEN89"/>
      <c r="FEO89"/>
      <c r="FEP89"/>
      <c r="FEQ89"/>
      <c r="FER89"/>
      <c r="FES89"/>
      <c r="FET89"/>
      <c r="FEU89"/>
      <c r="FEV89"/>
      <c r="FEW89"/>
      <c r="FEX89"/>
      <c r="FEY89"/>
      <c r="FEZ89"/>
      <c r="FFA89"/>
      <c r="FFB89"/>
      <c r="FFC89"/>
      <c r="FFD89"/>
      <c r="FFE89"/>
      <c r="FFF89"/>
      <c r="FFG89"/>
      <c r="FFH89"/>
      <c r="FFI89"/>
      <c r="FFJ89"/>
      <c r="FFK89"/>
      <c r="FFL89"/>
      <c r="FFM89"/>
      <c r="FFN89"/>
      <c r="FFO89"/>
      <c r="FFP89"/>
      <c r="FFQ89"/>
      <c r="FFR89"/>
      <c r="FFS89"/>
      <c r="FFT89"/>
      <c r="FFU89"/>
      <c r="FFV89"/>
      <c r="FFW89"/>
      <c r="FFX89"/>
      <c r="FFY89"/>
      <c r="FFZ89"/>
      <c r="FGA89"/>
      <c r="FGB89"/>
      <c r="FGC89"/>
      <c r="FGD89"/>
      <c r="FGE89"/>
      <c r="FGF89"/>
      <c r="FGG89"/>
      <c r="FGH89"/>
      <c r="FGI89"/>
      <c r="FGJ89"/>
      <c r="FGK89"/>
      <c r="FGL89"/>
      <c r="FGM89"/>
      <c r="FGN89"/>
      <c r="FGO89"/>
      <c r="FGP89"/>
      <c r="FGQ89"/>
      <c r="FGR89"/>
      <c r="FGS89"/>
      <c r="FGT89"/>
      <c r="FGU89"/>
      <c r="FGV89"/>
      <c r="FGW89"/>
      <c r="FGX89"/>
      <c r="FGY89"/>
      <c r="FGZ89"/>
      <c r="FHA89"/>
      <c r="FHB89"/>
      <c r="FHC89"/>
      <c r="FHD89"/>
      <c r="FHE89"/>
      <c r="FHF89"/>
      <c r="FHG89"/>
      <c r="FHH89"/>
      <c r="FHI89"/>
      <c r="FHJ89"/>
      <c r="FHK89"/>
      <c r="FHL89"/>
      <c r="FHM89"/>
      <c r="FHN89"/>
      <c r="FHO89"/>
      <c r="FHP89"/>
      <c r="FHQ89"/>
      <c r="FHR89"/>
      <c r="FHS89"/>
      <c r="FHT89"/>
      <c r="FHU89"/>
      <c r="FHV89"/>
      <c r="FHW89"/>
      <c r="FHX89"/>
      <c r="FHY89"/>
      <c r="FHZ89"/>
      <c r="FIA89"/>
      <c r="FIB89"/>
      <c r="FIC89"/>
      <c r="FID89"/>
      <c r="FIE89"/>
      <c r="FIF89"/>
      <c r="FIG89"/>
      <c r="FIH89"/>
      <c r="FII89"/>
      <c r="FIJ89"/>
      <c r="FIK89"/>
      <c r="FIL89"/>
      <c r="FIM89"/>
      <c r="FIN89"/>
      <c r="FIO89"/>
      <c r="FIP89"/>
      <c r="FIQ89"/>
      <c r="FIR89"/>
      <c r="FIS89"/>
      <c r="FIT89"/>
      <c r="FIU89"/>
      <c r="FIV89"/>
      <c r="FIW89"/>
      <c r="FIX89"/>
      <c r="FIY89"/>
      <c r="FIZ89"/>
      <c r="FJA89"/>
      <c r="FJB89"/>
      <c r="FJC89"/>
      <c r="FJD89"/>
      <c r="FJE89"/>
      <c r="FJF89"/>
      <c r="FJG89"/>
      <c r="FJH89"/>
      <c r="FJI89"/>
      <c r="FJJ89"/>
      <c r="FJK89"/>
      <c r="FJL89"/>
      <c r="FJM89"/>
      <c r="FJN89"/>
      <c r="FJO89"/>
      <c r="FJP89"/>
      <c r="FJQ89"/>
      <c r="FJR89"/>
      <c r="FJS89"/>
      <c r="FJT89"/>
      <c r="FJU89"/>
      <c r="FJV89"/>
      <c r="FJW89"/>
      <c r="FJX89"/>
      <c r="FJY89"/>
      <c r="FJZ89"/>
      <c r="FKA89"/>
      <c r="FKB89"/>
      <c r="FKC89"/>
      <c r="FKD89"/>
      <c r="FKE89"/>
      <c r="FKF89"/>
      <c r="FKG89"/>
      <c r="FKH89"/>
      <c r="FKI89"/>
      <c r="FKJ89"/>
      <c r="FKK89"/>
      <c r="FKL89"/>
      <c r="FKM89"/>
      <c r="FKN89"/>
      <c r="FKO89"/>
      <c r="FKP89"/>
      <c r="FKQ89"/>
      <c r="FKR89"/>
      <c r="FKS89"/>
      <c r="FKT89"/>
      <c r="FKU89"/>
      <c r="FKV89"/>
      <c r="FKW89"/>
      <c r="FKX89"/>
      <c r="FKY89"/>
      <c r="FKZ89"/>
      <c r="FLA89"/>
      <c r="FLB89"/>
      <c r="FLC89"/>
      <c r="FLD89"/>
      <c r="FLE89"/>
      <c r="FLF89"/>
      <c r="FLG89"/>
      <c r="FLH89"/>
      <c r="FLI89"/>
      <c r="FLJ89"/>
      <c r="FLK89"/>
      <c r="FLL89"/>
      <c r="FLM89"/>
      <c r="FLN89"/>
      <c r="FLO89"/>
      <c r="FLP89"/>
      <c r="FLQ89"/>
      <c r="FLR89"/>
      <c r="FLS89"/>
      <c r="FLT89"/>
      <c r="FLU89"/>
      <c r="FLV89"/>
      <c r="FLW89"/>
      <c r="FLX89"/>
      <c r="FLY89"/>
      <c r="FLZ89"/>
      <c r="FMA89"/>
      <c r="FMB89"/>
      <c r="FMC89"/>
      <c r="FMD89"/>
      <c r="FME89"/>
      <c r="FMF89"/>
      <c r="FMG89"/>
      <c r="FMH89"/>
      <c r="FMI89"/>
      <c r="FMJ89"/>
      <c r="FMK89"/>
      <c r="FML89"/>
      <c r="FMM89"/>
      <c r="FMN89"/>
      <c r="FMO89"/>
      <c r="FMP89"/>
      <c r="FMQ89"/>
      <c r="FMR89"/>
      <c r="FMS89"/>
      <c r="FMT89"/>
      <c r="FMU89"/>
      <c r="FMV89"/>
      <c r="FMW89"/>
      <c r="FMX89"/>
      <c r="FMY89"/>
      <c r="FMZ89"/>
      <c r="FNA89"/>
      <c r="FNB89"/>
      <c r="FNC89"/>
      <c r="FND89"/>
      <c r="FNE89"/>
      <c r="FNF89"/>
      <c r="FNG89"/>
      <c r="FNH89"/>
      <c r="FNI89"/>
      <c r="FNJ89"/>
      <c r="FNK89"/>
      <c r="FNL89"/>
      <c r="FNM89"/>
      <c r="FNN89"/>
      <c r="FNO89"/>
      <c r="FNP89"/>
      <c r="FNQ89"/>
      <c r="FNR89"/>
      <c r="FNS89"/>
      <c r="FNT89"/>
      <c r="FNU89"/>
      <c r="FNV89"/>
      <c r="FNW89"/>
      <c r="FNX89"/>
      <c r="FNY89"/>
      <c r="FNZ89"/>
      <c r="FOA89"/>
      <c r="FOB89"/>
      <c r="FOC89"/>
      <c r="FOD89"/>
      <c r="FOE89"/>
      <c r="FOF89"/>
      <c r="FOG89"/>
      <c r="FOH89"/>
      <c r="FOI89"/>
      <c r="FOJ89"/>
      <c r="FOK89"/>
      <c r="FOL89"/>
      <c r="FOM89"/>
      <c r="FON89"/>
      <c r="FOO89"/>
      <c r="FOP89"/>
      <c r="FOQ89"/>
      <c r="FOR89"/>
      <c r="FOS89"/>
      <c r="FOT89"/>
      <c r="FOU89"/>
      <c r="FOV89"/>
      <c r="FOW89"/>
      <c r="FOX89"/>
      <c r="FOY89"/>
      <c r="FOZ89"/>
      <c r="FPA89"/>
      <c r="FPB89"/>
      <c r="FPC89"/>
      <c r="FPD89"/>
      <c r="FPE89"/>
      <c r="FPF89"/>
      <c r="FPG89"/>
      <c r="FPH89"/>
      <c r="FPI89"/>
      <c r="FPJ89"/>
      <c r="FPK89"/>
      <c r="FPL89"/>
      <c r="FPM89"/>
      <c r="FPN89"/>
      <c r="FPO89"/>
      <c r="FPP89"/>
      <c r="FPQ89"/>
      <c r="FPR89"/>
      <c r="FPS89"/>
      <c r="FPT89"/>
      <c r="FPU89"/>
      <c r="FPV89"/>
      <c r="FPW89"/>
      <c r="FPX89"/>
      <c r="FPY89"/>
      <c r="FPZ89"/>
      <c r="FQA89"/>
      <c r="FQB89"/>
      <c r="FQC89"/>
      <c r="FQD89"/>
      <c r="FQE89"/>
      <c r="FQF89"/>
      <c r="FQG89"/>
      <c r="FQH89"/>
      <c r="FQI89"/>
      <c r="FQJ89"/>
      <c r="FQK89"/>
      <c r="FQL89"/>
      <c r="FQM89"/>
      <c r="FQN89"/>
      <c r="FQO89"/>
      <c r="FQP89"/>
      <c r="FQQ89"/>
      <c r="FQR89"/>
      <c r="FQS89"/>
      <c r="FQT89"/>
      <c r="FQU89"/>
      <c r="FQV89"/>
      <c r="FQW89"/>
      <c r="FQX89"/>
      <c r="FQY89"/>
      <c r="FQZ89"/>
      <c r="FRA89"/>
      <c r="FRB89"/>
      <c r="FRC89"/>
      <c r="FRD89"/>
      <c r="FRE89"/>
      <c r="FRF89"/>
      <c r="FRG89"/>
      <c r="FRH89"/>
      <c r="FRI89"/>
      <c r="FRJ89"/>
      <c r="FRK89"/>
      <c r="FRL89"/>
      <c r="FRM89"/>
      <c r="FRN89"/>
      <c r="FRO89"/>
      <c r="FRP89"/>
      <c r="FRQ89"/>
      <c r="FRR89"/>
      <c r="FRS89"/>
      <c r="FRT89"/>
      <c r="FRU89"/>
      <c r="FRV89"/>
      <c r="FRW89"/>
      <c r="FRX89"/>
      <c r="FRY89"/>
      <c r="FRZ89"/>
      <c r="FSA89"/>
      <c r="FSB89"/>
      <c r="FSC89"/>
      <c r="FSD89"/>
      <c r="FSE89"/>
      <c r="FSF89"/>
      <c r="FSG89"/>
      <c r="FSH89"/>
      <c r="FSI89"/>
      <c r="FSJ89"/>
      <c r="FSK89"/>
      <c r="FSL89"/>
      <c r="FSM89"/>
      <c r="FSN89"/>
      <c r="FSO89"/>
      <c r="FSP89"/>
      <c r="FSQ89"/>
      <c r="FSR89"/>
      <c r="FSS89"/>
      <c r="FST89"/>
      <c r="FSU89"/>
      <c r="FSV89"/>
      <c r="FSW89"/>
      <c r="FSX89"/>
      <c r="FSY89"/>
      <c r="FSZ89"/>
      <c r="FTA89"/>
      <c r="FTB89"/>
      <c r="FTC89"/>
      <c r="FTD89"/>
      <c r="FTE89"/>
      <c r="FTF89"/>
      <c r="FTG89"/>
      <c r="FTH89"/>
      <c r="FTI89"/>
      <c r="FTJ89"/>
      <c r="FTK89"/>
      <c r="FTL89"/>
      <c r="FTM89"/>
      <c r="FTN89"/>
      <c r="FTO89"/>
      <c r="FTP89"/>
      <c r="FTQ89"/>
      <c r="FTR89"/>
      <c r="FTS89"/>
      <c r="FTT89"/>
      <c r="FTU89"/>
      <c r="FTV89"/>
      <c r="FTW89"/>
      <c r="FTX89"/>
      <c r="FTY89"/>
      <c r="FTZ89"/>
      <c r="FUA89"/>
      <c r="FUB89"/>
      <c r="FUC89"/>
      <c r="FUD89"/>
      <c r="FUE89"/>
      <c r="FUF89"/>
      <c r="FUG89"/>
      <c r="FUH89"/>
      <c r="FUI89"/>
      <c r="FUJ89"/>
      <c r="FUK89"/>
      <c r="FUL89"/>
      <c r="FUM89"/>
      <c r="FUN89"/>
      <c r="FUO89"/>
      <c r="FUP89"/>
      <c r="FUQ89"/>
      <c r="FUR89"/>
      <c r="FUS89"/>
      <c r="FUT89"/>
      <c r="FUU89"/>
      <c r="FUV89"/>
      <c r="FUW89"/>
      <c r="FUX89"/>
      <c r="FUY89"/>
      <c r="FUZ89"/>
      <c r="FVA89"/>
      <c r="FVB89"/>
      <c r="FVC89"/>
      <c r="FVD89"/>
      <c r="FVE89"/>
      <c r="FVF89"/>
      <c r="FVG89"/>
      <c r="FVH89"/>
      <c r="FVI89"/>
      <c r="FVJ89"/>
      <c r="FVK89"/>
      <c r="FVL89"/>
      <c r="FVM89"/>
      <c r="FVN89"/>
      <c r="FVO89"/>
      <c r="FVP89"/>
      <c r="FVQ89"/>
      <c r="FVR89"/>
      <c r="FVS89"/>
      <c r="FVT89"/>
      <c r="FVU89"/>
      <c r="FVV89"/>
      <c r="FVW89"/>
      <c r="FVX89"/>
      <c r="FVY89"/>
      <c r="FVZ89"/>
      <c r="FWA89"/>
      <c r="FWB89"/>
      <c r="FWC89"/>
      <c r="FWD89"/>
      <c r="FWE89"/>
      <c r="FWF89"/>
      <c r="FWG89"/>
      <c r="FWH89"/>
      <c r="FWI89"/>
      <c r="FWJ89"/>
      <c r="FWK89"/>
      <c r="FWL89"/>
      <c r="FWM89"/>
      <c r="FWN89"/>
      <c r="FWO89"/>
      <c r="FWP89"/>
      <c r="FWQ89"/>
      <c r="FWR89"/>
      <c r="FWS89"/>
      <c r="FWT89"/>
      <c r="FWU89"/>
      <c r="FWV89"/>
      <c r="FWW89"/>
      <c r="FWX89"/>
      <c r="FWY89"/>
      <c r="FWZ89"/>
      <c r="FXA89"/>
      <c r="FXB89"/>
      <c r="FXC89"/>
      <c r="FXD89"/>
      <c r="FXE89"/>
      <c r="FXF89"/>
      <c r="FXG89"/>
      <c r="FXH89"/>
      <c r="FXI89"/>
      <c r="FXJ89"/>
      <c r="FXK89"/>
      <c r="FXL89"/>
      <c r="FXM89"/>
      <c r="FXN89"/>
      <c r="FXO89"/>
      <c r="FXP89"/>
      <c r="FXQ89"/>
      <c r="FXR89"/>
      <c r="FXS89"/>
      <c r="FXT89"/>
      <c r="FXU89"/>
      <c r="FXV89"/>
      <c r="FXW89"/>
      <c r="FXX89"/>
      <c r="FXY89"/>
      <c r="FXZ89"/>
      <c r="FYA89"/>
      <c r="FYB89"/>
      <c r="FYC89"/>
      <c r="FYD89"/>
      <c r="FYE89"/>
      <c r="FYF89"/>
      <c r="FYG89"/>
      <c r="FYH89"/>
      <c r="FYI89"/>
      <c r="FYJ89"/>
      <c r="FYK89"/>
      <c r="FYL89"/>
      <c r="FYM89"/>
      <c r="FYN89"/>
      <c r="FYO89"/>
      <c r="FYP89"/>
      <c r="FYQ89"/>
      <c r="FYR89"/>
      <c r="FYS89"/>
      <c r="FYT89"/>
      <c r="FYU89"/>
      <c r="FYV89"/>
      <c r="FYW89"/>
      <c r="FYX89"/>
      <c r="FYY89"/>
      <c r="FYZ89"/>
      <c r="FZA89"/>
      <c r="FZB89"/>
      <c r="FZC89"/>
      <c r="FZD89"/>
      <c r="FZE89"/>
      <c r="FZF89"/>
      <c r="FZG89"/>
      <c r="FZH89"/>
      <c r="FZI89"/>
      <c r="FZJ89"/>
      <c r="FZK89"/>
      <c r="FZL89"/>
      <c r="FZM89"/>
      <c r="FZN89"/>
      <c r="FZO89"/>
      <c r="FZP89"/>
      <c r="FZQ89"/>
      <c r="FZR89"/>
      <c r="FZS89"/>
      <c r="FZT89"/>
      <c r="FZU89"/>
      <c r="FZV89"/>
      <c r="FZW89"/>
      <c r="FZX89"/>
      <c r="FZY89"/>
      <c r="FZZ89"/>
      <c r="GAA89"/>
      <c r="GAB89"/>
      <c r="GAC89"/>
      <c r="GAD89"/>
      <c r="GAE89"/>
      <c r="GAF89"/>
      <c r="GAG89"/>
      <c r="GAH89"/>
      <c r="GAI89"/>
      <c r="GAJ89"/>
      <c r="GAK89"/>
      <c r="GAL89"/>
      <c r="GAM89"/>
      <c r="GAN89"/>
      <c r="GAO89"/>
      <c r="GAP89"/>
      <c r="GAQ89"/>
      <c r="GAR89"/>
      <c r="GAS89"/>
      <c r="GAT89"/>
      <c r="GAU89"/>
      <c r="GAV89"/>
      <c r="GAW89"/>
      <c r="GAX89"/>
      <c r="GAY89"/>
      <c r="GAZ89"/>
      <c r="GBA89"/>
      <c r="GBB89"/>
      <c r="GBC89"/>
      <c r="GBD89"/>
      <c r="GBE89"/>
      <c r="GBF89"/>
      <c r="GBG89"/>
      <c r="GBH89"/>
      <c r="GBI89"/>
      <c r="GBJ89"/>
      <c r="GBK89"/>
      <c r="GBL89"/>
      <c r="GBM89"/>
      <c r="GBN89"/>
      <c r="GBO89"/>
      <c r="GBP89"/>
      <c r="GBQ89"/>
      <c r="GBR89"/>
      <c r="GBS89"/>
      <c r="GBT89"/>
      <c r="GBU89"/>
      <c r="GBV89"/>
      <c r="GBW89"/>
      <c r="GBX89"/>
      <c r="GBY89"/>
      <c r="GBZ89"/>
      <c r="GCA89"/>
      <c r="GCB89"/>
      <c r="GCC89"/>
      <c r="GCD89"/>
      <c r="GCE89"/>
      <c r="GCF89"/>
      <c r="GCG89"/>
      <c r="GCH89"/>
      <c r="GCI89"/>
      <c r="GCJ89"/>
      <c r="GCK89"/>
      <c r="GCL89"/>
      <c r="GCM89"/>
      <c r="GCN89"/>
      <c r="GCO89"/>
      <c r="GCP89"/>
      <c r="GCQ89"/>
      <c r="GCR89"/>
      <c r="GCS89"/>
      <c r="GCT89"/>
      <c r="GCU89"/>
      <c r="GCV89"/>
      <c r="GCW89"/>
      <c r="GCX89"/>
      <c r="GCY89"/>
      <c r="GCZ89"/>
      <c r="GDA89"/>
      <c r="GDB89"/>
      <c r="GDC89"/>
      <c r="GDD89"/>
      <c r="GDE89"/>
      <c r="GDF89"/>
      <c r="GDG89"/>
      <c r="GDH89"/>
      <c r="GDI89"/>
      <c r="GDJ89"/>
      <c r="GDK89"/>
      <c r="GDL89"/>
      <c r="GDM89"/>
      <c r="GDN89"/>
      <c r="GDO89"/>
      <c r="GDP89"/>
      <c r="GDQ89"/>
      <c r="GDR89"/>
      <c r="GDS89"/>
      <c r="GDT89"/>
      <c r="GDU89"/>
      <c r="GDV89"/>
      <c r="GDW89"/>
      <c r="GDX89"/>
      <c r="GDY89"/>
      <c r="GDZ89"/>
      <c r="GEA89"/>
      <c r="GEB89"/>
      <c r="GEC89"/>
      <c r="GED89"/>
      <c r="GEE89"/>
      <c r="GEF89"/>
      <c r="GEG89"/>
      <c r="GEH89"/>
      <c r="GEI89"/>
      <c r="GEJ89"/>
      <c r="GEK89"/>
      <c r="GEL89"/>
      <c r="GEM89"/>
      <c r="GEN89"/>
      <c r="GEO89"/>
      <c r="GEP89"/>
      <c r="GEQ89"/>
      <c r="GER89"/>
      <c r="GES89"/>
      <c r="GET89"/>
      <c r="GEU89"/>
      <c r="GEV89"/>
      <c r="GEW89"/>
      <c r="GEX89"/>
      <c r="GEY89"/>
      <c r="GEZ89"/>
      <c r="GFA89"/>
      <c r="GFB89"/>
      <c r="GFC89"/>
      <c r="GFD89"/>
      <c r="GFE89"/>
      <c r="GFF89"/>
      <c r="GFG89"/>
      <c r="GFH89"/>
      <c r="GFI89"/>
      <c r="GFJ89"/>
      <c r="GFK89"/>
      <c r="GFL89"/>
      <c r="GFM89"/>
      <c r="GFN89"/>
      <c r="GFO89"/>
      <c r="GFP89"/>
      <c r="GFQ89"/>
      <c r="GFR89"/>
      <c r="GFS89"/>
      <c r="GFT89"/>
      <c r="GFU89"/>
      <c r="GFV89"/>
      <c r="GFW89"/>
      <c r="GFX89"/>
      <c r="GFY89"/>
      <c r="GFZ89"/>
      <c r="GGA89"/>
      <c r="GGB89"/>
      <c r="GGC89"/>
      <c r="GGD89"/>
      <c r="GGE89"/>
      <c r="GGF89"/>
      <c r="GGG89"/>
      <c r="GGH89"/>
      <c r="GGI89"/>
      <c r="GGJ89"/>
      <c r="GGK89"/>
      <c r="GGL89"/>
      <c r="GGM89"/>
      <c r="GGN89"/>
      <c r="GGO89"/>
      <c r="GGP89"/>
      <c r="GGQ89"/>
      <c r="GGR89"/>
      <c r="GGS89"/>
      <c r="GGT89"/>
      <c r="GGU89"/>
      <c r="GGV89"/>
      <c r="GGW89"/>
      <c r="GGX89"/>
      <c r="GGY89"/>
      <c r="GGZ89"/>
      <c r="GHA89"/>
      <c r="GHB89"/>
      <c r="GHC89"/>
      <c r="GHD89"/>
      <c r="GHE89"/>
      <c r="GHF89"/>
      <c r="GHG89"/>
      <c r="GHH89"/>
      <c r="GHI89"/>
      <c r="GHJ89"/>
      <c r="GHK89"/>
      <c r="GHL89"/>
      <c r="GHM89"/>
      <c r="GHN89"/>
      <c r="GHO89"/>
      <c r="GHP89"/>
      <c r="GHQ89"/>
      <c r="GHR89"/>
      <c r="GHS89"/>
      <c r="GHT89"/>
      <c r="GHU89"/>
      <c r="GHV89"/>
      <c r="GHW89"/>
      <c r="GHX89"/>
      <c r="GHY89"/>
      <c r="GHZ89"/>
      <c r="GIA89"/>
      <c r="GIB89"/>
      <c r="GIC89"/>
      <c r="GID89"/>
      <c r="GIE89"/>
      <c r="GIF89"/>
      <c r="GIG89"/>
      <c r="GIH89"/>
      <c r="GII89"/>
      <c r="GIJ89"/>
      <c r="GIK89"/>
      <c r="GIL89"/>
      <c r="GIM89"/>
      <c r="GIN89"/>
      <c r="GIO89"/>
      <c r="GIP89"/>
      <c r="GIQ89"/>
      <c r="GIR89"/>
      <c r="GIS89"/>
      <c r="GIT89"/>
      <c r="GIU89"/>
      <c r="GIV89"/>
      <c r="GIW89"/>
      <c r="GIX89"/>
      <c r="GIY89"/>
      <c r="GIZ89"/>
      <c r="GJA89"/>
      <c r="GJB89"/>
      <c r="GJC89"/>
      <c r="GJD89"/>
      <c r="GJE89"/>
      <c r="GJF89"/>
      <c r="GJG89"/>
      <c r="GJH89"/>
      <c r="GJI89"/>
      <c r="GJJ89"/>
      <c r="GJK89"/>
      <c r="GJL89"/>
      <c r="GJM89"/>
      <c r="GJN89"/>
      <c r="GJO89"/>
      <c r="GJP89"/>
      <c r="GJQ89"/>
      <c r="GJR89"/>
      <c r="GJS89"/>
      <c r="GJT89"/>
      <c r="GJU89"/>
      <c r="GJV89"/>
      <c r="GJW89"/>
      <c r="GJX89"/>
      <c r="GJY89"/>
      <c r="GJZ89"/>
      <c r="GKA89"/>
      <c r="GKB89"/>
      <c r="GKC89"/>
      <c r="GKD89"/>
      <c r="GKE89"/>
      <c r="GKF89"/>
      <c r="GKG89"/>
      <c r="GKH89"/>
      <c r="GKI89"/>
      <c r="GKJ89"/>
      <c r="GKK89"/>
      <c r="GKL89"/>
      <c r="GKM89"/>
      <c r="GKN89"/>
      <c r="GKO89"/>
      <c r="GKP89"/>
      <c r="GKQ89"/>
      <c r="GKR89"/>
      <c r="GKS89"/>
      <c r="GKT89"/>
      <c r="GKU89"/>
      <c r="GKV89"/>
      <c r="GKW89"/>
      <c r="GKX89"/>
      <c r="GKY89"/>
      <c r="GKZ89"/>
      <c r="GLA89"/>
      <c r="GLB89"/>
      <c r="GLC89"/>
      <c r="GLD89"/>
      <c r="GLE89"/>
      <c r="GLF89"/>
      <c r="GLG89"/>
      <c r="GLH89"/>
      <c r="GLI89"/>
      <c r="GLJ89"/>
      <c r="GLK89"/>
      <c r="GLL89"/>
      <c r="GLM89"/>
      <c r="GLN89"/>
      <c r="GLO89"/>
      <c r="GLP89"/>
      <c r="GLQ89"/>
      <c r="GLR89"/>
      <c r="GLS89"/>
      <c r="GLT89"/>
      <c r="GLU89"/>
      <c r="GLV89"/>
      <c r="GLW89"/>
      <c r="GLX89"/>
      <c r="GLY89"/>
      <c r="GLZ89"/>
      <c r="GMA89"/>
      <c r="GMB89"/>
      <c r="GMC89"/>
      <c r="GMD89"/>
      <c r="GME89"/>
      <c r="GMF89"/>
      <c r="GMG89"/>
      <c r="GMH89"/>
      <c r="GMI89"/>
      <c r="GMJ89"/>
      <c r="GMK89"/>
      <c r="GML89"/>
      <c r="GMM89"/>
      <c r="GMN89"/>
      <c r="GMO89"/>
      <c r="GMP89"/>
      <c r="GMQ89"/>
      <c r="GMR89"/>
      <c r="GMS89"/>
      <c r="GMT89"/>
      <c r="GMU89"/>
      <c r="GMV89"/>
      <c r="GMW89"/>
      <c r="GMX89"/>
      <c r="GMY89"/>
      <c r="GMZ89"/>
      <c r="GNA89"/>
      <c r="GNB89"/>
      <c r="GNC89"/>
      <c r="GND89"/>
      <c r="GNE89"/>
      <c r="GNF89"/>
      <c r="GNG89"/>
      <c r="GNH89"/>
      <c r="GNI89"/>
      <c r="GNJ89"/>
      <c r="GNK89"/>
      <c r="GNL89"/>
      <c r="GNM89"/>
      <c r="GNN89"/>
      <c r="GNO89"/>
      <c r="GNP89"/>
      <c r="GNQ89"/>
      <c r="GNR89"/>
      <c r="GNS89"/>
      <c r="GNT89"/>
      <c r="GNU89"/>
      <c r="GNV89"/>
      <c r="GNW89"/>
      <c r="GNX89"/>
      <c r="GNY89"/>
      <c r="GNZ89"/>
      <c r="GOA89"/>
      <c r="GOB89"/>
      <c r="GOC89"/>
      <c r="GOD89"/>
      <c r="GOE89"/>
      <c r="GOF89"/>
      <c r="GOG89"/>
      <c r="GOH89"/>
      <c r="GOI89"/>
      <c r="GOJ89"/>
      <c r="GOK89"/>
      <c r="GOL89"/>
      <c r="GOM89"/>
      <c r="GON89"/>
      <c r="GOO89"/>
      <c r="GOP89"/>
      <c r="GOQ89"/>
      <c r="GOR89"/>
      <c r="GOS89"/>
      <c r="GOT89"/>
      <c r="GOU89"/>
      <c r="GOV89"/>
      <c r="GOW89"/>
      <c r="GOX89"/>
      <c r="GOY89"/>
      <c r="GOZ89"/>
      <c r="GPA89"/>
      <c r="GPB89"/>
      <c r="GPC89"/>
      <c r="GPD89"/>
      <c r="GPE89"/>
      <c r="GPF89"/>
      <c r="GPG89"/>
      <c r="GPH89"/>
      <c r="GPI89"/>
      <c r="GPJ89"/>
      <c r="GPK89"/>
      <c r="GPL89"/>
      <c r="GPM89"/>
      <c r="GPN89"/>
      <c r="GPO89"/>
      <c r="GPP89"/>
      <c r="GPQ89"/>
      <c r="GPR89"/>
      <c r="GPS89"/>
      <c r="GPT89"/>
      <c r="GPU89"/>
      <c r="GPV89"/>
      <c r="GPW89"/>
      <c r="GPX89"/>
      <c r="GPY89"/>
      <c r="GPZ89"/>
      <c r="GQA89"/>
      <c r="GQB89"/>
      <c r="GQC89"/>
      <c r="GQD89"/>
      <c r="GQE89"/>
      <c r="GQF89"/>
      <c r="GQG89"/>
      <c r="GQH89"/>
      <c r="GQI89"/>
      <c r="GQJ89"/>
      <c r="GQK89"/>
      <c r="GQL89"/>
      <c r="GQM89"/>
      <c r="GQN89"/>
      <c r="GQO89"/>
      <c r="GQP89"/>
      <c r="GQQ89"/>
      <c r="GQR89"/>
      <c r="GQS89"/>
      <c r="GQT89"/>
      <c r="GQU89"/>
      <c r="GQV89"/>
      <c r="GQW89"/>
      <c r="GQX89"/>
      <c r="GQY89"/>
      <c r="GQZ89"/>
      <c r="GRA89"/>
      <c r="GRB89"/>
      <c r="GRC89"/>
      <c r="GRD89"/>
      <c r="GRE89"/>
      <c r="GRF89"/>
      <c r="GRG89"/>
      <c r="GRH89"/>
      <c r="GRI89"/>
      <c r="GRJ89"/>
      <c r="GRK89"/>
      <c r="GRL89"/>
      <c r="GRM89"/>
      <c r="GRN89"/>
      <c r="GRO89"/>
      <c r="GRP89"/>
      <c r="GRQ89"/>
      <c r="GRR89"/>
      <c r="GRS89"/>
      <c r="GRT89"/>
      <c r="GRU89"/>
      <c r="GRV89"/>
      <c r="GRW89"/>
      <c r="GRX89"/>
      <c r="GRY89"/>
      <c r="GRZ89"/>
      <c r="GSA89"/>
      <c r="GSB89"/>
      <c r="GSC89"/>
      <c r="GSD89"/>
      <c r="GSE89"/>
      <c r="GSF89"/>
      <c r="GSG89"/>
      <c r="GSH89"/>
      <c r="GSI89"/>
      <c r="GSJ89"/>
      <c r="GSK89"/>
      <c r="GSL89"/>
      <c r="GSM89"/>
      <c r="GSN89"/>
      <c r="GSO89"/>
      <c r="GSP89"/>
      <c r="GSQ89"/>
      <c r="GSR89"/>
      <c r="GSS89"/>
      <c r="GST89"/>
      <c r="GSU89"/>
      <c r="GSV89"/>
      <c r="GSW89"/>
      <c r="GSX89"/>
      <c r="GSY89"/>
      <c r="GSZ89"/>
      <c r="GTA89"/>
      <c r="GTB89"/>
      <c r="GTC89"/>
      <c r="GTD89"/>
      <c r="GTE89"/>
      <c r="GTF89"/>
      <c r="GTG89"/>
      <c r="GTH89"/>
      <c r="GTI89"/>
      <c r="GTJ89"/>
      <c r="GTK89"/>
      <c r="GTL89"/>
      <c r="GTM89"/>
      <c r="GTN89"/>
      <c r="GTO89"/>
      <c r="GTP89"/>
      <c r="GTQ89"/>
      <c r="GTR89"/>
      <c r="GTS89"/>
      <c r="GTT89"/>
      <c r="GTU89"/>
      <c r="GTV89"/>
      <c r="GTW89"/>
      <c r="GTX89"/>
      <c r="GTY89"/>
      <c r="GTZ89"/>
      <c r="GUA89"/>
      <c r="GUB89"/>
      <c r="GUC89"/>
      <c r="GUD89"/>
      <c r="GUE89"/>
      <c r="GUF89"/>
      <c r="GUG89"/>
      <c r="GUH89"/>
      <c r="GUI89"/>
      <c r="GUJ89"/>
      <c r="GUK89"/>
      <c r="GUL89"/>
      <c r="GUM89"/>
      <c r="GUN89"/>
      <c r="GUO89"/>
      <c r="GUP89"/>
      <c r="GUQ89"/>
      <c r="GUR89"/>
      <c r="GUS89"/>
      <c r="GUT89"/>
      <c r="GUU89"/>
      <c r="GUV89"/>
      <c r="GUW89"/>
      <c r="GUX89"/>
      <c r="GUY89"/>
      <c r="GUZ89"/>
      <c r="GVA89"/>
      <c r="GVB89"/>
      <c r="GVC89"/>
      <c r="GVD89"/>
      <c r="GVE89"/>
      <c r="GVF89"/>
      <c r="GVG89"/>
      <c r="GVH89"/>
      <c r="GVI89"/>
      <c r="GVJ89"/>
      <c r="GVK89"/>
      <c r="GVL89"/>
      <c r="GVM89"/>
      <c r="GVN89"/>
      <c r="GVO89"/>
      <c r="GVP89"/>
      <c r="GVQ89"/>
      <c r="GVR89"/>
      <c r="GVS89"/>
      <c r="GVT89"/>
      <c r="GVU89"/>
      <c r="GVV89"/>
      <c r="GVW89"/>
      <c r="GVX89"/>
      <c r="GVY89"/>
      <c r="GVZ89"/>
      <c r="GWA89"/>
      <c r="GWB89"/>
      <c r="GWC89"/>
      <c r="GWD89"/>
      <c r="GWE89"/>
      <c r="GWF89"/>
      <c r="GWG89"/>
      <c r="GWH89"/>
      <c r="GWI89"/>
      <c r="GWJ89"/>
      <c r="GWK89"/>
      <c r="GWL89"/>
      <c r="GWM89"/>
      <c r="GWN89"/>
      <c r="GWO89"/>
      <c r="GWP89"/>
      <c r="GWQ89"/>
      <c r="GWR89"/>
      <c r="GWS89"/>
      <c r="GWT89"/>
      <c r="GWU89"/>
      <c r="GWV89"/>
      <c r="GWW89"/>
      <c r="GWX89"/>
      <c r="GWY89"/>
      <c r="GWZ89"/>
      <c r="GXA89"/>
      <c r="GXB89"/>
      <c r="GXC89"/>
      <c r="GXD89"/>
      <c r="GXE89"/>
      <c r="GXF89"/>
      <c r="GXG89"/>
      <c r="GXH89"/>
      <c r="GXI89"/>
      <c r="GXJ89"/>
      <c r="GXK89"/>
      <c r="GXL89"/>
      <c r="GXM89"/>
      <c r="GXN89"/>
      <c r="GXO89"/>
      <c r="GXP89"/>
      <c r="GXQ89"/>
      <c r="GXR89"/>
      <c r="GXS89"/>
      <c r="GXT89"/>
      <c r="GXU89"/>
      <c r="GXV89"/>
      <c r="GXW89"/>
      <c r="GXX89"/>
      <c r="GXY89"/>
      <c r="GXZ89"/>
      <c r="GYA89"/>
      <c r="GYB89"/>
      <c r="GYC89"/>
      <c r="GYD89"/>
      <c r="GYE89"/>
      <c r="GYF89"/>
      <c r="GYG89"/>
      <c r="GYH89"/>
      <c r="GYI89"/>
      <c r="GYJ89"/>
      <c r="GYK89"/>
      <c r="GYL89"/>
      <c r="GYM89"/>
      <c r="GYN89"/>
      <c r="GYO89"/>
      <c r="GYP89"/>
      <c r="GYQ89"/>
      <c r="GYR89"/>
      <c r="GYS89"/>
      <c r="GYT89"/>
      <c r="GYU89"/>
      <c r="GYV89"/>
      <c r="GYW89"/>
      <c r="GYX89"/>
      <c r="GYY89"/>
      <c r="GYZ89"/>
      <c r="GZA89"/>
      <c r="GZB89"/>
      <c r="GZC89"/>
      <c r="GZD89"/>
      <c r="GZE89"/>
      <c r="GZF89"/>
      <c r="GZG89"/>
      <c r="GZH89"/>
      <c r="GZI89"/>
      <c r="GZJ89"/>
      <c r="GZK89"/>
      <c r="GZL89"/>
      <c r="GZM89"/>
      <c r="GZN89"/>
      <c r="GZO89"/>
      <c r="GZP89"/>
      <c r="GZQ89"/>
      <c r="GZR89"/>
      <c r="GZS89"/>
      <c r="GZT89"/>
      <c r="GZU89"/>
      <c r="GZV89"/>
      <c r="GZW89"/>
      <c r="GZX89"/>
      <c r="GZY89"/>
      <c r="GZZ89"/>
      <c r="HAA89"/>
      <c r="HAB89"/>
      <c r="HAC89"/>
      <c r="HAD89"/>
      <c r="HAE89"/>
      <c r="HAF89"/>
      <c r="HAG89"/>
      <c r="HAH89"/>
      <c r="HAI89"/>
      <c r="HAJ89"/>
      <c r="HAK89"/>
      <c r="HAL89"/>
      <c r="HAM89"/>
      <c r="HAN89"/>
      <c r="HAO89"/>
      <c r="HAP89"/>
      <c r="HAQ89"/>
      <c r="HAR89"/>
      <c r="HAS89"/>
      <c r="HAT89"/>
      <c r="HAU89"/>
      <c r="HAV89"/>
      <c r="HAW89"/>
      <c r="HAX89"/>
      <c r="HAY89"/>
      <c r="HAZ89"/>
      <c r="HBA89"/>
      <c r="HBB89"/>
      <c r="HBC89"/>
      <c r="HBD89"/>
      <c r="HBE89"/>
      <c r="HBF89"/>
      <c r="HBG89"/>
      <c r="HBH89"/>
      <c r="HBI89"/>
      <c r="HBJ89"/>
      <c r="HBK89"/>
      <c r="HBL89"/>
      <c r="HBM89"/>
      <c r="HBN89"/>
      <c r="HBO89"/>
      <c r="HBP89"/>
      <c r="HBQ89"/>
      <c r="HBR89"/>
      <c r="HBS89"/>
      <c r="HBT89"/>
      <c r="HBU89"/>
      <c r="HBV89"/>
      <c r="HBW89"/>
      <c r="HBX89"/>
      <c r="HBY89"/>
      <c r="HBZ89"/>
      <c r="HCA89"/>
      <c r="HCB89"/>
      <c r="HCC89"/>
      <c r="HCD89"/>
      <c r="HCE89"/>
      <c r="HCF89"/>
      <c r="HCG89"/>
      <c r="HCH89"/>
      <c r="HCI89"/>
      <c r="HCJ89"/>
      <c r="HCK89"/>
      <c r="HCL89"/>
      <c r="HCM89"/>
      <c r="HCN89"/>
      <c r="HCO89"/>
      <c r="HCP89"/>
      <c r="HCQ89"/>
      <c r="HCR89"/>
      <c r="HCS89"/>
      <c r="HCT89"/>
      <c r="HCU89"/>
      <c r="HCV89"/>
      <c r="HCW89"/>
      <c r="HCX89"/>
      <c r="HCY89"/>
      <c r="HCZ89"/>
      <c r="HDA89"/>
      <c r="HDB89"/>
      <c r="HDC89"/>
      <c r="HDD89"/>
      <c r="HDE89"/>
      <c r="HDF89"/>
      <c r="HDG89"/>
      <c r="HDH89"/>
      <c r="HDI89"/>
      <c r="HDJ89"/>
      <c r="HDK89"/>
      <c r="HDL89"/>
      <c r="HDM89"/>
      <c r="HDN89"/>
      <c r="HDO89"/>
      <c r="HDP89"/>
      <c r="HDQ89"/>
      <c r="HDR89"/>
      <c r="HDS89"/>
      <c r="HDT89"/>
      <c r="HDU89"/>
      <c r="HDV89"/>
      <c r="HDW89"/>
      <c r="HDX89"/>
      <c r="HDY89"/>
      <c r="HDZ89"/>
      <c r="HEA89"/>
      <c r="HEB89"/>
      <c r="HEC89"/>
      <c r="HED89"/>
      <c r="HEE89"/>
      <c r="HEF89"/>
      <c r="HEG89"/>
      <c r="HEH89"/>
      <c r="HEI89"/>
      <c r="HEJ89"/>
      <c r="HEK89"/>
      <c r="HEL89"/>
      <c r="HEM89"/>
      <c r="HEN89"/>
      <c r="HEO89"/>
      <c r="HEP89"/>
      <c r="HEQ89"/>
      <c r="HER89"/>
      <c r="HES89"/>
      <c r="HET89"/>
      <c r="HEU89"/>
      <c r="HEV89"/>
      <c r="HEW89"/>
      <c r="HEX89"/>
      <c r="HEY89"/>
      <c r="HEZ89"/>
      <c r="HFA89"/>
      <c r="HFB89"/>
      <c r="HFC89"/>
      <c r="HFD89"/>
      <c r="HFE89"/>
      <c r="HFF89"/>
      <c r="HFG89"/>
      <c r="HFH89"/>
      <c r="HFI89"/>
      <c r="HFJ89"/>
      <c r="HFK89"/>
      <c r="HFL89"/>
      <c r="HFM89"/>
      <c r="HFN89"/>
      <c r="HFO89"/>
      <c r="HFP89"/>
      <c r="HFQ89"/>
      <c r="HFR89"/>
      <c r="HFS89"/>
      <c r="HFT89"/>
      <c r="HFU89"/>
      <c r="HFV89"/>
      <c r="HFW89"/>
      <c r="HFX89"/>
      <c r="HFY89"/>
      <c r="HFZ89"/>
      <c r="HGA89"/>
      <c r="HGB89"/>
      <c r="HGC89"/>
      <c r="HGD89"/>
      <c r="HGE89"/>
      <c r="HGF89"/>
      <c r="HGG89"/>
      <c r="HGH89"/>
      <c r="HGI89"/>
      <c r="HGJ89"/>
      <c r="HGK89"/>
      <c r="HGL89"/>
      <c r="HGM89"/>
      <c r="HGN89"/>
      <c r="HGO89"/>
      <c r="HGP89"/>
      <c r="HGQ89"/>
      <c r="HGR89"/>
      <c r="HGS89"/>
      <c r="HGT89"/>
      <c r="HGU89"/>
      <c r="HGV89"/>
      <c r="HGW89"/>
      <c r="HGX89"/>
      <c r="HGY89"/>
      <c r="HGZ89"/>
      <c r="HHA89"/>
      <c r="HHB89"/>
      <c r="HHC89"/>
      <c r="HHD89"/>
      <c r="HHE89"/>
      <c r="HHF89"/>
      <c r="HHG89"/>
      <c r="HHH89"/>
      <c r="HHI89"/>
      <c r="HHJ89"/>
      <c r="HHK89"/>
      <c r="HHL89"/>
      <c r="HHM89"/>
      <c r="HHN89"/>
      <c r="HHO89"/>
      <c r="HHP89"/>
      <c r="HHQ89"/>
      <c r="HHR89"/>
      <c r="HHS89"/>
      <c r="HHT89"/>
      <c r="HHU89"/>
      <c r="HHV89"/>
      <c r="HHW89"/>
      <c r="HHX89"/>
      <c r="HHY89"/>
      <c r="HHZ89"/>
      <c r="HIA89"/>
      <c r="HIB89"/>
      <c r="HIC89"/>
      <c r="HID89"/>
      <c r="HIE89"/>
      <c r="HIF89"/>
      <c r="HIG89"/>
      <c r="HIH89"/>
      <c r="HII89"/>
      <c r="HIJ89"/>
      <c r="HIK89"/>
      <c r="HIL89"/>
      <c r="HIM89"/>
      <c r="HIN89"/>
      <c r="HIO89"/>
      <c r="HIP89"/>
      <c r="HIQ89"/>
      <c r="HIR89"/>
      <c r="HIS89"/>
      <c r="HIT89"/>
      <c r="HIU89"/>
      <c r="HIV89"/>
      <c r="HIW89"/>
      <c r="HIX89"/>
      <c r="HIY89"/>
      <c r="HIZ89"/>
      <c r="HJA89"/>
      <c r="HJB89"/>
      <c r="HJC89"/>
      <c r="HJD89"/>
      <c r="HJE89"/>
      <c r="HJF89"/>
      <c r="HJG89"/>
      <c r="HJH89"/>
      <c r="HJI89"/>
      <c r="HJJ89"/>
      <c r="HJK89"/>
      <c r="HJL89"/>
      <c r="HJM89"/>
      <c r="HJN89"/>
      <c r="HJO89"/>
      <c r="HJP89"/>
      <c r="HJQ89"/>
      <c r="HJR89"/>
      <c r="HJS89"/>
      <c r="HJT89"/>
      <c r="HJU89"/>
      <c r="HJV89"/>
      <c r="HJW89"/>
      <c r="HJX89"/>
      <c r="HJY89"/>
      <c r="HJZ89"/>
      <c r="HKA89"/>
      <c r="HKB89"/>
      <c r="HKC89"/>
      <c r="HKD89"/>
      <c r="HKE89"/>
      <c r="HKF89"/>
      <c r="HKG89"/>
      <c r="HKH89"/>
      <c r="HKI89"/>
      <c r="HKJ89"/>
      <c r="HKK89"/>
      <c r="HKL89"/>
      <c r="HKM89"/>
      <c r="HKN89"/>
      <c r="HKO89"/>
      <c r="HKP89"/>
      <c r="HKQ89"/>
      <c r="HKR89"/>
      <c r="HKS89"/>
      <c r="HKT89"/>
      <c r="HKU89"/>
      <c r="HKV89"/>
      <c r="HKW89"/>
      <c r="HKX89"/>
      <c r="HKY89"/>
      <c r="HKZ89"/>
      <c r="HLA89"/>
      <c r="HLB89"/>
      <c r="HLC89"/>
      <c r="HLD89"/>
      <c r="HLE89"/>
      <c r="HLF89"/>
      <c r="HLG89"/>
      <c r="HLH89"/>
      <c r="HLI89"/>
      <c r="HLJ89"/>
      <c r="HLK89"/>
      <c r="HLL89"/>
      <c r="HLM89"/>
      <c r="HLN89"/>
      <c r="HLO89"/>
      <c r="HLP89"/>
      <c r="HLQ89"/>
      <c r="HLR89"/>
      <c r="HLS89"/>
      <c r="HLT89"/>
      <c r="HLU89"/>
      <c r="HLV89"/>
      <c r="HLW89"/>
      <c r="HLX89"/>
      <c r="HLY89"/>
      <c r="HLZ89"/>
      <c r="HMA89"/>
      <c r="HMB89"/>
      <c r="HMC89"/>
      <c r="HMD89"/>
      <c r="HME89"/>
      <c r="HMF89"/>
      <c r="HMG89"/>
      <c r="HMH89"/>
      <c r="HMI89"/>
      <c r="HMJ89"/>
      <c r="HMK89"/>
      <c r="HML89"/>
      <c r="HMM89"/>
      <c r="HMN89"/>
      <c r="HMO89"/>
      <c r="HMP89"/>
      <c r="HMQ89"/>
      <c r="HMR89"/>
      <c r="HMS89"/>
      <c r="HMT89"/>
      <c r="HMU89"/>
      <c r="HMV89"/>
      <c r="HMW89"/>
      <c r="HMX89"/>
      <c r="HMY89"/>
      <c r="HMZ89"/>
      <c r="HNA89"/>
      <c r="HNB89"/>
      <c r="HNC89"/>
      <c r="HND89"/>
      <c r="HNE89"/>
      <c r="HNF89"/>
      <c r="HNG89"/>
      <c r="HNH89"/>
      <c r="HNI89"/>
      <c r="HNJ89"/>
      <c r="HNK89"/>
      <c r="HNL89"/>
      <c r="HNM89"/>
      <c r="HNN89"/>
      <c r="HNO89"/>
      <c r="HNP89"/>
      <c r="HNQ89"/>
      <c r="HNR89"/>
      <c r="HNS89"/>
      <c r="HNT89"/>
      <c r="HNU89"/>
      <c r="HNV89"/>
      <c r="HNW89"/>
      <c r="HNX89"/>
      <c r="HNY89"/>
      <c r="HNZ89"/>
      <c r="HOA89"/>
      <c r="HOB89"/>
      <c r="HOC89"/>
      <c r="HOD89"/>
      <c r="HOE89"/>
      <c r="HOF89"/>
      <c r="HOG89"/>
      <c r="HOH89"/>
      <c r="HOI89"/>
      <c r="HOJ89"/>
      <c r="HOK89"/>
      <c r="HOL89"/>
      <c r="HOM89"/>
      <c r="HON89"/>
      <c r="HOO89"/>
      <c r="HOP89"/>
      <c r="HOQ89"/>
      <c r="HOR89"/>
      <c r="HOS89"/>
      <c r="HOT89"/>
      <c r="HOU89"/>
      <c r="HOV89"/>
      <c r="HOW89"/>
      <c r="HOX89"/>
      <c r="HOY89"/>
      <c r="HOZ89"/>
      <c r="HPA89"/>
      <c r="HPB89"/>
      <c r="HPC89"/>
      <c r="HPD89"/>
      <c r="HPE89"/>
      <c r="HPF89"/>
      <c r="HPG89"/>
      <c r="HPH89"/>
      <c r="HPI89"/>
      <c r="HPJ89"/>
      <c r="HPK89"/>
      <c r="HPL89"/>
      <c r="HPM89"/>
      <c r="HPN89"/>
      <c r="HPO89"/>
      <c r="HPP89"/>
      <c r="HPQ89"/>
      <c r="HPR89"/>
      <c r="HPS89"/>
      <c r="HPT89"/>
      <c r="HPU89"/>
      <c r="HPV89"/>
      <c r="HPW89"/>
      <c r="HPX89"/>
      <c r="HPY89"/>
      <c r="HPZ89"/>
      <c r="HQA89"/>
      <c r="HQB89"/>
      <c r="HQC89"/>
      <c r="HQD89"/>
      <c r="HQE89"/>
      <c r="HQF89"/>
      <c r="HQG89"/>
      <c r="HQH89"/>
      <c r="HQI89"/>
      <c r="HQJ89"/>
      <c r="HQK89"/>
      <c r="HQL89"/>
      <c r="HQM89"/>
      <c r="HQN89"/>
      <c r="HQO89"/>
      <c r="HQP89"/>
      <c r="HQQ89"/>
      <c r="HQR89"/>
      <c r="HQS89"/>
      <c r="HQT89"/>
      <c r="HQU89"/>
      <c r="HQV89"/>
      <c r="HQW89"/>
      <c r="HQX89"/>
      <c r="HQY89"/>
      <c r="HQZ89"/>
      <c r="HRA89"/>
      <c r="HRB89"/>
      <c r="HRC89"/>
      <c r="HRD89"/>
      <c r="HRE89"/>
      <c r="HRF89"/>
      <c r="HRG89"/>
      <c r="HRH89"/>
      <c r="HRI89"/>
      <c r="HRJ89"/>
      <c r="HRK89"/>
      <c r="HRL89"/>
      <c r="HRM89"/>
      <c r="HRN89"/>
      <c r="HRO89"/>
      <c r="HRP89"/>
      <c r="HRQ89"/>
      <c r="HRR89"/>
      <c r="HRS89"/>
      <c r="HRT89"/>
      <c r="HRU89"/>
      <c r="HRV89"/>
      <c r="HRW89"/>
      <c r="HRX89"/>
      <c r="HRY89"/>
      <c r="HRZ89"/>
      <c r="HSA89"/>
      <c r="HSB89"/>
      <c r="HSC89"/>
      <c r="HSD89"/>
      <c r="HSE89"/>
      <c r="HSF89"/>
      <c r="HSG89"/>
      <c r="HSH89"/>
      <c r="HSI89"/>
      <c r="HSJ89"/>
      <c r="HSK89"/>
      <c r="HSL89"/>
      <c r="HSM89"/>
      <c r="HSN89"/>
      <c r="HSO89"/>
      <c r="HSP89"/>
      <c r="HSQ89"/>
      <c r="HSR89"/>
      <c r="HSS89"/>
      <c r="HST89"/>
      <c r="HSU89"/>
      <c r="HSV89"/>
      <c r="HSW89"/>
      <c r="HSX89"/>
      <c r="HSY89"/>
      <c r="HSZ89"/>
      <c r="HTA89"/>
      <c r="HTB89"/>
      <c r="HTC89"/>
      <c r="HTD89"/>
      <c r="HTE89"/>
      <c r="HTF89"/>
      <c r="HTG89"/>
      <c r="HTH89"/>
      <c r="HTI89"/>
      <c r="HTJ89"/>
      <c r="HTK89"/>
      <c r="HTL89"/>
      <c r="HTM89"/>
      <c r="HTN89"/>
      <c r="HTO89"/>
      <c r="HTP89"/>
      <c r="HTQ89"/>
      <c r="HTR89"/>
      <c r="HTS89"/>
      <c r="HTT89"/>
      <c r="HTU89"/>
      <c r="HTV89"/>
      <c r="HTW89"/>
      <c r="HTX89"/>
      <c r="HTY89"/>
      <c r="HTZ89"/>
      <c r="HUA89"/>
      <c r="HUB89"/>
      <c r="HUC89"/>
      <c r="HUD89"/>
      <c r="HUE89"/>
      <c r="HUF89"/>
      <c r="HUG89"/>
      <c r="HUH89"/>
      <c r="HUI89"/>
      <c r="HUJ89"/>
      <c r="HUK89"/>
      <c r="HUL89"/>
      <c r="HUM89"/>
      <c r="HUN89"/>
      <c r="HUO89"/>
      <c r="HUP89"/>
      <c r="HUQ89"/>
      <c r="HUR89"/>
      <c r="HUS89"/>
      <c r="HUT89"/>
      <c r="HUU89"/>
      <c r="HUV89"/>
      <c r="HUW89"/>
      <c r="HUX89"/>
      <c r="HUY89"/>
      <c r="HUZ89"/>
      <c r="HVA89"/>
      <c r="HVB89"/>
      <c r="HVC89"/>
      <c r="HVD89"/>
      <c r="HVE89"/>
      <c r="HVF89"/>
      <c r="HVG89"/>
      <c r="HVH89"/>
      <c r="HVI89"/>
      <c r="HVJ89"/>
      <c r="HVK89"/>
      <c r="HVL89"/>
      <c r="HVM89"/>
      <c r="HVN89"/>
      <c r="HVO89"/>
      <c r="HVP89"/>
      <c r="HVQ89"/>
      <c r="HVR89"/>
      <c r="HVS89"/>
      <c r="HVT89"/>
      <c r="HVU89"/>
      <c r="HVV89"/>
      <c r="HVW89"/>
      <c r="HVX89"/>
      <c r="HVY89"/>
      <c r="HVZ89"/>
      <c r="HWA89"/>
      <c r="HWB89"/>
      <c r="HWC89"/>
      <c r="HWD89"/>
      <c r="HWE89"/>
      <c r="HWF89"/>
      <c r="HWG89"/>
      <c r="HWH89"/>
      <c r="HWI89"/>
      <c r="HWJ89"/>
      <c r="HWK89"/>
      <c r="HWL89"/>
      <c r="HWM89"/>
      <c r="HWN89"/>
      <c r="HWO89"/>
      <c r="HWP89"/>
      <c r="HWQ89"/>
      <c r="HWR89"/>
      <c r="HWS89"/>
      <c r="HWT89"/>
      <c r="HWU89"/>
      <c r="HWV89"/>
      <c r="HWW89"/>
      <c r="HWX89"/>
      <c r="HWY89"/>
      <c r="HWZ89"/>
      <c r="HXA89"/>
      <c r="HXB89"/>
      <c r="HXC89"/>
      <c r="HXD89"/>
      <c r="HXE89"/>
      <c r="HXF89"/>
      <c r="HXG89"/>
      <c r="HXH89"/>
      <c r="HXI89"/>
      <c r="HXJ89"/>
      <c r="HXK89"/>
      <c r="HXL89"/>
      <c r="HXM89"/>
      <c r="HXN89"/>
      <c r="HXO89"/>
      <c r="HXP89"/>
      <c r="HXQ89"/>
      <c r="HXR89"/>
      <c r="HXS89"/>
      <c r="HXT89"/>
      <c r="HXU89"/>
      <c r="HXV89"/>
      <c r="HXW89"/>
      <c r="HXX89"/>
      <c r="HXY89"/>
      <c r="HXZ89"/>
      <c r="HYA89"/>
      <c r="HYB89"/>
      <c r="HYC89"/>
      <c r="HYD89"/>
      <c r="HYE89"/>
      <c r="HYF89"/>
      <c r="HYG89"/>
      <c r="HYH89"/>
      <c r="HYI89"/>
      <c r="HYJ89"/>
      <c r="HYK89"/>
      <c r="HYL89"/>
      <c r="HYM89"/>
      <c r="HYN89"/>
      <c r="HYO89"/>
      <c r="HYP89"/>
      <c r="HYQ89"/>
      <c r="HYR89"/>
      <c r="HYS89"/>
      <c r="HYT89"/>
      <c r="HYU89"/>
      <c r="HYV89"/>
      <c r="HYW89"/>
      <c r="HYX89"/>
      <c r="HYY89"/>
      <c r="HYZ89"/>
      <c r="HZA89"/>
      <c r="HZB89"/>
      <c r="HZC89"/>
      <c r="HZD89"/>
      <c r="HZE89"/>
      <c r="HZF89"/>
      <c r="HZG89"/>
      <c r="HZH89"/>
      <c r="HZI89"/>
      <c r="HZJ89"/>
      <c r="HZK89"/>
      <c r="HZL89"/>
      <c r="HZM89"/>
      <c r="HZN89"/>
      <c r="HZO89"/>
      <c r="HZP89"/>
      <c r="HZQ89"/>
      <c r="HZR89"/>
      <c r="HZS89"/>
      <c r="HZT89"/>
      <c r="HZU89"/>
      <c r="HZV89"/>
      <c r="HZW89"/>
      <c r="HZX89"/>
      <c r="HZY89"/>
      <c r="HZZ89"/>
      <c r="IAA89"/>
      <c r="IAB89"/>
      <c r="IAC89"/>
      <c r="IAD89"/>
      <c r="IAE89"/>
      <c r="IAF89"/>
      <c r="IAG89"/>
      <c r="IAH89"/>
      <c r="IAI89"/>
      <c r="IAJ89"/>
      <c r="IAK89"/>
      <c r="IAL89"/>
      <c r="IAM89"/>
      <c r="IAN89"/>
      <c r="IAO89"/>
      <c r="IAP89"/>
      <c r="IAQ89"/>
      <c r="IAR89"/>
      <c r="IAS89"/>
      <c r="IAT89"/>
      <c r="IAU89"/>
      <c r="IAV89"/>
      <c r="IAW89"/>
      <c r="IAX89"/>
      <c r="IAY89"/>
      <c r="IAZ89"/>
      <c r="IBA89"/>
      <c r="IBB89"/>
      <c r="IBC89"/>
      <c r="IBD89"/>
      <c r="IBE89"/>
      <c r="IBF89"/>
      <c r="IBG89"/>
      <c r="IBH89"/>
      <c r="IBI89"/>
      <c r="IBJ89"/>
      <c r="IBK89"/>
      <c r="IBL89"/>
      <c r="IBM89"/>
      <c r="IBN89"/>
      <c r="IBO89"/>
      <c r="IBP89"/>
      <c r="IBQ89"/>
      <c r="IBR89"/>
      <c r="IBS89"/>
      <c r="IBT89"/>
      <c r="IBU89"/>
      <c r="IBV89"/>
      <c r="IBW89"/>
      <c r="IBX89"/>
      <c r="IBY89"/>
      <c r="IBZ89"/>
      <c r="ICA89"/>
      <c r="ICB89"/>
      <c r="ICC89"/>
      <c r="ICD89"/>
      <c r="ICE89"/>
      <c r="ICF89"/>
      <c r="ICG89"/>
      <c r="ICH89"/>
      <c r="ICI89"/>
      <c r="ICJ89"/>
      <c r="ICK89"/>
      <c r="ICL89"/>
      <c r="ICM89"/>
      <c r="ICN89"/>
      <c r="ICO89"/>
      <c r="ICP89"/>
      <c r="ICQ89"/>
      <c r="ICR89"/>
      <c r="ICS89"/>
      <c r="ICT89"/>
      <c r="ICU89"/>
      <c r="ICV89"/>
      <c r="ICW89"/>
      <c r="ICX89"/>
      <c r="ICY89"/>
      <c r="ICZ89"/>
      <c r="IDA89"/>
      <c r="IDB89"/>
      <c r="IDC89"/>
      <c r="IDD89"/>
      <c r="IDE89"/>
      <c r="IDF89"/>
      <c r="IDG89"/>
      <c r="IDH89"/>
      <c r="IDI89"/>
      <c r="IDJ89"/>
      <c r="IDK89"/>
      <c r="IDL89"/>
      <c r="IDM89"/>
      <c r="IDN89"/>
      <c r="IDO89"/>
      <c r="IDP89"/>
      <c r="IDQ89"/>
      <c r="IDR89"/>
      <c r="IDS89"/>
      <c r="IDT89"/>
      <c r="IDU89"/>
      <c r="IDV89"/>
      <c r="IDW89"/>
      <c r="IDX89"/>
      <c r="IDY89"/>
      <c r="IDZ89"/>
      <c r="IEA89"/>
      <c r="IEB89"/>
      <c r="IEC89"/>
      <c r="IED89"/>
      <c r="IEE89"/>
      <c r="IEF89"/>
      <c r="IEG89"/>
      <c r="IEH89"/>
      <c r="IEI89"/>
      <c r="IEJ89"/>
      <c r="IEK89"/>
      <c r="IEL89"/>
      <c r="IEM89"/>
      <c r="IEN89"/>
      <c r="IEO89"/>
      <c r="IEP89"/>
      <c r="IEQ89"/>
      <c r="IER89"/>
      <c r="IES89"/>
      <c r="IET89"/>
      <c r="IEU89"/>
      <c r="IEV89"/>
      <c r="IEW89"/>
      <c r="IEX89"/>
      <c r="IEY89"/>
      <c r="IEZ89"/>
      <c r="IFA89"/>
      <c r="IFB89"/>
      <c r="IFC89"/>
      <c r="IFD89"/>
      <c r="IFE89"/>
      <c r="IFF89"/>
      <c r="IFG89"/>
      <c r="IFH89"/>
      <c r="IFI89"/>
      <c r="IFJ89"/>
      <c r="IFK89"/>
      <c r="IFL89"/>
      <c r="IFM89"/>
      <c r="IFN89"/>
      <c r="IFO89"/>
      <c r="IFP89"/>
      <c r="IFQ89"/>
      <c r="IFR89"/>
      <c r="IFS89"/>
      <c r="IFT89"/>
      <c r="IFU89"/>
      <c r="IFV89"/>
      <c r="IFW89"/>
      <c r="IFX89"/>
      <c r="IFY89"/>
      <c r="IFZ89"/>
      <c r="IGA89"/>
      <c r="IGB89"/>
      <c r="IGC89"/>
      <c r="IGD89"/>
      <c r="IGE89"/>
      <c r="IGF89"/>
      <c r="IGG89"/>
      <c r="IGH89"/>
      <c r="IGI89"/>
      <c r="IGJ89"/>
      <c r="IGK89"/>
      <c r="IGL89"/>
      <c r="IGM89"/>
      <c r="IGN89"/>
      <c r="IGO89"/>
      <c r="IGP89"/>
      <c r="IGQ89"/>
      <c r="IGR89"/>
      <c r="IGS89"/>
      <c r="IGT89"/>
      <c r="IGU89"/>
      <c r="IGV89"/>
      <c r="IGW89"/>
      <c r="IGX89"/>
      <c r="IGY89"/>
      <c r="IGZ89"/>
      <c r="IHA89"/>
      <c r="IHB89"/>
      <c r="IHC89"/>
      <c r="IHD89"/>
      <c r="IHE89"/>
      <c r="IHF89"/>
      <c r="IHG89"/>
      <c r="IHH89"/>
      <c r="IHI89"/>
      <c r="IHJ89"/>
      <c r="IHK89"/>
      <c r="IHL89"/>
      <c r="IHM89"/>
      <c r="IHN89"/>
      <c r="IHO89"/>
      <c r="IHP89"/>
      <c r="IHQ89"/>
      <c r="IHR89"/>
      <c r="IHS89"/>
      <c r="IHT89"/>
      <c r="IHU89"/>
      <c r="IHV89"/>
      <c r="IHW89"/>
      <c r="IHX89"/>
      <c r="IHY89"/>
      <c r="IHZ89"/>
      <c r="IIA89"/>
      <c r="IIB89"/>
      <c r="IIC89"/>
      <c r="IID89"/>
      <c r="IIE89"/>
      <c r="IIF89"/>
      <c r="IIG89"/>
      <c r="IIH89"/>
      <c r="III89"/>
      <c r="IIJ89"/>
      <c r="IIK89"/>
      <c r="IIL89"/>
      <c r="IIM89"/>
      <c r="IIN89"/>
      <c r="IIO89"/>
      <c r="IIP89"/>
      <c r="IIQ89"/>
      <c r="IIR89"/>
      <c r="IIS89"/>
      <c r="IIT89"/>
      <c r="IIU89"/>
      <c r="IIV89"/>
      <c r="IIW89"/>
      <c r="IIX89"/>
      <c r="IIY89"/>
      <c r="IIZ89"/>
      <c r="IJA89"/>
      <c r="IJB89"/>
      <c r="IJC89"/>
      <c r="IJD89"/>
      <c r="IJE89"/>
      <c r="IJF89"/>
      <c r="IJG89"/>
      <c r="IJH89"/>
      <c r="IJI89"/>
      <c r="IJJ89"/>
      <c r="IJK89"/>
      <c r="IJL89"/>
      <c r="IJM89"/>
      <c r="IJN89"/>
      <c r="IJO89"/>
      <c r="IJP89"/>
      <c r="IJQ89"/>
      <c r="IJR89"/>
      <c r="IJS89"/>
      <c r="IJT89"/>
      <c r="IJU89"/>
      <c r="IJV89"/>
      <c r="IJW89"/>
      <c r="IJX89"/>
      <c r="IJY89"/>
      <c r="IJZ89"/>
      <c r="IKA89"/>
      <c r="IKB89"/>
      <c r="IKC89"/>
      <c r="IKD89"/>
      <c r="IKE89"/>
      <c r="IKF89"/>
      <c r="IKG89"/>
      <c r="IKH89"/>
      <c r="IKI89"/>
      <c r="IKJ89"/>
      <c r="IKK89"/>
      <c r="IKL89"/>
      <c r="IKM89"/>
      <c r="IKN89"/>
      <c r="IKO89"/>
      <c r="IKP89"/>
      <c r="IKQ89"/>
      <c r="IKR89"/>
      <c r="IKS89"/>
      <c r="IKT89"/>
      <c r="IKU89"/>
      <c r="IKV89"/>
      <c r="IKW89"/>
      <c r="IKX89"/>
      <c r="IKY89"/>
      <c r="IKZ89"/>
      <c r="ILA89"/>
      <c r="ILB89"/>
      <c r="ILC89"/>
      <c r="ILD89"/>
      <c r="ILE89"/>
      <c r="ILF89"/>
      <c r="ILG89"/>
      <c r="ILH89"/>
      <c r="ILI89"/>
      <c r="ILJ89"/>
      <c r="ILK89"/>
      <c r="ILL89"/>
      <c r="ILM89"/>
      <c r="ILN89"/>
      <c r="ILO89"/>
      <c r="ILP89"/>
      <c r="ILQ89"/>
      <c r="ILR89"/>
      <c r="ILS89"/>
      <c r="ILT89"/>
      <c r="ILU89"/>
      <c r="ILV89"/>
      <c r="ILW89"/>
      <c r="ILX89"/>
      <c r="ILY89"/>
      <c r="ILZ89"/>
      <c r="IMA89"/>
      <c r="IMB89"/>
      <c r="IMC89"/>
      <c r="IMD89"/>
      <c r="IME89"/>
      <c r="IMF89"/>
      <c r="IMG89"/>
      <c r="IMH89"/>
      <c r="IMI89"/>
      <c r="IMJ89"/>
      <c r="IMK89"/>
      <c r="IML89"/>
      <c r="IMM89"/>
      <c r="IMN89"/>
      <c r="IMO89"/>
      <c r="IMP89"/>
      <c r="IMQ89"/>
      <c r="IMR89"/>
      <c r="IMS89"/>
      <c r="IMT89"/>
      <c r="IMU89"/>
      <c r="IMV89"/>
      <c r="IMW89"/>
      <c r="IMX89"/>
      <c r="IMY89"/>
      <c r="IMZ89"/>
      <c r="INA89"/>
      <c r="INB89"/>
      <c r="INC89"/>
      <c r="IND89"/>
      <c r="INE89"/>
      <c r="INF89"/>
      <c r="ING89"/>
      <c r="INH89"/>
      <c r="INI89"/>
      <c r="INJ89"/>
      <c r="INK89"/>
      <c r="INL89"/>
      <c r="INM89"/>
      <c r="INN89"/>
      <c r="INO89"/>
      <c r="INP89"/>
      <c r="INQ89"/>
      <c r="INR89"/>
      <c r="INS89"/>
      <c r="INT89"/>
      <c r="INU89"/>
      <c r="INV89"/>
      <c r="INW89"/>
      <c r="INX89"/>
      <c r="INY89"/>
      <c r="INZ89"/>
      <c r="IOA89"/>
      <c r="IOB89"/>
      <c r="IOC89"/>
      <c r="IOD89"/>
      <c r="IOE89"/>
      <c r="IOF89"/>
      <c r="IOG89"/>
      <c r="IOH89"/>
      <c r="IOI89"/>
      <c r="IOJ89"/>
      <c r="IOK89"/>
      <c r="IOL89"/>
      <c r="IOM89"/>
      <c r="ION89"/>
      <c r="IOO89"/>
      <c r="IOP89"/>
      <c r="IOQ89"/>
      <c r="IOR89"/>
      <c r="IOS89"/>
      <c r="IOT89"/>
      <c r="IOU89"/>
      <c r="IOV89"/>
      <c r="IOW89"/>
      <c r="IOX89"/>
      <c r="IOY89"/>
      <c r="IOZ89"/>
      <c r="IPA89"/>
      <c r="IPB89"/>
      <c r="IPC89"/>
      <c r="IPD89"/>
      <c r="IPE89"/>
      <c r="IPF89"/>
      <c r="IPG89"/>
      <c r="IPH89"/>
      <c r="IPI89"/>
      <c r="IPJ89"/>
      <c r="IPK89"/>
      <c r="IPL89"/>
      <c r="IPM89"/>
      <c r="IPN89"/>
      <c r="IPO89"/>
      <c r="IPP89"/>
      <c r="IPQ89"/>
      <c r="IPR89"/>
      <c r="IPS89"/>
      <c r="IPT89"/>
      <c r="IPU89"/>
      <c r="IPV89"/>
      <c r="IPW89"/>
      <c r="IPX89"/>
      <c r="IPY89"/>
      <c r="IPZ89"/>
      <c r="IQA89"/>
      <c r="IQB89"/>
      <c r="IQC89"/>
      <c r="IQD89"/>
      <c r="IQE89"/>
      <c r="IQF89"/>
      <c r="IQG89"/>
      <c r="IQH89"/>
      <c r="IQI89"/>
      <c r="IQJ89"/>
      <c r="IQK89"/>
      <c r="IQL89"/>
      <c r="IQM89"/>
      <c r="IQN89"/>
      <c r="IQO89"/>
      <c r="IQP89"/>
      <c r="IQQ89"/>
      <c r="IQR89"/>
      <c r="IQS89"/>
      <c r="IQT89"/>
      <c r="IQU89"/>
      <c r="IQV89"/>
      <c r="IQW89"/>
      <c r="IQX89"/>
      <c r="IQY89"/>
      <c r="IQZ89"/>
      <c r="IRA89"/>
      <c r="IRB89"/>
      <c r="IRC89"/>
      <c r="IRD89"/>
      <c r="IRE89"/>
      <c r="IRF89"/>
      <c r="IRG89"/>
      <c r="IRH89"/>
      <c r="IRI89"/>
      <c r="IRJ89"/>
      <c r="IRK89"/>
      <c r="IRL89"/>
      <c r="IRM89"/>
      <c r="IRN89"/>
      <c r="IRO89"/>
      <c r="IRP89"/>
      <c r="IRQ89"/>
      <c r="IRR89"/>
      <c r="IRS89"/>
      <c r="IRT89"/>
      <c r="IRU89"/>
      <c r="IRV89"/>
      <c r="IRW89"/>
      <c r="IRX89"/>
      <c r="IRY89"/>
      <c r="IRZ89"/>
      <c r="ISA89"/>
      <c r="ISB89"/>
      <c r="ISC89"/>
      <c r="ISD89"/>
      <c r="ISE89"/>
      <c r="ISF89"/>
      <c r="ISG89"/>
      <c r="ISH89"/>
      <c r="ISI89"/>
      <c r="ISJ89"/>
      <c r="ISK89"/>
      <c r="ISL89"/>
      <c r="ISM89"/>
      <c r="ISN89"/>
      <c r="ISO89"/>
      <c r="ISP89"/>
      <c r="ISQ89"/>
      <c r="ISR89"/>
      <c r="ISS89"/>
      <c r="IST89"/>
      <c r="ISU89"/>
      <c r="ISV89"/>
      <c r="ISW89"/>
      <c r="ISX89"/>
      <c r="ISY89"/>
      <c r="ISZ89"/>
      <c r="ITA89"/>
      <c r="ITB89"/>
      <c r="ITC89"/>
      <c r="ITD89"/>
      <c r="ITE89"/>
      <c r="ITF89"/>
      <c r="ITG89"/>
      <c r="ITH89"/>
      <c r="ITI89"/>
      <c r="ITJ89"/>
      <c r="ITK89"/>
      <c r="ITL89"/>
      <c r="ITM89"/>
      <c r="ITN89"/>
      <c r="ITO89"/>
      <c r="ITP89"/>
      <c r="ITQ89"/>
      <c r="ITR89"/>
      <c r="ITS89"/>
      <c r="ITT89"/>
      <c r="ITU89"/>
      <c r="ITV89"/>
      <c r="ITW89"/>
      <c r="ITX89"/>
      <c r="ITY89"/>
      <c r="ITZ89"/>
      <c r="IUA89"/>
      <c r="IUB89"/>
      <c r="IUC89"/>
      <c r="IUD89"/>
      <c r="IUE89"/>
      <c r="IUF89"/>
      <c r="IUG89"/>
      <c r="IUH89"/>
      <c r="IUI89"/>
      <c r="IUJ89"/>
      <c r="IUK89"/>
      <c r="IUL89"/>
      <c r="IUM89"/>
      <c r="IUN89"/>
      <c r="IUO89"/>
      <c r="IUP89"/>
      <c r="IUQ89"/>
      <c r="IUR89"/>
      <c r="IUS89"/>
      <c r="IUT89"/>
      <c r="IUU89"/>
      <c r="IUV89"/>
      <c r="IUW89"/>
      <c r="IUX89"/>
      <c r="IUY89"/>
      <c r="IUZ89"/>
      <c r="IVA89"/>
      <c r="IVB89"/>
      <c r="IVC89"/>
      <c r="IVD89"/>
      <c r="IVE89"/>
      <c r="IVF89"/>
      <c r="IVG89"/>
      <c r="IVH89"/>
      <c r="IVI89"/>
      <c r="IVJ89"/>
      <c r="IVK89"/>
      <c r="IVL89"/>
      <c r="IVM89"/>
      <c r="IVN89"/>
      <c r="IVO89"/>
      <c r="IVP89"/>
      <c r="IVQ89"/>
      <c r="IVR89"/>
      <c r="IVS89"/>
      <c r="IVT89"/>
      <c r="IVU89"/>
      <c r="IVV89"/>
      <c r="IVW89"/>
      <c r="IVX89"/>
      <c r="IVY89"/>
      <c r="IVZ89"/>
      <c r="IWA89"/>
      <c r="IWB89"/>
      <c r="IWC89"/>
      <c r="IWD89"/>
      <c r="IWE89"/>
      <c r="IWF89"/>
      <c r="IWG89"/>
      <c r="IWH89"/>
      <c r="IWI89"/>
      <c r="IWJ89"/>
      <c r="IWK89"/>
      <c r="IWL89"/>
      <c r="IWM89"/>
      <c r="IWN89"/>
      <c r="IWO89"/>
      <c r="IWP89"/>
      <c r="IWQ89"/>
      <c r="IWR89"/>
      <c r="IWS89"/>
      <c r="IWT89"/>
      <c r="IWU89"/>
      <c r="IWV89"/>
      <c r="IWW89"/>
      <c r="IWX89"/>
      <c r="IWY89"/>
      <c r="IWZ89"/>
      <c r="IXA89"/>
      <c r="IXB89"/>
      <c r="IXC89"/>
      <c r="IXD89"/>
      <c r="IXE89"/>
      <c r="IXF89"/>
      <c r="IXG89"/>
      <c r="IXH89"/>
      <c r="IXI89"/>
      <c r="IXJ89"/>
      <c r="IXK89"/>
      <c r="IXL89"/>
      <c r="IXM89"/>
      <c r="IXN89"/>
      <c r="IXO89"/>
      <c r="IXP89"/>
      <c r="IXQ89"/>
      <c r="IXR89"/>
      <c r="IXS89"/>
      <c r="IXT89"/>
      <c r="IXU89"/>
      <c r="IXV89"/>
      <c r="IXW89"/>
      <c r="IXX89"/>
      <c r="IXY89"/>
      <c r="IXZ89"/>
      <c r="IYA89"/>
      <c r="IYB89"/>
      <c r="IYC89"/>
      <c r="IYD89"/>
      <c r="IYE89"/>
      <c r="IYF89"/>
      <c r="IYG89"/>
      <c r="IYH89"/>
      <c r="IYI89"/>
      <c r="IYJ89"/>
      <c r="IYK89"/>
      <c r="IYL89"/>
      <c r="IYM89"/>
      <c r="IYN89"/>
      <c r="IYO89"/>
      <c r="IYP89"/>
      <c r="IYQ89"/>
      <c r="IYR89"/>
      <c r="IYS89"/>
      <c r="IYT89"/>
      <c r="IYU89"/>
      <c r="IYV89"/>
      <c r="IYW89"/>
      <c r="IYX89"/>
      <c r="IYY89"/>
      <c r="IYZ89"/>
      <c r="IZA89"/>
      <c r="IZB89"/>
      <c r="IZC89"/>
      <c r="IZD89"/>
      <c r="IZE89"/>
      <c r="IZF89"/>
      <c r="IZG89"/>
      <c r="IZH89"/>
      <c r="IZI89"/>
      <c r="IZJ89"/>
      <c r="IZK89"/>
      <c r="IZL89"/>
      <c r="IZM89"/>
      <c r="IZN89"/>
      <c r="IZO89"/>
      <c r="IZP89"/>
      <c r="IZQ89"/>
      <c r="IZR89"/>
      <c r="IZS89"/>
      <c r="IZT89"/>
      <c r="IZU89"/>
      <c r="IZV89"/>
      <c r="IZW89"/>
      <c r="IZX89"/>
      <c r="IZY89"/>
      <c r="IZZ89"/>
      <c r="JAA89"/>
      <c r="JAB89"/>
      <c r="JAC89"/>
      <c r="JAD89"/>
      <c r="JAE89"/>
      <c r="JAF89"/>
      <c r="JAG89"/>
      <c r="JAH89"/>
      <c r="JAI89"/>
      <c r="JAJ89"/>
      <c r="JAK89"/>
      <c r="JAL89"/>
      <c r="JAM89"/>
      <c r="JAN89"/>
      <c r="JAO89"/>
      <c r="JAP89"/>
      <c r="JAQ89"/>
      <c r="JAR89"/>
      <c r="JAS89"/>
      <c r="JAT89"/>
      <c r="JAU89"/>
      <c r="JAV89"/>
      <c r="JAW89"/>
      <c r="JAX89"/>
      <c r="JAY89"/>
      <c r="JAZ89"/>
      <c r="JBA89"/>
      <c r="JBB89"/>
      <c r="JBC89"/>
      <c r="JBD89"/>
      <c r="JBE89"/>
      <c r="JBF89"/>
      <c r="JBG89"/>
      <c r="JBH89"/>
      <c r="JBI89"/>
      <c r="JBJ89"/>
      <c r="JBK89"/>
      <c r="JBL89"/>
      <c r="JBM89"/>
      <c r="JBN89"/>
      <c r="JBO89"/>
      <c r="JBP89"/>
      <c r="JBQ89"/>
      <c r="JBR89"/>
      <c r="JBS89"/>
      <c r="JBT89"/>
      <c r="JBU89"/>
      <c r="JBV89"/>
      <c r="JBW89"/>
      <c r="JBX89"/>
      <c r="JBY89"/>
      <c r="JBZ89"/>
      <c r="JCA89"/>
      <c r="JCB89"/>
      <c r="JCC89"/>
      <c r="JCD89"/>
      <c r="JCE89"/>
      <c r="JCF89"/>
      <c r="JCG89"/>
      <c r="JCH89"/>
      <c r="JCI89"/>
      <c r="JCJ89"/>
      <c r="JCK89"/>
      <c r="JCL89"/>
      <c r="JCM89"/>
      <c r="JCN89"/>
      <c r="JCO89"/>
      <c r="JCP89"/>
      <c r="JCQ89"/>
      <c r="JCR89"/>
      <c r="JCS89"/>
      <c r="JCT89"/>
      <c r="JCU89"/>
      <c r="JCV89"/>
      <c r="JCW89"/>
      <c r="JCX89"/>
      <c r="JCY89"/>
      <c r="JCZ89"/>
      <c r="JDA89"/>
      <c r="JDB89"/>
      <c r="JDC89"/>
      <c r="JDD89"/>
      <c r="JDE89"/>
      <c r="JDF89"/>
      <c r="JDG89"/>
      <c r="JDH89"/>
      <c r="JDI89"/>
      <c r="JDJ89"/>
      <c r="JDK89"/>
      <c r="JDL89"/>
      <c r="JDM89"/>
      <c r="JDN89"/>
      <c r="JDO89"/>
      <c r="JDP89"/>
      <c r="JDQ89"/>
      <c r="JDR89"/>
      <c r="JDS89"/>
      <c r="JDT89"/>
      <c r="JDU89"/>
      <c r="JDV89"/>
      <c r="JDW89"/>
      <c r="JDX89"/>
      <c r="JDY89"/>
      <c r="JDZ89"/>
      <c r="JEA89"/>
      <c r="JEB89"/>
      <c r="JEC89"/>
      <c r="JED89"/>
      <c r="JEE89"/>
      <c r="JEF89"/>
      <c r="JEG89"/>
      <c r="JEH89"/>
      <c r="JEI89"/>
      <c r="JEJ89"/>
      <c r="JEK89"/>
      <c r="JEL89"/>
      <c r="JEM89"/>
      <c r="JEN89"/>
      <c r="JEO89"/>
      <c r="JEP89"/>
      <c r="JEQ89"/>
      <c r="JER89"/>
      <c r="JES89"/>
      <c r="JET89"/>
      <c r="JEU89"/>
      <c r="JEV89"/>
      <c r="JEW89"/>
      <c r="JEX89"/>
      <c r="JEY89"/>
      <c r="JEZ89"/>
      <c r="JFA89"/>
      <c r="JFB89"/>
      <c r="JFC89"/>
      <c r="JFD89"/>
      <c r="JFE89"/>
      <c r="JFF89"/>
      <c r="JFG89"/>
      <c r="JFH89"/>
      <c r="JFI89"/>
      <c r="JFJ89"/>
      <c r="JFK89"/>
      <c r="JFL89"/>
      <c r="JFM89"/>
      <c r="JFN89"/>
      <c r="JFO89"/>
      <c r="JFP89"/>
      <c r="JFQ89"/>
      <c r="JFR89"/>
      <c r="JFS89"/>
      <c r="JFT89"/>
      <c r="JFU89"/>
      <c r="JFV89"/>
      <c r="JFW89"/>
      <c r="JFX89"/>
      <c r="JFY89"/>
      <c r="JFZ89"/>
      <c r="JGA89"/>
      <c r="JGB89"/>
      <c r="JGC89"/>
      <c r="JGD89"/>
      <c r="JGE89"/>
      <c r="JGF89"/>
      <c r="JGG89"/>
      <c r="JGH89"/>
      <c r="JGI89"/>
      <c r="JGJ89"/>
      <c r="JGK89"/>
      <c r="JGL89"/>
      <c r="JGM89"/>
      <c r="JGN89"/>
      <c r="JGO89"/>
      <c r="JGP89"/>
      <c r="JGQ89"/>
      <c r="JGR89"/>
      <c r="JGS89"/>
      <c r="JGT89"/>
      <c r="JGU89"/>
      <c r="JGV89"/>
      <c r="JGW89"/>
      <c r="JGX89"/>
      <c r="JGY89"/>
      <c r="JGZ89"/>
      <c r="JHA89"/>
      <c r="JHB89"/>
      <c r="JHC89"/>
      <c r="JHD89"/>
      <c r="JHE89"/>
      <c r="JHF89"/>
      <c r="JHG89"/>
      <c r="JHH89"/>
      <c r="JHI89"/>
      <c r="JHJ89"/>
      <c r="JHK89"/>
      <c r="JHL89"/>
      <c r="JHM89"/>
      <c r="JHN89"/>
      <c r="JHO89"/>
      <c r="JHP89"/>
      <c r="JHQ89"/>
      <c r="JHR89"/>
      <c r="JHS89"/>
      <c r="JHT89"/>
      <c r="JHU89"/>
      <c r="JHV89"/>
      <c r="JHW89"/>
      <c r="JHX89"/>
      <c r="JHY89"/>
      <c r="JHZ89"/>
      <c r="JIA89"/>
      <c r="JIB89"/>
      <c r="JIC89"/>
      <c r="JID89"/>
      <c r="JIE89"/>
      <c r="JIF89"/>
      <c r="JIG89"/>
      <c r="JIH89"/>
      <c r="JII89"/>
      <c r="JIJ89"/>
      <c r="JIK89"/>
      <c r="JIL89"/>
      <c r="JIM89"/>
      <c r="JIN89"/>
      <c r="JIO89"/>
      <c r="JIP89"/>
      <c r="JIQ89"/>
      <c r="JIR89"/>
      <c r="JIS89"/>
      <c r="JIT89"/>
      <c r="JIU89"/>
      <c r="JIV89"/>
      <c r="JIW89"/>
      <c r="JIX89"/>
      <c r="JIY89"/>
      <c r="JIZ89"/>
      <c r="JJA89"/>
      <c r="JJB89"/>
      <c r="JJC89"/>
      <c r="JJD89"/>
      <c r="JJE89"/>
      <c r="JJF89"/>
      <c r="JJG89"/>
      <c r="JJH89"/>
      <c r="JJI89"/>
      <c r="JJJ89"/>
      <c r="JJK89"/>
      <c r="JJL89"/>
      <c r="JJM89"/>
      <c r="JJN89"/>
      <c r="JJO89"/>
      <c r="JJP89"/>
      <c r="JJQ89"/>
      <c r="JJR89"/>
      <c r="JJS89"/>
      <c r="JJT89"/>
      <c r="JJU89"/>
      <c r="JJV89"/>
      <c r="JJW89"/>
      <c r="JJX89"/>
      <c r="JJY89"/>
      <c r="JJZ89"/>
      <c r="JKA89"/>
      <c r="JKB89"/>
      <c r="JKC89"/>
      <c r="JKD89"/>
      <c r="JKE89"/>
      <c r="JKF89"/>
      <c r="JKG89"/>
      <c r="JKH89"/>
      <c r="JKI89"/>
      <c r="JKJ89"/>
      <c r="JKK89"/>
      <c r="JKL89"/>
      <c r="JKM89"/>
      <c r="JKN89"/>
      <c r="JKO89"/>
      <c r="JKP89"/>
      <c r="JKQ89"/>
      <c r="JKR89"/>
      <c r="JKS89"/>
      <c r="JKT89"/>
      <c r="JKU89"/>
      <c r="JKV89"/>
      <c r="JKW89"/>
      <c r="JKX89"/>
      <c r="JKY89"/>
      <c r="JKZ89"/>
      <c r="JLA89"/>
      <c r="JLB89"/>
      <c r="JLC89"/>
      <c r="JLD89"/>
      <c r="JLE89"/>
      <c r="JLF89"/>
      <c r="JLG89"/>
      <c r="JLH89"/>
      <c r="JLI89"/>
      <c r="JLJ89"/>
      <c r="JLK89"/>
      <c r="JLL89"/>
      <c r="JLM89"/>
      <c r="JLN89"/>
      <c r="JLO89"/>
      <c r="JLP89"/>
      <c r="JLQ89"/>
      <c r="JLR89"/>
      <c r="JLS89"/>
      <c r="JLT89"/>
      <c r="JLU89"/>
      <c r="JLV89"/>
      <c r="JLW89"/>
      <c r="JLX89"/>
      <c r="JLY89"/>
      <c r="JLZ89"/>
      <c r="JMA89"/>
      <c r="JMB89"/>
      <c r="JMC89"/>
      <c r="JMD89"/>
      <c r="JME89"/>
      <c r="JMF89"/>
      <c r="JMG89"/>
      <c r="JMH89"/>
      <c r="JMI89"/>
      <c r="JMJ89"/>
      <c r="JMK89"/>
      <c r="JML89"/>
      <c r="JMM89"/>
      <c r="JMN89"/>
      <c r="JMO89"/>
      <c r="JMP89"/>
      <c r="JMQ89"/>
      <c r="JMR89"/>
      <c r="JMS89"/>
      <c r="JMT89"/>
      <c r="JMU89"/>
      <c r="JMV89"/>
      <c r="JMW89"/>
      <c r="JMX89"/>
      <c r="JMY89"/>
      <c r="JMZ89"/>
      <c r="JNA89"/>
      <c r="JNB89"/>
      <c r="JNC89"/>
      <c r="JND89"/>
      <c r="JNE89"/>
      <c r="JNF89"/>
      <c r="JNG89"/>
      <c r="JNH89"/>
      <c r="JNI89"/>
      <c r="JNJ89"/>
      <c r="JNK89"/>
      <c r="JNL89"/>
      <c r="JNM89"/>
      <c r="JNN89"/>
      <c r="JNO89"/>
      <c r="JNP89"/>
      <c r="JNQ89"/>
      <c r="JNR89"/>
      <c r="JNS89"/>
      <c r="JNT89"/>
      <c r="JNU89"/>
      <c r="JNV89"/>
      <c r="JNW89"/>
      <c r="JNX89"/>
      <c r="JNY89"/>
      <c r="JNZ89"/>
      <c r="JOA89"/>
      <c r="JOB89"/>
      <c r="JOC89"/>
      <c r="JOD89"/>
      <c r="JOE89"/>
      <c r="JOF89"/>
      <c r="JOG89"/>
      <c r="JOH89"/>
      <c r="JOI89"/>
      <c r="JOJ89"/>
      <c r="JOK89"/>
      <c r="JOL89"/>
      <c r="JOM89"/>
      <c r="JON89"/>
      <c r="JOO89"/>
      <c r="JOP89"/>
      <c r="JOQ89"/>
      <c r="JOR89"/>
      <c r="JOS89"/>
      <c r="JOT89"/>
      <c r="JOU89"/>
      <c r="JOV89"/>
      <c r="JOW89"/>
      <c r="JOX89"/>
      <c r="JOY89"/>
      <c r="JOZ89"/>
      <c r="JPA89"/>
      <c r="JPB89"/>
      <c r="JPC89"/>
      <c r="JPD89"/>
      <c r="JPE89"/>
      <c r="JPF89"/>
      <c r="JPG89"/>
      <c r="JPH89"/>
      <c r="JPI89"/>
      <c r="JPJ89"/>
      <c r="JPK89"/>
      <c r="JPL89"/>
      <c r="JPM89"/>
      <c r="JPN89"/>
      <c r="JPO89"/>
      <c r="JPP89"/>
      <c r="JPQ89"/>
      <c r="JPR89"/>
      <c r="JPS89"/>
      <c r="JPT89"/>
      <c r="JPU89"/>
      <c r="JPV89"/>
      <c r="JPW89"/>
      <c r="JPX89"/>
      <c r="JPY89"/>
      <c r="JPZ89"/>
      <c r="JQA89"/>
      <c r="JQB89"/>
      <c r="JQC89"/>
      <c r="JQD89"/>
      <c r="JQE89"/>
      <c r="JQF89"/>
      <c r="JQG89"/>
      <c r="JQH89"/>
      <c r="JQI89"/>
      <c r="JQJ89"/>
      <c r="JQK89"/>
      <c r="JQL89"/>
      <c r="JQM89"/>
      <c r="JQN89"/>
      <c r="JQO89"/>
      <c r="JQP89"/>
      <c r="JQQ89"/>
      <c r="JQR89"/>
      <c r="JQS89"/>
      <c r="JQT89"/>
      <c r="JQU89"/>
      <c r="JQV89"/>
      <c r="JQW89"/>
      <c r="JQX89"/>
      <c r="JQY89"/>
      <c r="JQZ89"/>
      <c r="JRA89"/>
      <c r="JRB89"/>
      <c r="JRC89"/>
      <c r="JRD89"/>
      <c r="JRE89"/>
      <c r="JRF89"/>
      <c r="JRG89"/>
      <c r="JRH89"/>
      <c r="JRI89"/>
      <c r="JRJ89"/>
      <c r="JRK89"/>
      <c r="JRL89"/>
      <c r="JRM89"/>
      <c r="JRN89"/>
      <c r="JRO89"/>
      <c r="JRP89"/>
      <c r="JRQ89"/>
      <c r="JRR89"/>
      <c r="JRS89"/>
      <c r="JRT89"/>
      <c r="JRU89"/>
      <c r="JRV89"/>
      <c r="JRW89"/>
      <c r="JRX89"/>
      <c r="JRY89"/>
      <c r="JRZ89"/>
      <c r="JSA89"/>
      <c r="JSB89"/>
      <c r="JSC89"/>
      <c r="JSD89"/>
      <c r="JSE89"/>
      <c r="JSF89"/>
      <c r="JSG89"/>
      <c r="JSH89"/>
      <c r="JSI89"/>
      <c r="JSJ89"/>
      <c r="JSK89"/>
      <c r="JSL89"/>
      <c r="JSM89"/>
      <c r="JSN89"/>
      <c r="JSO89"/>
      <c r="JSP89"/>
      <c r="JSQ89"/>
      <c r="JSR89"/>
      <c r="JSS89"/>
      <c r="JST89"/>
      <c r="JSU89"/>
      <c r="JSV89"/>
      <c r="JSW89"/>
      <c r="JSX89"/>
      <c r="JSY89"/>
      <c r="JSZ89"/>
      <c r="JTA89"/>
      <c r="JTB89"/>
      <c r="JTC89"/>
      <c r="JTD89"/>
      <c r="JTE89"/>
      <c r="JTF89"/>
      <c r="JTG89"/>
      <c r="JTH89"/>
      <c r="JTI89"/>
      <c r="JTJ89"/>
      <c r="JTK89"/>
      <c r="JTL89"/>
      <c r="JTM89"/>
      <c r="JTN89"/>
      <c r="JTO89"/>
      <c r="JTP89"/>
      <c r="JTQ89"/>
      <c r="JTR89"/>
      <c r="JTS89"/>
      <c r="JTT89"/>
      <c r="JTU89"/>
      <c r="JTV89"/>
      <c r="JTW89"/>
      <c r="JTX89"/>
      <c r="JTY89"/>
      <c r="JTZ89"/>
      <c r="JUA89"/>
      <c r="JUB89"/>
      <c r="JUC89"/>
      <c r="JUD89"/>
      <c r="JUE89"/>
      <c r="JUF89"/>
      <c r="JUG89"/>
      <c r="JUH89"/>
      <c r="JUI89"/>
      <c r="JUJ89"/>
      <c r="JUK89"/>
      <c r="JUL89"/>
      <c r="JUM89"/>
      <c r="JUN89"/>
      <c r="JUO89"/>
      <c r="JUP89"/>
      <c r="JUQ89"/>
      <c r="JUR89"/>
      <c r="JUS89"/>
      <c r="JUT89"/>
      <c r="JUU89"/>
      <c r="JUV89"/>
      <c r="JUW89"/>
      <c r="JUX89"/>
      <c r="JUY89"/>
      <c r="JUZ89"/>
      <c r="JVA89"/>
      <c r="JVB89"/>
      <c r="JVC89"/>
      <c r="JVD89"/>
      <c r="JVE89"/>
      <c r="JVF89"/>
      <c r="JVG89"/>
      <c r="JVH89"/>
      <c r="JVI89"/>
      <c r="JVJ89"/>
      <c r="JVK89"/>
      <c r="JVL89"/>
      <c r="JVM89"/>
      <c r="JVN89"/>
      <c r="JVO89"/>
      <c r="JVP89"/>
      <c r="JVQ89"/>
      <c r="JVR89"/>
      <c r="JVS89"/>
      <c r="JVT89"/>
      <c r="JVU89"/>
      <c r="JVV89"/>
      <c r="JVW89"/>
      <c r="JVX89"/>
      <c r="JVY89"/>
      <c r="JVZ89"/>
      <c r="JWA89"/>
      <c r="JWB89"/>
      <c r="JWC89"/>
      <c r="JWD89"/>
      <c r="JWE89"/>
      <c r="JWF89"/>
      <c r="JWG89"/>
      <c r="JWH89"/>
      <c r="JWI89"/>
      <c r="JWJ89"/>
      <c r="JWK89"/>
      <c r="JWL89"/>
      <c r="JWM89"/>
      <c r="JWN89"/>
      <c r="JWO89"/>
      <c r="JWP89"/>
      <c r="JWQ89"/>
      <c r="JWR89"/>
      <c r="JWS89"/>
      <c r="JWT89"/>
      <c r="JWU89"/>
      <c r="JWV89"/>
      <c r="JWW89"/>
      <c r="JWX89"/>
      <c r="JWY89"/>
      <c r="JWZ89"/>
      <c r="JXA89"/>
      <c r="JXB89"/>
      <c r="JXC89"/>
      <c r="JXD89"/>
      <c r="JXE89"/>
      <c r="JXF89"/>
      <c r="JXG89"/>
      <c r="JXH89"/>
      <c r="JXI89"/>
      <c r="JXJ89"/>
      <c r="JXK89"/>
      <c r="JXL89"/>
      <c r="JXM89"/>
      <c r="JXN89"/>
      <c r="JXO89"/>
      <c r="JXP89"/>
      <c r="JXQ89"/>
      <c r="JXR89"/>
      <c r="JXS89"/>
      <c r="JXT89"/>
      <c r="JXU89"/>
      <c r="JXV89"/>
      <c r="JXW89"/>
      <c r="JXX89"/>
      <c r="JXY89"/>
      <c r="JXZ89"/>
      <c r="JYA89"/>
      <c r="JYB89"/>
      <c r="JYC89"/>
      <c r="JYD89"/>
      <c r="JYE89"/>
      <c r="JYF89"/>
      <c r="JYG89"/>
      <c r="JYH89"/>
      <c r="JYI89"/>
      <c r="JYJ89"/>
      <c r="JYK89"/>
      <c r="JYL89"/>
      <c r="JYM89"/>
      <c r="JYN89"/>
      <c r="JYO89"/>
      <c r="JYP89"/>
      <c r="JYQ89"/>
      <c r="JYR89"/>
      <c r="JYS89"/>
      <c r="JYT89"/>
      <c r="JYU89"/>
      <c r="JYV89"/>
      <c r="JYW89"/>
      <c r="JYX89"/>
      <c r="JYY89"/>
      <c r="JYZ89"/>
      <c r="JZA89"/>
      <c r="JZB89"/>
      <c r="JZC89"/>
      <c r="JZD89"/>
      <c r="JZE89"/>
      <c r="JZF89"/>
      <c r="JZG89"/>
      <c r="JZH89"/>
      <c r="JZI89"/>
      <c r="JZJ89"/>
      <c r="JZK89"/>
      <c r="JZL89"/>
      <c r="JZM89"/>
      <c r="JZN89"/>
      <c r="JZO89"/>
      <c r="JZP89"/>
      <c r="JZQ89"/>
      <c r="JZR89"/>
      <c r="JZS89"/>
      <c r="JZT89"/>
      <c r="JZU89"/>
      <c r="JZV89"/>
      <c r="JZW89"/>
      <c r="JZX89"/>
      <c r="JZY89"/>
      <c r="JZZ89"/>
      <c r="KAA89"/>
      <c r="KAB89"/>
      <c r="KAC89"/>
      <c r="KAD89"/>
      <c r="KAE89"/>
      <c r="KAF89"/>
      <c r="KAG89"/>
      <c r="KAH89"/>
      <c r="KAI89"/>
      <c r="KAJ89"/>
      <c r="KAK89"/>
      <c r="KAL89"/>
      <c r="KAM89"/>
      <c r="KAN89"/>
      <c r="KAO89"/>
      <c r="KAP89"/>
      <c r="KAQ89"/>
      <c r="KAR89"/>
      <c r="KAS89"/>
      <c r="KAT89"/>
      <c r="KAU89"/>
      <c r="KAV89"/>
      <c r="KAW89"/>
      <c r="KAX89"/>
      <c r="KAY89"/>
      <c r="KAZ89"/>
      <c r="KBA89"/>
      <c r="KBB89"/>
      <c r="KBC89"/>
      <c r="KBD89"/>
      <c r="KBE89"/>
      <c r="KBF89"/>
      <c r="KBG89"/>
      <c r="KBH89"/>
      <c r="KBI89"/>
      <c r="KBJ89"/>
      <c r="KBK89"/>
      <c r="KBL89"/>
      <c r="KBM89"/>
      <c r="KBN89"/>
      <c r="KBO89"/>
      <c r="KBP89"/>
      <c r="KBQ89"/>
      <c r="KBR89"/>
      <c r="KBS89"/>
      <c r="KBT89"/>
      <c r="KBU89"/>
      <c r="KBV89"/>
      <c r="KBW89"/>
      <c r="KBX89"/>
      <c r="KBY89"/>
      <c r="KBZ89"/>
      <c r="KCA89"/>
      <c r="KCB89"/>
      <c r="KCC89"/>
      <c r="KCD89"/>
      <c r="KCE89"/>
      <c r="KCF89"/>
      <c r="KCG89"/>
      <c r="KCH89"/>
      <c r="KCI89"/>
      <c r="KCJ89"/>
      <c r="KCK89"/>
      <c r="KCL89"/>
      <c r="KCM89"/>
      <c r="KCN89"/>
      <c r="KCO89"/>
      <c r="KCP89"/>
      <c r="KCQ89"/>
      <c r="KCR89"/>
      <c r="KCS89"/>
      <c r="KCT89"/>
      <c r="KCU89"/>
      <c r="KCV89"/>
      <c r="KCW89"/>
      <c r="KCX89"/>
      <c r="KCY89"/>
      <c r="KCZ89"/>
      <c r="KDA89"/>
      <c r="KDB89"/>
      <c r="KDC89"/>
      <c r="KDD89"/>
      <c r="KDE89"/>
      <c r="KDF89"/>
      <c r="KDG89"/>
      <c r="KDH89"/>
      <c r="KDI89"/>
      <c r="KDJ89"/>
      <c r="KDK89"/>
      <c r="KDL89"/>
      <c r="KDM89"/>
      <c r="KDN89"/>
      <c r="KDO89"/>
      <c r="KDP89"/>
      <c r="KDQ89"/>
      <c r="KDR89"/>
      <c r="KDS89"/>
      <c r="KDT89"/>
      <c r="KDU89"/>
      <c r="KDV89"/>
      <c r="KDW89"/>
      <c r="KDX89"/>
      <c r="KDY89"/>
      <c r="KDZ89"/>
      <c r="KEA89"/>
      <c r="KEB89"/>
      <c r="KEC89"/>
      <c r="KED89"/>
      <c r="KEE89"/>
      <c r="KEF89"/>
      <c r="KEG89"/>
      <c r="KEH89"/>
      <c r="KEI89"/>
      <c r="KEJ89"/>
      <c r="KEK89"/>
      <c r="KEL89"/>
      <c r="KEM89"/>
      <c r="KEN89"/>
      <c r="KEO89"/>
      <c r="KEP89"/>
      <c r="KEQ89"/>
      <c r="KER89"/>
      <c r="KES89"/>
      <c r="KET89"/>
      <c r="KEU89"/>
      <c r="KEV89"/>
      <c r="KEW89"/>
      <c r="KEX89"/>
      <c r="KEY89"/>
      <c r="KEZ89"/>
      <c r="KFA89"/>
      <c r="KFB89"/>
      <c r="KFC89"/>
      <c r="KFD89"/>
      <c r="KFE89"/>
      <c r="KFF89"/>
      <c r="KFG89"/>
      <c r="KFH89"/>
      <c r="KFI89"/>
      <c r="KFJ89"/>
      <c r="KFK89"/>
      <c r="KFL89"/>
      <c r="KFM89"/>
      <c r="KFN89"/>
      <c r="KFO89"/>
      <c r="KFP89"/>
      <c r="KFQ89"/>
      <c r="KFR89"/>
      <c r="KFS89"/>
      <c r="KFT89"/>
      <c r="KFU89"/>
      <c r="KFV89"/>
      <c r="KFW89"/>
      <c r="KFX89"/>
      <c r="KFY89"/>
      <c r="KFZ89"/>
      <c r="KGA89"/>
      <c r="KGB89"/>
      <c r="KGC89"/>
      <c r="KGD89"/>
      <c r="KGE89"/>
      <c r="KGF89"/>
      <c r="KGG89"/>
      <c r="KGH89"/>
      <c r="KGI89"/>
      <c r="KGJ89"/>
      <c r="KGK89"/>
      <c r="KGL89"/>
      <c r="KGM89"/>
      <c r="KGN89"/>
      <c r="KGO89"/>
      <c r="KGP89"/>
      <c r="KGQ89"/>
      <c r="KGR89"/>
      <c r="KGS89"/>
      <c r="KGT89"/>
      <c r="KGU89"/>
      <c r="KGV89"/>
      <c r="KGW89"/>
      <c r="KGX89"/>
      <c r="KGY89"/>
      <c r="KGZ89"/>
      <c r="KHA89"/>
      <c r="KHB89"/>
      <c r="KHC89"/>
      <c r="KHD89"/>
      <c r="KHE89"/>
      <c r="KHF89"/>
      <c r="KHG89"/>
      <c r="KHH89"/>
      <c r="KHI89"/>
      <c r="KHJ89"/>
      <c r="KHK89"/>
      <c r="KHL89"/>
      <c r="KHM89"/>
      <c r="KHN89"/>
      <c r="KHO89"/>
      <c r="KHP89"/>
      <c r="KHQ89"/>
      <c r="KHR89"/>
      <c r="KHS89"/>
      <c r="KHT89"/>
      <c r="KHU89"/>
      <c r="KHV89"/>
      <c r="KHW89"/>
      <c r="KHX89"/>
      <c r="KHY89"/>
      <c r="KHZ89"/>
      <c r="KIA89"/>
      <c r="KIB89"/>
      <c r="KIC89"/>
      <c r="KID89"/>
      <c r="KIE89"/>
      <c r="KIF89"/>
      <c r="KIG89"/>
      <c r="KIH89"/>
      <c r="KII89"/>
      <c r="KIJ89"/>
      <c r="KIK89"/>
      <c r="KIL89"/>
      <c r="KIM89"/>
      <c r="KIN89"/>
      <c r="KIO89"/>
      <c r="KIP89"/>
      <c r="KIQ89"/>
      <c r="KIR89"/>
      <c r="KIS89"/>
      <c r="KIT89"/>
      <c r="KIU89"/>
      <c r="KIV89"/>
      <c r="KIW89"/>
      <c r="KIX89"/>
      <c r="KIY89"/>
      <c r="KIZ89"/>
      <c r="KJA89"/>
      <c r="KJB89"/>
      <c r="KJC89"/>
      <c r="KJD89"/>
      <c r="KJE89"/>
      <c r="KJF89"/>
      <c r="KJG89"/>
      <c r="KJH89"/>
      <c r="KJI89"/>
      <c r="KJJ89"/>
      <c r="KJK89"/>
      <c r="KJL89"/>
      <c r="KJM89"/>
      <c r="KJN89"/>
      <c r="KJO89"/>
      <c r="KJP89"/>
      <c r="KJQ89"/>
      <c r="KJR89"/>
      <c r="KJS89"/>
      <c r="KJT89"/>
      <c r="KJU89"/>
      <c r="KJV89"/>
      <c r="KJW89"/>
      <c r="KJX89"/>
      <c r="KJY89"/>
      <c r="KJZ89"/>
      <c r="KKA89"/>
      <c r="KKB89"/>
      <c r="KKC89"/>
      <c r="KKD89"/>
      <c r="KKE89"/>
      <c r="KKF89"/>
      <c r="KKG89"/>
      <c r="KKH89"/>
      <c r="KKI89"/>
      <c r="KKJ89"/>
      <c r="KKK89"/>
      <c r="KKL89"/>
      <c r="KKM89"/>
      <c r="KKN89"/>
      <c r="KKO89"/>
      <c r="KKP89"/>
      <c r="KKQ89"/>
      <c r="KKR89"/>
      <c r="KKS89"/>
      <c r="KKT89"/>
      <c r="KKU89"/>
      <c r="KKV89"/>
      <c r="KKW89"/>
      <c r="KKX89"/>
      <c r="KKY89"/>
      <c r="KKZ89"/>
      <c r="KLA89"/>
      <c r="KLB89"/>
      <c r="KLC89"/>
      <c r="KLD89"/>
      <c r="KLE89"/>
      <c r="KLF89"/>
      <c r="KLG89"/>
      <c r="KLH89"/>
      <c r="KLI89"/>
      <c r="KLJ89"/>
      <c r="KLK89"/>
      <c r="KLL89"/>
      <c r="KLM89"/>
      <c r="KLN89"/>
      <c r="KLO89"/>
      <c r="KLP89"/>
      <c r="KLQ89"/>
      <c r="KLR89"/>
      <c r="KLS89"/>
      <c r="KLT89"/>
      <c r="KLU89"/>
      <c r="KLV89"/>
      <c r="KLW89"/>
      <c r="KLX89"/>
      <c r="KLY89"/>
      <c r="KLZ89"/>
      <c r="KMA89"/>
      <c r="KMB89"/>
      <c r="KMC89"/>
      <c r="KMD89"/>
      <c r="KME89"/>
      <c r="KMF89"/>
      <c r="KMG89"/>
      <c r="KMH89"/>
      <c r="KMI89"/>
      <c r="KMJ89"/>
      <c r="KMK89"/>
      <c r="KML89"/>
      <c r="KMM89"/>
      <c r="KMN89"/>
      <c r="KMO89"/>
      <c r="KMP89"/>
      <c r="KMQ89"/>
      <c r="KMR89"/>
      <c r="KMS89"/>
      <c r="KMT89"/>
      <c r="KMU89"/>
      <c r="KMV89"/>
      <c r="KMW89"/>
      <c r="KMX89"/>
      <c r="KMY89"/>
      <c r="KMZ89"/>
      <c r="KNA89"/>
      <c r="KNB89"/>
      <c r="KNC89"/>
      <c r="KND89"/>
      <c r="KNE89"/>
      <c r="KNF89"/>
      <c r="KNG89"/>
      <c r="KNH89"/>
      <c r="KNI89"/>
      <c r="KNJ89"/>
      <c r="KNK89"/>
      <c r="KNL89"/>
      <c r="KNM89"/>
      <c r="KNN89"/>
      <c r="KNO89"/>
      <c r="KNP89"/>
      <c r="KNQ89"/>
      <c r="KNR89"/>
      <c r="KNS89"/>
      <c r="KNT89"/>
      <c r="KNU89"/>
      <c r="KNV89"/>
      <c r="KNW89"/>
      <c r="KNX89"/>
      <c r="KNY89"/>
      <c r="KNZ89"/>
      <c r="KOA89"/>
      <c r="KOB89"/>
      <c r="KOC89"/>
      <c r="KOD89"/>
      <c r="KOE89"/>
      <c r="KOF89"/>
      <c r="KOG89"/>
      <c r="KOH89"/>
      <c r="KOI89"/>
      <c r="KOJ89"/>
      <c r="KOK89"/>
      <c r="KOL89"/>
      <c r="KOM89"/>
      <c r="KON89"/>
      <c r="KOO89"/>
      <c r="KOP89"/>
      <c r="KOQ89"/>
      <c r="KOR89"/>
      <c r="KOS89"/>
      <c r="KOT89"/>
      <c r="KOU89"/>
      <c r="KOV89"/>
      <c r="KOW89"/>
      <c r="KOX89"/>
      <c r="KOY89"/>
      <c r="KOZ89"/>
      <c r="KPA89"/>
      <c r="KPB89"/>
      <c r="KPC89"/>
      <c r="KPD89"/>
      <c r="KPE89"/>
      <c r="KPF89"/>
      <c r="KPG89"/>
      <c r="KPH89"/>
      <c r="KPI89"/>
      <c r="KPJ89"/>
      <c r="KPK89"/>
      <c r="KPL89"/>
      <c r="KPM89"/>
      <c r="KPN89"/>
      <c r="KPO89"/>
      <c r="KPP89"/>
      <c r="KPQ89"/>
      <c r="KPR89"/>
      <c r="KPS89"/>
      <c r="KPT89"/>
      <c r="KPU89"/>
      <c r="KPV89"/>
      <c r="KPW89"/>
      <c r="KPX89"/>
      <c r="KPY89"/>
      <c r="KPZ89"/>
      <c r="KQA89"/>
      <c r="KQB89"/>
      <c r="KQC89"/>
      <c r="KQD89"/>
      <c r="KQE89"/>
      <c r="KQF89"/>
      <c r="KQG89"/>
      <c r="KQH89"/>
      <c r="KQI89"/>
      <c r="KQJ89"/>
      <c r="KQK89"/>
      <c r="KQL89"/>
      <c r="KQM89"/>
      <c r="KQN89"/>
      <c r="KQO89"/>
      <c r="KQP89"/>
      <c r="KQQ89"/>
      <c r="KQR89"/>
      <c r="KQS89"/>
      <c r="KQT89"/>
      <c r="KQU89"/>
      <c r="KQV89"/>
      <c r="KQW89"/>
      <c r="KQX89"/>
      <c r="KQY89"/>
      <c r="KQZ89"/>
      <c r="KRA89"/>
      <c r="KRB89"/>
      <c r="KRC89"/>
      <c r="KRD89"/>
      <c r="KRE89"/>
      <c r="KRF89"/>
      <c r="KRG89"/>
      <c r="KRH89"/>
      <c r="KRI89"/>
      <c r="KRJ89"/>
      <c r="KRK89"/>
      <c r="KRL89"/>
      <c r="KRM89"/>
      <c r="KRN89"/>
      <c r="KRO89"/>
      <c r="KRP89"/>
      <c r="KRQ89"/>
      <c r="KRR89"/>
      <c r="KRS89"/>
      <c r="KRT89"/>
      <c r="KRU89"/>
      <c r="KRV89"/>
      <c r="KRW89"/>
      <c r="KRX89"/>
      <c r="KRY89"/>
      <c r="KRZ89"/>
      <c r="KSA89"/>
      <c r="KSB89"/>
      <c r="KSC89"/>
      <c r="KSD89"/>
      <c r="KSE89"/>
      <c r="KSF89"/>
      <c r="KSG89"/>
      <c r="KSH89"/>
      <c r="KSI89"/>
      <c r="KSJ89"/>
      <c r="KSK89"/>
      <c r="KSL89"/>
      <c r="KSM89"/>
      <c r="KSN89"/>
      <c r="KSO89"/>
      <c r="KSP89"/>
      <c r="KSQ89"/>
      <c r="KSR89"/>
      <c r="KSS89"/>
      <c r="KST89"/>
      <c r="KSU89"/>
      <c r="KSV89"/>
      <c r="KSW89"/>
      <c r="KSX89"/>
      <c r="KSY89"/>
      <c r="KSZ89"/>
      <c r="KTA89"/>
      <c r="KTB89"/>
      <c r="KTC89"/>
      <c r="KTD89"/>
      <c r="KTE89"/>
      <c r="KTF89"/>
      <c r="KTG89"/>
      <c r="KTH89"/>
      <c r="KTI89"/>
      <c r="KTJ89"/>
      <c r="KTK89"/>
      <c r="KTL89"/>
      <c r="KTM89"/>
      <c r="KTN89"/>
      <c r="KTO89"/>
      <c r="KTP89"/>
      <c r="KTQ89"/>
      <c r="KTR89"/>
      <c r="KTS89"/>
      <c r="KTT89"/>
      <c r="KTU89"/>
      <c r="KTV89"/>
      <c r="KTW89"/>
      <c r="KTX89"/>
      <c r="KTY89"/>
      <c r="KTZ89"/>
      <c r="KUA89"/>
      <c r="KUB89"/>
      <c r="KUC89"/>
      <c r="KUD89"/>
      <c r="KUE89"/>
      <c r="KUF89"/>
      <c r="KUG89"/>
      <c r="KUH89"/>
      <c r="KUI89"/>
      <c r="KUJ89"/>
      <c r="KUK89"/>
      <c r="KUL89"/>
      <c r="KUM89"/>
      <c r="KUN89"/>
      <c r="KUO89"/>
      <c r="KUP89"/>
      <c r="KUQ89"/>
      <c r="KUR89"/>
      <c r="KUS89"/>
      <c r="KUT89"/>
      <c r="KUU89"/>
      <c r="KUV89"/>
      <c r="KUW89"/>
      <c r="KUX89"/>
      <c r="KUY89"/>
      <c r="KUZ89"/>
      <c r="KVA89"/>
      <c r="KVB89"/>
      <c r="KVC89"/>
      <c r="KVD89"/>
      <c r="KVE89"/>
      <c r="KVF89"/>
      <c r="KVG89"/>
      <c r="KVH89"/>
      <c r="KVI89"/>
      <c r="KVJ89"/>
      <c r="KVK89"/>
      <c r="KVL89"/>
      <c r="KVM89"/>
      <c r="KVN89"/>
      <c r="KVO89"/>
      <c r="KVP89"/>
      <c r="KVQ89"/>
      <c r="KVR89"/>
      <c r="KVS89"/>
      <c r="KVT89"/>
      <c r="KVU89"/>
      <c r="KVV89"/>
      <c r="KVW89"/>
      <c r="KVX89"/>
      <c r="KVY89"/>
      <c r="KVZ89"/>
      <c r="KWA89"/>
      <c r="KWB89"/>
      <c r="KWC89"/>
      <c r="KWD89"/>
      <c r="KWE89"/>
      <c r="KWF89"/>
      <c r="KWG89"/>
      <c r="KWH89"/>
      <c r="KWI89"/>
      <c r="KWJ89"/>
      <c r="KWK89"/>
      <c r="KWL89"/>
      <c r="KWM89"/>
      <c r="KWN89"/>
      <c r="KWO89"/>
      <c r="KWP89"/>
      <c r="KWQ89"/>
      <c r="KWR89"/>
      <c r="KWS89"/>
      <c r="KWT89"/>
      <c r="KWU89"/>
      <c r="KWV89"/>
      <c r="KWW89"/>
      <c r="KWX89"/>
      <c r="KWY89"/>
      <c r="KWZ89"/>
      <c r="KXA89"/>
      <c r="KXB89"/>
      <c r="KXC89"/>
      <c r="KXD89"/>
      <c r="KXE89"/>
      <c r="KXF89"/>
      <c r="KXG89"/>
      <c r="KXH89"/>
      <c r="KXI89"/>
      <c r="KXJ89"/>
      <c r="KXK89"/>
      <c r="KXL89"/>
      <c r="KXM89"/>
      <c r="KXN89"/>
      <c r="KXO89"/>
      <c r="KXP89"/>
      <c r="KXQ89"/>
      <c r="KXR89"/>
      <c r="KXS89"/>
      <c r="KXT89"/>
      <c r="KXU89"/>
      <c r="KXV89"/>
      <c r="KXW89"/>
      <c r="KXX89"/>
      <c r="KXY89"/>
      <c r="KXZ89"/>
      <c r="KYA89"/>
      <c r="KYB89"/>
      <c r="KYC89"/>
      <c r="KYD89"/>
      <c r="KYE89"/>
      <c r="KYF89"/>
      <c r="KYG89"/>
      <c r="KYH89"/>
      <c r="KYI89"/>
      <c r="KYJ89"/>
      <c r="KYK89"/>
      <c r="KYL89"/>
      <c r="KYM89"/>
      <c r="KYN89"/>
      <c r="KYO89"/>
      <c r="KYP89"/>
      <c r="KYQ89"/>
      <c r="KYR89"/>
      <c r="KYS89"/>
      <c r="KYT89"/>
      <c r="KYU89"/>
      <c r="KYV89"/>
      <c r="KYW89"/>
      <c r="KYX89"/>
      <c r="KYY89"/>
      <c r="KYZ89"/>
      <c r="KZA89"/>
      <c r="KZB89"/>
      <c r="KZC89"/>
      <c r="KZD89"/>
      <c r="KZE89"/>
      <c r="KZF89"/>
      <c r="KZG89"/>
      <c r="KZH89"/>
      <c r="KZI89"/>
      <c r="KZJ89"/>
      <c r="KZK89"/>
      <c r="KZL89"/>
      <c r="KZM89"/>
      <c r="KZN89"/>
      <c r="KZO89"/>
      <c r="KZP89"/>
      <c r="KZQ89"/>
      <c r="KZR89"/>
      <c r="KZS89"/>
      <c r="KZT89"/>
      <c r="KZU89"/>
      <c r="KZV89"/>
      <c r="KZW89"/>
      <c r="KZX89"/>
      <c r="KZY89"/>
      <c r="KZZ89"/>
      <c r="LAA89"/>
      <c r="LAB89"/>
      <c r="LAC89"/>
      <c r="LAD89"/>
      <c r="LAE89"/>
      <c r="LAF89"/>
      <c r="LAG89"/>
      <c r="LAH89"/>
      <c r="LAI89"/>
      <c r="LAJ89"/>
      <c r="LAK89"/>
      <c r="LAL89"/>
      <c r="LAM89"/>
      <c r="LAN89"/>
      <c r="LAO89"/>
      <c r="LAP89"/>
      <c r="LAQ89"/>
      <c r="LAR89"/>
      <c r="LAS89"/>
      <c r="LAT89"/>
      <c r="LAU89"/>
      <c r="LAV89"/>
      <c r="LAW89"/>
      <c r="LAX89"/>
      <c r="LAY89"/>
      <c r="LAZ89"/>
      <c r="LBA89"/>
      <c r="LBB89"/>
      <c r="LBC89"/>
      <c r="LBD89"/>
      <c r="LBE89"/>
      <c r="LBF89"/>
      <c r="LBG89"/>
      <c r="LBH89"/>
      <c r="LBI89"/>
      <c r="LBJ89"/>
      <c r="LBK89"/>
      <c r="LBL89"/>
      <c r="LBM89"/>
      <c r="LBN89"/>
      <c r="LBO89"/>
      <c r="LBP89"/>
      <c r="LBQ89"/>
      <c r="LBR89"/>
      <c r="LBS89"/>
      <c r="LBT89"/>
      <c r="LBU89"/>
      <c r="LBV89"/>
      <c r="LBW89"/>
      <c r="LBX89"/>
      <c r="LBY89"/>
      <c r="LBZ89"/>
      <c r="LCA89"/>
      <c r="LCB89"/>
      <c r="LCC89"/>
      <c r="LCD89"/>
      <c r="LCE89"/>
      <c r="LCF89"/>
      <c r="LCG89"/>
      <c r="LCH89"/>
      <c r="LCI89"/>
      <c r="LCJ89"/>
      <c r="LCK89"/>
      <c r="LCL89"/>
      <c r="LCM89"/>
      <c r="LCN89"/>
      <c r="LCO89"/>
      <c r="LCP89"/>
      <c r="LCQ89"/>
      <c r="LCR89"/>
      <c r="LCS89"/>
      <c r="LCT89"/>
      <c r="LCU89"/>
      <c r="LCV89"/>
      <c r="LCW89"/>
      <c r="LCX89"/>
      <c r="LCY89"/>
      <c r="LCZ89"/>
      <c r="LDA89"/>
      <c r="LDB89"/>
      <c r="LDC89"/>
      <c r="LDD89"/>
      <c r="LDE89"/>
      <c r="LDF89"/>
      <c r="LDG89"/>
      <c r="LDH89"/>
      <c r="LDI89"/>
      <c r="LDJ89"/>
      <c r="LDK89"/>
      <c r="LDL89"/>
      <c r="LDM89"/>
      <c r="LDN89"/>
      <c r="LDO89"/>
      <c r="LDP89"/>
      <c r="LDQ89"/>
      <c r="LDR89"/>
      <c r="LDS89"/>
      <c r="LDT89"/>
      <c r="LDU89"/>
      <c r="LDV89"/>
      <c r="LDW89"/>
      <c r="LDX89"/>
      <c r="LDY89"/>
      <c r="LDZ89"/>
      <c r="LEA89"/>
      <c r="LEB89"/>
      <c r="LEC89"/>
      <c r="LED89"/>
      <c r="LEE89"/>
      <c r="LEF89"/>
      <c r="LEG89"/>
      <c r="LEH89"/>
      <c r="LEI89"/>
      <c r="LEJ89"/>
      <c r="LEK89"/>
      <c r="LEL89"/>
      <c r="LEM89"/>
      <c r="LEN89"/>
      <c r="LEO89"/>
      <c r="LEP89"/>
      <c r="LEQ89"/>
      <c r="LER89"/>
      <c r="LES89"/>
      <c r="LET89"/>
      <c r="LEU89"/>
      <c r="LEV89"/>
      <c r="LEW89"/>
      <c r="LEX89"/>
      <c r="LEY89"/>
      <c r="LEZ89"/>
      <c r="LFA89"/>
      <c r="LFB89"/>
      <c r="LFC89"/>
      <c r="LFD89"/>
      <c r="LFE89"/>
      <c r="LFF89"/>
      <c r="LFG89"/>
      <c r="LFH89"/>
      <c r="LFI89"/>
      <c r="LFJ89"/>
      <c r="LFK89"/>
      <c r="LFL89"/>
      <c r="LFM89"/>
      <c r="LFN89"/>
      <c r="LFO89"/>
      <c r="LFP89"/>
      <c r="LFQ89"/>
      <c r="LFR89"/>
      <c r="LFS89"/>
      <c r="LFT89"/>
      <c r="LFU89"/>
      <c r="LFV89"/>
      <c r="LFW89"/>
      <c r="LFX89"/>
      <c r="LFY89"/>
      <c r="LFZ89"/>
      <c r="LGA89"/>
      <c r="LGB89"/>
      <c r="LGC89"/>
      <c r="LGD89"/>
      <c r="LGE89"/>
      <c r="LGF89"/>
      <c r="LGG89"/>
      <c r="LGH89"/>
      <c r="LGI89"/>
      <c r="LGJ89"/>
      <c r="LGK89"/>
      <c r="LGL89"/>
      <c r="LGM89"/>
      <c r="LGN89"/>
      <c r="LGO89"/>
      <c r="LGP89"/>
      <c r="LGQ89"/>
      <c r="LGR89"/>
      <c r="LGS89"/>
      <c r="LGT89"/>
      <c r="LGU89"/>
      <c r="LGV89"/>
      <c r="LGW89"/>
      <c r="LGX89"/>
      <c r="LGY89"/>
      <c r="LGZ89"/>
      <c r="LHA89"/>
      <c r="LHB89"/>
      <c r="LHC89"/>
      <c r="LHD89"/>
      <c r="LHE89"/>
      <c r="LHF89"/>
      <c r="LHG89"/>
      <c r="LHH89"/>
      <c r="LHI89"/>
      <c r="LHJ89"/>
      <c r="LHK89"/>
      <c r="LHL89"/>
      <c r="LHM89"/>
      <c r="LHN89"/>
      <c r="LHO89"/>
      <c r="LHP89"/>
      <c r="LHQ89"/>
      <c r="LHR89"/>
      <c r="LHS89"/>
      <c r="LHT89"/>
      <c r="LHU89"/>
      <c r="LHV89"/>
      <c r="LHW89"/>
      <c r="LHX89"/>
      <c r="LHY89"/>
      <c r="LHZ89"/>
      <c r="LIA89"/>
      <c r="LIB89"/>
      <c r="LIC89"/>
      <c r="LID89"/>
      <c r="LIE89"/>
      <c r="LIF89"/>
      <c r="LIG89"/>
      <c r="LIH89"/>
      <c r="LII89"/>
      <c r="LIJ89"/>
      <c r="LIK89"/>
      <c r="LIL89"/>
      <c r="LIM89"/>
      <c r="LIN89"/>
      <c r="LIO89"/>
      <c r="LIP89"/>
      <c r="LIQ89"/>
      <c r="LIR89"/>
      <c r="LIS89"/>
      <c r="LIT89"/>
      <c r="LIU89"/>
      <c r="LIV89"/>
      <c r="LIW89"/>
      <c r="LIX89"/>
      <c r="LIY89"/>
      <c r="LIZ89"/>
      <c r="LJA89"/>
      <c r="LJB89"/>
      <c r="LJC89"/>
      <c r="LJD89"/>
      <c r="LJE89"/>
      <c r="LJF89"/>
      <c r="LJG89"/>
      <c r="LJH89"/>
      <c r="LJI89"/>
      <c r="LJJ89"/>
      <c r="LJK89"/>
      <c r="LJL89"/>
      <c r="LJM89"/>
      <c r="LJN89"/>
      <c r="LJO89"/>
      <c r="LJP89"/>
      <c r="LJQ89"/>
      <c r="LJR89"/>
      <c r="LJS89"/>
      <c r="LJT89"/>
      <c r="LJU89"/>
      <c r="LJV89"/>
      <c r="LJW89"/>
      <c r="LJX89"/>
      <c r="LJY89"/>
      <c r="LJZ89"/>
      <c r="LKA89"/>
      <c r="LKB89"/>
      <c r="LKC89"/>
      <c r="LKD89"/>
      <c r="LKE89"/>
      <c r="LKF89"/>
      <c r="LKG89"/>
      <c r="LKH89"/>
      <c r="LKI89"/>
      <c r="LKJ89"/>
      <c r="LKK89"/>
      <c r="LKL89"/>
      <c r="LKM89"/>
      <c r="LKN89"/>
      <c r="LKO89"/>
      <c r="LKP89"/>
      <c r="LKQ89"/>
      <c r="LKR89"/>
      <c r="LKS89"/>
      <c r="LKT89"/>
      <c r="LKU89"/>
      <c r="LKV89"/>
      <c r="LKW89"/>
      <c r="LKX89"/>
      <c r="LKY89"/>
      <c r="LKZ89"/>
      <c r="LLA89"/>
      <c r="LLB89"/>
      <c r="LLC89"/>
      <c r="LLD89"/>
      <c r="LLE89"/>
      <c r="LLF89"/>
      <c r="LLG89"/>
      <c r="LLH89"/>
      <c r="LLI89"/>
      <c r="LLJ89"/>
      <c r="LLK89"/>
      <c r="LLL89"/>
      <c r="LLM89"/>
      <c r="LLN89"/>
      <c r="LLO89"/>
      <c r="LLP89"/>
      <c r="LLQ89"/>
      <c r="LLR89"/>
      <c r="LLS89"/>
      <c r="LLT89"/>
      <c r="LLU89"/>
      <c r="LLV89"/>
      <c r="LLW89"/>
      <c r="LLX89"/>
      <c r="LLY89"/>
      <c r="LLZ89"/>
      <c r="LMA89"/>
      <c r="LMB89"/>
      <c r="LMC89"/>
      <c r="LMD89"/>
      <c r="LME89"/>
      <c r="LMF89"/>
      <c r="LMG89"/>
      <c r="LMH89"/>
      <c r="LMI89"/>
      <c r="LMJ89"/>
      <c r="LMK89"/>
      <c r="LML89"/>
      <c r="LMM89"/>
      <c r="LMN89"/>
      <c r="LMO89"/>
      <c r="LMP89"/>
      <c r="LMQ89"/>
      <c r="LMR89"/>
      <c r="LMS89"/>
      <c r="LMT89"/>
      <c r="LMU89"/>
      <c r="LMV89"/>
      <c r="LMW89"/>
      <c r="LMX89"/>
      <c r="LMY89"/>
      <c r="LMZ89"/>
      <c r="LNA89"/>
      <c r="LNB89"/>
      <c r="LNC89"/>
      <c r="LND89"/>
      <c r="LNE89"/>
      <c r="LNF89"/>
      <c r="LNG89"/>
      <c r="LNH89"/>
      <c r="LNI89"/>
      <c r="LNJ89"/>
      <c r="LNK89"/>
      <c r="LNL89"/>
      <c r="LNM89"/>
      <c r="LNN89"/>
      <c r="LNO89"/>
      <c r="LNP89"/>
      <c r="LNQ89"/>
      <c r="LNR89"/>
      <c r="LNS89"/>
      <c r="LNT89"/>
      <c r="LNU89"/>
      <c r="LNV89"/>
      <c r="LNW89"/>
      <c r="LNX89"/>
      <c r="LNY89"/>
      <c r="LNZ89"/>
      <c r="LOA89"/>
      <c r="LOB89"/>
      <c r="LOC89"/>
      <c r="LOD89"/>
      <c r="LOE89"/>
      <c r="LOF89"/>
      <c r="LOG89"/>
      <c r="LOH89"/>
      <c r="LOI89"/>
      <c r="LOJ89"/>
      <c r="LOK89"/>
      <c r="LOL89"/>
      <c r="LOM89"/>
      <c r="LON89"/>
      <c r="LOO89"/>
      <c r="LOP89"/>
      <c r="LOQ89"/>
      <c r="LOR89"/>
      <c r="LOS89"/>
      <c r="LOT89"/>
      <c r="LOU89"/>
      <c r="LOV89"/>
      <c r="LOW89"/>
      <c r="LOX89"/>
      <c r="LOY89"/>
      <c r="LOZ89"/>
      <c r="LPA89"/>
      <c r="LPB89"/>
      <c r="LPC89"/>
      <c r="LPD89"/>
      <c r="LPE89"/>
      <c r="LPF89"/>
      <c r="LPG89"/>
      <c r="LPH89"/>
      <c r="LPI89"/>
      <c r="LPJ89"/>
      <c r="LPK89"/>
      <c r="LPL89"/>
      <c r="LPM89"/>
      <c r="LPN89"/>
      <c r="LPO89"/>
      <c r="LPP89"/>
      <c r="LPQ89"/>
      <c r="LPR89"/>
      <c r="LPS89"/>
      <c r="LPT89"/>
      <c r="LPU89"/>
      <c r="LPV89"/>
      <c r="LPW89"/>
      <c r="LPX89"/>
      <c r="LPY89"/>
      <c r="LPZ89"/>
      <c r="LQA89"/>
      <c r="LQB89"/>
      <c r="LQC89"/>
      <c r="LQD89"/>
      <c r="LQE89"/>
      <c r="LQF89"/>
      <c r="LQG89"/>
      <c r="LQH89"/>
      <c r="LQI89"/>
      <c r="LQJ89"/>
      <c r="LQK89"/>
      <c r="LQL89"/>
      <c r="LQM89"/>
      <c r="LQN89"/>
      <c r="LQO89"/>
      <c r="LQP89"/>
      <c r="LQQ89"/>
      <c r="LQR89"/>
      <c r="LQS89"/>
      <c r="LQT89"/>
      <c r="LQU89"/>
      <c r="LQV89"/>
      <c r="LQW89"/>
      <c r="LQX89"/>
      <c r="LQY89"/>
      <c r="LQZ89"/>
      <c r="LRA89"/>
      <c r="LRB89"/>
      <c r="LRC89"/>
      <c r="LRD89"/>
      <c r="LRE89"/>
      <c r="LRF89"/>
      <c r="LRG89"/>
      <c r="LRH89"/>
      <c r="LRI89"/>
      <c r="LRJ89"/>
      <c r="LRK89"/>
      <c r="LRL89"/>
      <c r="LRM89"/>
      <c r="LRN89"/>
      <c r="LRO89"/>
      <c r="LRP89"/>
      <c r="LRQ89"/>
      <c r="LRR89"/>
      <c r="LRS89"/>
      <c r="LRT89"/>
      <c r="LRU89"/>
      <c r="LRV89"/>
      <c r="LRW89"/>
      <c r="LRX89"/>
      <c r="LRY89"/>
      <c r="LRZ89"/>
      <c r="LSA89"/>
      <c r="LSB89"/>
      <c r="LSC89"/>
      <c r="LSD89"/>
      <c r="LSE89"/>
      <c r="LSF89"/>
      <c r="LSG89"/>
      <c r="LSH89"/>
      <c r="LSI89"/>
      <c r="LSJ89"/>
      <c r="LSK89"/>
      <c r="LSL89"/>
      <c r="LSM89"/>
      <c r="LSN89"/>
      <c r="LSO89"/>
      <c r="LSP89"/>
      <c r="LSQ89"/>
      <c r="LSR89"/>
      <c r="LSS89"/>
      <c r="LST89"/>
      <c r="LSU89"/>
      <c r="LSV89"/>
      <c r="LSW89"/>
      <c r="LSX89"/>
      <c r="LSY89"/>
      <c r="LSZ89"/>
      <c r="LTA89"/>
      <c r="LTB89"/>
      <c r="LTC89"/>
      <c r="LTD89"/>
      <c r="LTE89"/>
      <c r="LTF89"/>
      <c r="LTG89"/>
      <c r="LTH89"/>
      <c r="LTI89"/>
      <c r="LTJ89"/>
      <c r="LTK89"/>
      <c r="LTL89"/>
      <c r="LTM89"/>
      <c r="LTN89"/>
      <c r="LTO89"/>
      <c r="LTP89"/>
      <c r="LTQ89"/>
      <c r="LTR89"/>
      <c r="LTS89"/>
      <c r="LTT89"/>
      <c r="LTU89"/>
      <c r="LTV89"/>
      <c r="LTW89"/>
      <c r="LTX89"/>
      <c r="LTY89"/>
      <c r="LTZ89"/>
      <c r="LUA89"/>
      <c r="LUB89"/>
      <c r="LUC89"/>
      <c r="LUD89"/>
      <c r="LUE89"/>
      <c r="LUF89"/>
      <c r="LUG89"/>
      <c r="LUH89"/>
      <c r="LUI89"/>
      <c r="LUJ89"/>
      <c r="LUK89"/>
      <c r="LUL89"/>
      <c r="LUM89"/>
      <c r="LUN89"/>
      <c r="LUO89"/>
      <c r="LUP89"/>
      <c r="LUQ89"/>
      <c r="LUR89"/>
      <c r="LUS89"/>
      <c r="LUT89"/>
      <c r="LUU89"/>
      <c r="LUV89"/>
      <c r="LUW89"/>
      <c r="LUX89"/>
      <c r="LUY89"/>
      <c r="LUZ89"/>
      <c r="LVA89"/>
      <c r="LVB89"/>
      <c r="LVC89"/>
      <c r="LVD89"/>
      <c r="LVE89"/>
      <c r="LVF89"/>
      <c r="LVG89"/>
      <c r="LVH89"/>
      <c r="LVI89"/>
      <c r="LVJ89"/>
      <c r="LVK89"/>
      <c r="LVL89"/>
      <c r="LVM89"/>
      <c r="LVN89"/>
      <c r="LVO89"/>
      <c r="LVP89"/>
      <c r="LVQ89"/>
      <c r="LVR89"/>
      <c r="LVS89"/>
      <c r="LVT89"/>
      <c r="LVU89"/>
      <c r="LVV89"/>
      <c r="LVW89"/>
      <c r="LVX89"/>
      <c r="LVY89"/>
      <c r="LVZ89"/>
      <c r="LWA89"/>
      <c r="LWB89"/>
      <c r="LWC89"/>
      <c r="LWD89"/>
      <c r="LWE89"/>
      <c r="LWF89"/>
      <c r="LWG89"/>
      <c r="LWH89"/>
      <c r="LWI89"/>
      <c r="LWJ89"/>
      <c r="LWK89"/>
      <c r="LWL89"/>
      <c r="LWM89"/>
      <c r="LWN89"/>
      <c r="LWO89"/>
      <c r="LWP89"/>
      <c r="LWQ89"/>
      <c r="LWR89"/>
      <c r="LWS89"/>
      <c r="LWT89"/>
      <c r="LWU89"/>
      <c r="LWV89"/>
      <c r="LWW89"/>
      <c r="LWX89"/>
      <c r="LWY89"/>
      <c r="LWZ89"/>
      <c r="LXA89"/>
      <c r="LXB89"/>
      <c r="LXC89"/>
      <c r="LXD89"/>
      <c r="LXE89"/>
      <c r="LXF89"/>
      <c r="LXG89"/>
      <c r="LXH89"/>
      <c r="LXI89"/>
      <c r="LXJ89"/>
      <c r="LXK89"/>
      <c r="LXL89"/>
      <c r="LXM89"/>
      <c r="LXN89"/>
      <c r="LXO89"/>
      <c r="LXP89"/>
      <c r="LXQ89"/>
      <c r="LXR89"/>
      <c r="LXS89"/>
      <c r="LXT89"/>
      <c r="LXU89"/>
      <c r="LXV89"/>
      <c r="LXW89"/>
      <c r="LXX89"/>
      <c r="LXY89"/>
      <c r="LXZ89"/>
      <c r="LYA89"/>
      <c r="LYB89"/>
      <c r="LYC89"/>
      <c r="LYD89"/>
      <c r="LYE89"/>
      <c r="LYF89"/>
      <c r="LYG89"/>
      <c r="LYH89"/>
      <c r="LYI89"/>
      <c r="LYJ89"/>
      <c r="LYK89"/>
      <c r="LYL89"/>
      <c r="LYM89"/>
      <c r="LYN89"/>
      <c r="LYO89"/>
      <c r="LYP89"/>
      <c r="LYQ89"/>
      <c r="LYR89"/>
      <c r="LYS89"/>
      <c r="LYT89"/>
      <c r="LYU89"/>
      <c r="LYV89"/>
      <c r="LYW89"/>
      <c r="LYX89"/>
      <c r="LYY89"/>
      <c r="LYZ89"/>
      <c r="LZA89"/>
      <c r="LZB89"/>
      <c r="LZC89"/>
      <c r="LZD89"/>
      <c r="LZE89"/>
      <c r="LZF89"/>
      <c r="LZG89"/>
      <c r="LZH89"/>
      <c r="LZI89"/>
      <c r="LZJ89"/>
      <c r="LZK89"/>
      <c r="LZL89"/>
      <c r="LZM89"/>
      <c r="LZN89"/>
      <c r="LZO89"/>
      <c r="LZP89"/>
      <c r="LZQ89"/>
      <c r="LZR89"/>
      <c r="LZS89"/>
      <c r="LZT89"/>
      <c r="LZU89"/>
      <c r="LZV89"/>
      <c r="LZW89"/>
      <c r="LZX89"/>
      <c r="LZY89"/>
      <c r="LZZ89"/>
      <c r="MAA89"/>
      <c r="MAB89"/>
      <c r="MAC89"/>
      <c r="MAD89"/>
      <c r="MAE89"/>
      <c r="MAF89"/>
      <c r="MAG89"/>
      <c r="MAH89"/>
      <c r="MAI89"/>
      <c r="MAJ89"/>
      <c r="MAK89"/>
      <c r="MAL89"/>
      <c r="MAM89"/>
      <c r="MAN89"/>
      <c r="MAO89"/>
      <c r="MAP89"/>
      <c r="MAQ89"/>
      <c r="MAR89"/>
      <c r="MAS89"/>
      <c r="MAT89"/>
      <c r="MAU89"/>
      <c r="MAV89"/>
      <c r="MAW89"/>
      <c r="MAX89"/>
      <c r="MAY89"/>
      <c r="MAZ89"/>
      <c r="MBA89"/>
      <c r="MBB89"/>
      <c r="MBC89"/>
      <c r="MBD89"/>
      <c r="MBE89"/>
      <c r="MBF89"/>
      <c r="MBG89"/>
      <c r="MBH89"/>
      <c r="MBI89"/>
      <c r="MBJ89"/>
      <c r="MBK89"/>
      <c r="MBL89"/>
      <c r="MBM89"/>
      <c r="MBN89"/>
      <c r="MBO89"/>
      <c r="MBP89"/>
      <c r="MBQ89"/>
      <c r="MBR89"/>
      <c r="MBS89"/>
      <c r="MBT89"/>
      <c r="MBU89"/>
      <c r="MBV89"/>
      <c r="MBW89"/>
      <c r="MBX89"/>
      <c r="MBY89"/>
      <c r="MBZ89"/>
      <c r="MCA89"/>
      <c r="MCB89"/>
      <c r="MCC89"/>
      <c r="MCD89"/>
      <c r="MCE89"/>
      <c r="MCF89"/>
      <c r="MCG89"/>
      <c r="MCH89"/>
      <c r="MCI89"/>
      <c r="MCJ89"/>
      <c r="MCK89"/>
      <c r="MCL89"/>
      <c r="MCM89"/>
      <c r="MCN89"/>
      <c r="MCO89"/>
      <c r="MCP89"/>
      <c r="MCQ89"/>
      <c r="MCR89"/>
      <c r="MCS89"/>
      <c r="MCT89"/>
      <c r="MCU89"/>
      <c r="MCV89"/>
      <c r="MCW89"/>
      <c r="MCX89"/>
      <c r="MCY89"/>
      <c r="MCZ89"/>
      <c r="MDA89"/>
      <c r="MDB89"/>
      <c r="MDC89"/>
      <c r="MDD89"/>
      <c r="MDE89"/>
      <c r="MDF89"/>
      <c r="MDG89"/>
      <c r="MDH89"/>
      <c r="MDI89"/>
      <c r="MDJ89"/>
      <c r="MDK89"/>
      <c r="MDL89"/>
      <c r="MDM89"/>
      <c r="MDN89"/>
      <c r="MDO89"/>
      <c r="MDP89"/>
      <c r="MDQ89"/>
      <c r="MDR89"/>
      <c r="MDS89"/>
      <c r="MDT89"/>
      <c r="MDU89"/>
      <c r="MDV89"/>
      <c r="MDW89"/>
      <c r="MDX89"/>
      <c r="MDY89"/>
      <c r="MDZ89"/>
      <c r="MEA89"/>
      <c r="MEB89"/>
      <c r="MEC89"/>
      <c r="MED89"/>
      <c r="MEE89"/>
      <c r="MEF89"/>
      <c r="MEG89"/>
      <c r="MEH89"/>
      <c r="MEI89"/>
      <c r="MEJ89"/>
      <c r="MEK89"/>
      <c r="MEL89"/>
      <c r="MEM89"/>
      <c r="MEN89"/>
      <c r="MEO89"/>
      <c r="MEP89"/>
      <c r="MEQ89"/>
      <c r="MER89"/>
      <c r="MES89"/>
      <c r="MET89"/>
      <c r="MEU89"/>
      <c r="MEV89"/>
      <c r="MEW89"/>
      <c r="MEX89"/>
      <c r="MEY89"/>
      <c r="MEZ89"/>
      <c r="MFA89"/>
      <c r="MFB89"/>
      <c r="MFC89"/>
      <c r="MFD89"/>
      <c r="MFE89"/>
      <c r="MFF89"/>
      <c r="MFG89"/>
      <c r="MFH89"/>
      <c r="MFI89"/>
      <c r="MFJ89"/>
      <c r="MFK89"/>
      <c r="MFL89"/>
      <c r="MFM89"/>
      <c r="MFN89"/>
      <c r="MFO89"/>
      <c r="MFP89"/>
      <c r="MFQ89"/>
      <c r="MFR89"/>
      <c r="MFS89"/>
      <c r="MFT89"/>
      <c r="MFU89"/>
      <c r="MFV89"/>
      <c r="MFW89"/>
      <c r="MFX89"/>
      <c r="MFY89"/>
      <c r="MFZ89"/>
      <c r="MGA89"/>
      <c r="MGB89"/>
      <c r="MGC89"/>
      <c r="MGD89"/>
      <c r="MGE89"/>
      <c r="MGF89"/>
      <c r="MGG89"/>
      <c r="MGH89"/>
      <c r="MGI89"/>
      <c r="MGJ89"/>
      <c r="MGK89"/>
      <c r="MGL89"/>
      <c r="MGM89"/>
      <c r="MGN89"/>
      <c r="MGO89"/>
      <c r="MGP89"/>
      <c r="MGQ89"/>
      <c r="MGR89"/>
      <c r="MGS89"/>
      <c r="MGT89"/>
      <c r="MGU89"/>
      <c r="MGV89"/>
      <c r="MGW89"/>
      <c r="MGX89"/>
      <c r="MGY89"/>
      <c r="MGZ89"/>
      <c r="MHA89"/>
      <c r="MHB89"/>
      <c r="MHC89"/>
      <c r="MHD89"/>
      <c r="MHE89"/>
      <c r="MHF89"/>
      <c r="MHG89"/>
      <c r="MHH89"/>
      <c r="MHI89"/>
      <c r="MHJ89"/>
      <c r="MHK89"/>
      <c r="MHL89"/>
      <c r="MHM89"/>
      <c r="MHN89"/>
      <c r="MHO89"/>
      <c r="MHP89"/>
      <c r="MHQ89"/>
      <c r="MHR89"/>
      <c r="MHS89"/>
      <c r="MHT89"/>
      <c r="MHU89"/>
      <c r="MHV89"/>
      <c r="MHW89"/>
      <c r="MHX89"/>
      <c r="MHY89"/>
      <c r="MHZ89"/>
      <c r="MIA89"/>
      <c r="MIB89"/>
      <c r="MIC89"/>
      <c r="MID89"/>
      <c r="MIE89"/>
      <c r="MIF89"/>
      <c r="MIG89"/>
      <c r="MIH89"/>
      <c r="MII89"/>
      <c r="MIJ89"/>
      <c r="MIK89"/>
      <c r="MIL89"/>
      <c r="MIM89"/>
      <c r="MIN89"/>
      <c r="MIO89"/>
      <c r="MIP89"/>
      <c r="MIQ89"/>
      <c r="MIR89"/>
      <c r="MIS89"/>
      <c r="MIT89"/>
      <c r="MIU89"/>
      <c r="MIV89"/>
      <c r="MIW89"/>
      <c r="MIX89"/>
      <c r="MIY89"/>
      <c r="MIZ89"/>
      <c r="MJA89"/>
      <c r="MJB89"/>
      <c r="MJC89"/>
      <c r="MJD89"/>
      <c r="MJE89"/>
      <c r="MJF89"/>
      <c r="MJG89"/>
      <c r="MJH89"/>
      <c r="MJI89"/>
      <c r="MJJ89"/>
      <c r="MJK89"/>
      <c r="MJL89"/>
      <c r="MJM89"/>
      <c r="MJN89"/>
      <c r="MJO89"/>
      <c r="MJP89"/>
      <c r="MJQ89"/>
      <c r="MJR89"/>
      <c r="MJS89"/>
      <c r="MJT89"/>
      <c r="MJU89"/>
      <c r="MJV89"/>
      <c r="MJW89"/>
      <c r="MJX89"/>
      <c r="MJY89"/>
      <c r="MJZ89"/>
      <c r="MKA89"/>
      <c r="MKB89"/>
      <c r="MKC89"/>
      <c r="MKD89"/>
      <c r="MKE89"/>
      <c r="MKF89"/>
      <c r="MKG89"/>
      <c r="MKH89"/>
      <c r="MKI89"/>
      <c r="MKJ89"/>
      <c r="MKK89"/>
      <c r="MKL89"/>
      <c r="MKM89"/>
      <c r="MKN89"/>
      <c r="MKO89"/>
      <c r="MKP89"/>
      <c r="MKQ89"/>
      <c r="MKR89"/>
      <c r="MKS89"/>
      <c r="MKT89"/>
      <c r="MKU89"/>
      <c r="MKV89"/>
      <c r="MKW89"/>
      <c r="MKX89"/>
      <c r="MKY89"/>
      <c r="MKZ89"/>
      <c r="MLA89"/>
      <c r="MLB89"/>
      <c r="MLC89"/>
      <c r="MLD89"/>
      <c r="MLE89"/>
      <c r="MLF89"/>
      <c r="MLG89"/>
      <c r="MLH89"/>
      <c r="MLI89"/>
      <c r="MLJ89"/>
      <c r="MLK89"/>
      <c r="MLL89"/>
      <c r="MLM89"/>
      <c r="MLN89"/>
      <c r="MLO89"/>
      <c r="MLP89"/>
      <c r="MLQ89"/>
      <c r="MLR89"/>
      <c r="MLS89"/>
      <c r="MLT89"/>
      <c r="MLU89"/>
      <c r="MLV89"/>
      <c r="MLW89"/>
      <c r="MLX89"/>
      <c r="MLY89"/>
      <c r="MLZ89"/>
      <c r="MMA89"/>
      <c r="MMB89"/>
      <c r="MMC89"/>
      <c r="MMD89"/>
      <c r="MME89"/>
      <c r="MMF89"/>
      <c r="MMG89"/>
      <c r="MMH89"/>
      <c r="MMI89"/>
      <c r="MMJ89"/>
      <c r="MMK89"/>
      <c r="MML89"/>
      <c r="MMM89"/>
      <c r="MMN89"/>
      <c r="MMO89"/>
      <c r="MMP89"/>
      <c r="MMQ89"/>
      <c r="MMR89"/>
      <c r="MMS89"/>
      <c r="MMT89"/>
      <c r="MMU89"/>
      <c r="MMV89"/>
      <c r="MMW89"/>
      <c r="MMX89"/>
      <c r="MMY89"/>
      <c r="MMZ89"/>
      <c r="MNA89"/>
      <c r="MNB89"/>
      <c r="MNC89"/>
      <c r="MND89"/>
      <c r="MNE89"/>
      <c r="MNF89"/>
      <c r="MNG89"/>
      <c r="MNH89"/>
      <c r="MNI89"/>
      <c r="MNJ89"/>
      <c r="MNK89"/>
      <c r="MNL89"/>
      <c r="MNM89"/>
      <c r="MNN89"/>
      <c r="MNO89"/>
      <c r="MNP89"/>
      <c r="MNQ89"/>
      <c r="MNR89"/>
      <c r="MNS89"/>
      <c r="MNT89"/>
      <c r="MNU89"/>
      <c r="MNV89"/>
      <c r="MNW89"/>
      <c r="MNX89"/>
      <c r="MNY89"/>
      <c r="MNZ89"/>
      <c r="MOA89"/>
      <c r="MOB89"/>
      <c r="MOC89"/>
      <c r="MOD89"/>
      <c r="MOE89"/>
      <c r="MOF89"/>
      <c r="MOG89"/>
      <c r="MOH89"/>
      <c r="MOI89"/>
      <c r="MOJ89"/>
      <c r="MOK89"/>
      <c r="MOL89"/>
      <c r="MOM89"/>
      <c r="MON89"/>
      <c r="MOO89"/>
      <c r="MOP89"/>
      <c r="MOQ89"/>
      <c r="MOR89"/>
      <c r="MOS89"/>
      <c r="MOT89"/>
      <c r="MOU89"/>
      <c r="MOV89"/>
      <c r="MOW89"/>
      <c r="MOX89"/>
      <c r="MOY89"/>
      <c r="MOZ89"/>
      <c r="MPA89"/>
      <c r="MPB89"/>
      <c r="MPC89"/>
      <c r="MPD89"/>
      <c r="MPE89"/>
      <c r="MPF89"/>
      <c r="MPG89"/>
      <c r="MPH89"/>
      <c r="MPI89"/>
      <c r="MPJ89"/>
      <c r="MPK89"/>
      <c r="MPL89"/>
      <c r="MPM89"/>
      <c r="MPN89"/>
      <c r="MPO89"/>
      <c r="MPP89"/>
      <c r="MPQ89"/>
      <c r="MPR89"/>
      <c r="MPS89"/>
      <c r="MPT89"/>
      <c r="MPU89"/>
      <c r="MPV89"/>
      <c r="MPW89"/>
      <c r="MPX89"/>
      <c r="MPY89"/>
      <c r="MPZ89"/>
      <c r="MQA89"/>
      <c r="MQB89"/>
      <c r="MQC89"/>
      <c r="MQD89"/>
      <c r="MQE89"/>
      <c r="MQF89"/>
      <c r="MQG89"/>
      <c r="MQH89"/>
      <c r="MQI89"/>
      <c r="MQJ89"/>
      <c r="MQK89"/>
      <c r="MQL89"/>
      <c r="MQM89"/>
      <c r="MQN89"/>
      <c r="MQO89"/>
      <c r="MQP89"/>
      <c r="MQQ89"/>
      <c r="MQR89"/>
      <c r="MQS89"/>
      <c r="MQT89"/>
      <c r="MQU89"/>
      <c r="MQV89"/>
      <c r="MQW89"/>
      <c r="MQX89"/>
      <c r="MQY89"/>
      <c r="MQZ89"/>
      <c r="MRA89"/>
      <c r="MRB89"/>
      <c r="MRC89"/>
      <c r="MRD89"/>
      <c r="MRE89"/>
      <c r="MRF89"/>
      <c r="MRG89"/>
      <c r="MRH89"/>
      <c r="MRI89"/>
      <c r="MRJ89"/>
      <c r="MRK89"/>
      <c r="MRL89"/>
      <c r="MRM89"/>
      <c r="MRN89"/>
      <c r="MRO89"/>
      <c r="MRP89"/>
      <c r="MRQ89"/>
      <c r="MRR89"/>
      <c r="MRS89"/>
      <c r="MRT89"/>
      <c r="MRU89"/>
      <c r="MRV89"/>
      <c r="MRW89"/>
      <c r="MRX89"/>
      <c r="MRY89"/>
      <c r="MRZ89"/>
      <c r="MSA89"/>
      <c r="MSB89"/>
      <c r="MSC89"/>
      <c r="MSD89"/>
      <c r="MSE89"/>
      <c r="MSF89"/>
      <c r="MSG89"/>
      <c r="MSH89"/>
      <c r="MSI89"/>
      <c r="MSJ89"/>
      <c r="MSK89"/>
      <c r="MSL89"/>
      <c r="MSM89"/>
      <c r="MSN89"/>
      <c r="MSO89"/>
      <c r="MSP89"/>
      <c r="MSQ89"/>
      <c r="MSR89"/>
      <c r="MSS89"/>
      <c r="MST89"/>
      <c r="MSU89"/>
      <c r="MSV89"/>
      <c r="MSW89"/>
      <c r="MSX89"/>
      <c r="MSY89"/>
      <c r="MSZ89"/>
      <c r="MTA89"/>
      <c r="MTB89"/>
      <c r="MTC89"/>
      <c r="MTD89"/>
      <c r="MTE89"/>
      <c r="MTF89"/>
      <c r="MTG89"/>
      <c r="MTH89"/>
      <c r="MTI89"/>
      <c r="MTJ89"/>
      <c r="MTK89"/>
      <c r="MTL89"/>
      <c r="MTM89"/>
      <c r="MTN89"/>
      <c r="MTO89"/>
      <c r="MTP89"/>
      <c r="MTQ89"/>
      <c r="MTR89"/>
      <c r="MTS89"/>
      <c r="MTT89"/>
      <c r="MTU89"/>
      <c r="MTV89"/>
      <c r="MTW89"/>
      <c r="MTX89"/>
      <c r="MTY89"/>
      <c r="MTZ89"/>
      <c r="MUA89"/>
      <c r="MUB89"/>
      <c r="MUC89"/>
      <c r="MUD89"/>
      <c r="MUE89"/>
      <c r="MUF89"/>
      <c r="MUG89"/>
      <c r="MUH89"/>
      <c r="MUI89"/>
      <c r="MUJ89"/>
      <c r="MUK89"/>
      <c r="MUL89"/>
      <c r="MUM89"/>
      <c r="MUN89"/>
      <c r="MUO89"/>
      <c r="MUP89"/>
      <c r="MUQ89"/>
      <c r="MUR89"/>
      <c r="MUS89"/>
      <c r="MUT89"/>
      <c r="MUU89"/>
      <c r="MUV89"/>
      <c r="MUW89"/>
      <c r="MUX89"/>
      <c r="MUY89"/>
      <c r="MUZ89"/>
      <c r="MVA89"/>
      <c r="MVB89"/>
      <c r="MVC89"/>
      <c r="MVD89"/>
      <c r="MVE89"/>
      <c r="MVF89"/>
      <c r="MVG89"/>
      <c r="MVH89"/>
      <c r="MVI89"/>
      <c r="MVJ89"/>
      <c r="MVK89"/>
      <c r="MVL89"/>
      <c r="MVM89"/>
      <c r="MVN89"/>
      <c r="MVO89"/>
      <c r="MVP89"/>
      <c r="MVQ89"/>
      <c r="MVR89"/>
      <c r="MVS89"/>
      <c r="MVT89"/>
      <c r="MVU89"/>
      <c r="MVV89"/>
      <c r="MVW89"/>
      <c r="MVX89"/>
      <c r="MVY89"/>
      <c r="MVZ89"/>
      <c r="MWA89"/>
      <c r="MWB89"/>
      <c r="MWC89"/>
      <c r="MWD89"/>
      <c r="MWE89"/>
      <c r="MWF89"/>
      <c r="MWG89"/>
      <c r="MWH89"/>
      <c r="MWI89"/>
      <c r="MWJ89"/>
      <c r="MWK89"/>
      <c r="MWL89"/>
      <c r="MWM89"/>
      <c r="MWN89"/>
      <c r="MWO89"/>
      <c r="MWP89"/>
      <c r="MWQ89"/>
      <c r="MWR89"/>
      <c r="MWS89"/>
      <c r="MWT89"/>
      <c r="MWU89"/>
      <c r="MWV89"/>
      <c r="MWW89"/>
      <c r="MWX89"/>
      <c r="MWY89"/>
      <c r="MWZ89"/>
      <c r="MXA89"/>
      <c r="MXB89"/>
      <c r="MXC89"/>
      <c r="MXD89"/>
      <c r="MXE89"/>
      <c r="MXF89"/>
      <c r="MXG89"/>
      <c r="MXH89"/>
      <c r="MXI89"/>
      <c r="MXJ89"/>
      <c r="MXK89"/>
      <c r="MXL89"/>
      <c r="MXM89"/>
      <c r="MXN89"/>
      <c r="MXO89"/>
      <c r="MXP89"/>
      <c r="MXQ89"/>
      <c r="MXR89"/>
      <c r="MXS89"/>
      <c r="MXT89"/>
      <c r="MXU89"/>
      <c r="MXV89"/>
      <c r="MXW89"/>
      <c r="MXX89"/>
      <c r="MXY89"/>
      <c r="MXZ89"/>
      <c r="MYA89"/>
      <c r="MYB89"/>
      <c r="MYC89"/>
      <c r="MYD89"/>
      <c r="MYE89"/>
      <c r="MYF89"/>
      <c r="MYG89"/>
      <c r="MYH89"/>
      <c r="MYI89"/>
      <c r="MYJ89"/>
      <c r="MYK89"/>
      <c r="MYL89"/>
      <c r="MYM89"/>
      <c r="MYN89"/>
      <c r="MYO89"/>
      <c r="MYP89"/>
      <c r="MYQ89"/>
      <c r="MYR89"/>
      <c r="MYS89"/>
      <c r="MYT89"/>
      <c r="MYU89"/>
      <c r="MYV89"/>
      <c r="MYW89"/>
      <c r="MYX89"/>
      <c r="MYY89"/>
      <c r="MYZ89"/>
      <c r="MZA89"/>
      <c r="MZB89"/>
      <c r="MZC89"/>
      <c r="MZD89"/>
      <c r="MZE89"/>
      <c r="MZF89"/>
      <c r="MZG89"/>
      <c r="MZH89"/>
      <c r="MZI89"/>
      <c r="MZJ89"/>
      <c r="MZK89"/>
      <c r="MZL89"/>
      <c r="MZM89"/>
      <c r="MZN89"/>
      <c r="MZO89"/>
      <c r="MZP89"/>
      <c r="MZQ89"/>
      <c r="MZR89"/>
      <c r="MZS89"/>
      <c r="MZT89"/>
      <c r="MZU89"/>
      <c r="MZV89"/>
      <c r="MZW89"/>
      <c r="MZX89"/>
      <c r="MZY89"/>
      <c r="MZZ89"/>
      <c r="NAA89"/>
      <c r="NAB89"/>
      <c r="NAC89"/>
      <c r="NAD89"/>
      <c r="NAE89"/>
      <c r="NAF89"/>
      <c r="NAG89"/>
      <c r="NAH89"/>
      <c r="NAI89"/>
      <c r="NAJ89"/>
      <c r="NAK89"/>
      <c r="NAL89"/>
      <c r="NAM89"/>
      <c r="NAN89"/>
      <c r="NAO89"/>
      <c r="NAP89"/>
      <c r="NAQ89"/>
      <c r="NAR89"/>
      <c r="NAS89"/>
      <c r="NAT89"/>
      <c r="NAU89"/>
      <c r="NAV89"/>
      <c r="NAW89"/>
      <c r="NAX89"/>
      <c r="NAY89"/>
      <c r="NAZ89"/>
      <c r="NBA89"/>
      <c r="NBB89"/>
      <c r="NBC89"/>
      <c r="NBD89"/>
      <c r="NBE89"/>
      <c r="NBF89"/>
      <c r="NBG89"/>
      <c r="NBH89"/>
      <c r="NBI89"/>
      <c r="NBJ89"/>
      <c r="NBK89"/>
      <c r="NBL89"/>
      <c r="NBM89"/>
      <c r="NBN89"/>
      <c r="NBO89"/>
      <c r="NBP89"/>
      <c r="NBQ89"/>
      <c r="NBR89"/>
      <c r="NBS89"/>
      <c r="NBT89"/>
      <c r="NBU89"/>
      <c r="NBV89"/>
      <c r="NBW89"/>
      <c r="NBX89"/>
      <c r="NBY89"/>
      <c r="NBZ89"/>
      <c r="NCA89"/>
      <c r="NCB89"/>
      <c r="NCC89"/>
      <c r="NCD89"/>
      <c r="NCE89"/>
      <c r="NCF89"/>
      <c r="NCG89"/>
      <c r="NCH89"/>
      <c r="NCI89"/>
      <c r="NCJ89"/>
      <c r="NCK89"/>
      <c r="NCL89"/>
      <c r="NCM89"/>
      <c r="NCN89"/>
      <c r="NCO89"/>
      <c r="NCP89"/>
      <c r="NCQ89"/>
      <c r="NCR89"/>
      <c r="NCS89"/>
      <c r="NCT89"/>
      <c r="NCU89"/>
      <c r="NCV89"/>
      <c r="NCW89"/>
      <c r="NCX89"/>
      <c r="NCY89"/>
      <c r="NCZ89"/>
      <c r="NDA89"/>
      <c r="NDB89"/>
      <c r="NDC89"/>
      <c r="NDD89"/>
      <c r="NDE89"/>
      <c r="NDF89"/>
      <c r="NDG89"/>
      <c r="NDH89"/>
      <c r="NDI89"/>
      <c r="NDJ89"/>
      <c r="NDK89"/>
      <c r="NDL89"/>
      <c r="NDM89"/>
      <c r="NDN89"/>
      <c r="NDO89"/>
      <c r="NDP89"/>
      <c r="NDQ89"/>
      <c r="NDR89"/>
      <c r="NDS89"/>
      <c r="NDT89"/>
      <c r="NDU89"/>
      <c r="NDV89"/>
      <c r="NDW89"/>
      <c r="NDX89"/>
      <c r="NDY89"/>
      <c r="NDZ89"/>
      <c r="NEA89"/>
      <c r="NEB89"/>
      <c r="NEC89"/>
      <c r="NED89"/>
      <c r="NEE89"/>
      <c r="NEF89"/>
      <c r="NEG89"/>
      <c r="NEH89"/>
      <c r="NEI89"/>
      <c r="NEJ89"/>
      <c r="NEK89"/>
      <c r="NEL89"/>
      <c r="NEM89"/>
      <c r="NEN89"/>
      <c r="NEO89"/>
      <c r="NEP89"/>
      <c r="NEQ89"/>
      <c r="NER89"/>
      <c r="NES89"/>
      <c r="NET89"/>
      <c r="NEU89"/>
      <c r="NEV89"/>
      <c r="NEW89"/>
      <c r="NEX89"/>
      <c r="NEY89"/>
      <c r="NEZ89"/>
      <c r="NFA89"/>
      <c r="NFB89"/>
      <c r="NFC89"/>
      <c r="NFD89"/>
      <c r="NFE89"/>
      <c r="NFF89"/>
      <c r="NFG89"/>
      <c r="NFH89"/>
      <c r="NFI89"/>
      <c r="NFJ89"/>
      <c r="NFK89"/>
      <c r="NFL89"/>
      <c r="NFM89"/>
      <c r="NFN89"/>
      <c r="NFO89"/>
      <c r="NFP89"/>
      <c r="NFQ89"/>
      <c r="NFR89"/>
      <c r="NFS89"/>
      <c r="NFT89"/>
      <c r="NFU89"/>
      <c r="NFV89"/>
      <c r="NFW89"/>
      <c r="NFX89"/>
      <c r="NFY89"/>
      <c r="NFZ89"/>
      <c r="NGA89"/>
      <c r="NGB89"/>
      <c r="NGC89"/>
      <c r="NGD89"/>
      <c r="NGE89"/>
      <c r="NGF89"/>
      <c r="NGG89"/>
      <c r="NGH89"/>
      <c r="NGI89"/>
      <c r="NGJ89"/>
      <c r="NGK89"/>
      <c r="NGL89"/>
      <c r="NGM89"/>
      <c r="NGN89"/>
      <c r="NGO89"/>
      <c r="NGP89"/>
      <c r="NGQ89"/>
      <c r="NGR89"/>
      <c r="NGS89"/>
      <c r="NGT89"/>
      <c r="NGU89"/>
      <c r="NGV89"/>
      <c r="NGW89"/>
      <c r="NGX89"/>
      <c r="NGY89"/>
      <c r="NGZ89"/>
      <c r="NHA89"/>
      <c r="NHB89"/>
      <c r="NHC89"/>
      <c r="NHD89"/>
      <c r="NHE89"/>
      <c r="NHF89"/>
      <c r="NHG89"/>
      <c r="NHH89"/>
      <c r="NHI89"/>
      <c r="NHJ89"/>
      <c r="NHK89"/>
      <c r="NHL89"/>
      <c r="NHM89"/>
      <c r="NHN89"/>
      <c r="NHO89"/>
      <c r="NHP89"/>
      <c r="NHQ89"/>
      <c r="NHR89"/>
      <c r="NHS89"/>
      <c r="NHT89"/>
      <c r="NHU89"/>
      <c r="NHV89"/>
      <c r="NHW89"/>
      <c r="NHX89"/>
      <c r="NHY89"/>
      <c r="NHZ89"/>
      <c r="NIA89"/>
      <c r="NIB89"/>
      <c r="NIC89"/>
      <c r="NID89"/>
      <c r="NIE89"/>
      <c r="NIF89"/>
      <c r="NIG89"/>
      <c r="NIH89"/>
      <c r="NII89"/>
      <c r="NIJ89"/>
      <c r="NIK89"/>
      <c r="NIL89"/>
      <c r="NIM89"/>
      <c r="NIN89"/>
      <c r="NIO89"/>
      <c r="NIP89"/>
      <c r="NIQ89"/>
      <c r="NIR89"/>
      <c r="NIS89"/>
      <c r="NIT89"/>
      <c r="NIU89"/>
      <c r="NIV89"/>
      <c r="NIW89"/>
      <c r="NIX89"/>
      <c r="NIY89"/>
      <c r="NIZ89"/>
      <c r="NJA89"/>
      <c r="NJB89"/>
      <c r="NJC89"/>
      <c r="NJD89"/>
      <c r="NJE89"/>
      <c r="NJF89"/>
      <c r="NJG89"/>
      <c r="NJH89"/>
      <c r="NJI89"/>
      <c r="NJJ89"/>
      <c r="NJK89"/>
      <c r="NJL89"/>
      <c r="NJM89"/>
      <c r="NJN89"/>
      <c r="NJO89"/>
      <c r="NJP89"/>
      <c r="NJQ89"/>
      <c r="NJR89"/>
      <c r="NJS89"/>
      <c r="NJT89"/>
      <c r="NJU89"/>
      <c r="NJV89"/>
      <c r="NJW89"/>
      <c r="NJX89"/>
      <c r="NJY89"/>
      <c r="NJZ89"/>
      <c r="NKA89"/>
      <c r="NKB89"/>
      <c r="NKC89"/>
      <c r="NKD89"/>
      <c r="NKE89"/>
      <c r="NKF89"/>
      <c r="NKG89"/>
      <c r="NKH89"/>
      <c r="NKI89"/>
      <c r="NKJ89"/>
      <c r="NKK89"/>
      <c r="NKL89"/>
      <c r="NKM89"/>
      <c r="NKN89"/>
      <c r="NKO89"/>
      <c r="NKP89"/>
      <c r="NKQ89"/>
      <c r="NKR89"/>
      <c r="NKS89"/>
      <c r="NKT89"/>
      <c r="NKU89"/>
      <c r="NKV89"/>
      <c r="NKW89"/>
      <c r="NKX89"/>
      <c r="NKY89"/>
      <c r="NKZ89"/>
      <c r="NLA89"/>
      <c r="NLB89"/>
      <c r="NLC89"/>
      <c r="NLD89"/>
      <c r="NLE89"/>
      <c r="NLF89"/>
      <c r="NLG89"/>
      <c r="NLH89"/>
      <c r="NLI89"/>
      <c r="NLJ89"/>
      <c r="NLK89"/>
      <c r="NLL89"/>
      <c r="NLM89"/>
      <c r="NLN89"/>
      <c r="NLO89"/>
      <c r="NLP89"/>
      <c r="NLQ89"/>
      <c r="NLR89"/>
      <c r="NLS89"/>
      <c r="NLT89"/>
      <c r="NLU89"/>
      <c r="NLV89"/>
      <c r="NLW89"/>
      <c r="NLX89"/>
      <c r="NLY89"/>
      <c r="NLZ89"/>
      <c r="NMA89"/>
      <c r="NMB89"/>
      <c r="NMC89"/>
      <c r="NMD89"/>
      <c r="NME89"/>
      <c r="NMF89"/>
      <c r="NMG89"/>
      <c r="NMH89"/>
      <c r="NMI89"/>
      <c r="NMJ89"/>
      <c r="NMK89"/>
      <c r="NML89"/>
      <c r="NMM89"/>
      <c r="NMN89"/>
      <c r="NMO89"/>
      <c r="NMP89"/>
      <c r="NMQ89"/>
      <c r="NMR89"/>
      <c r="NMS89"/>
      <c r="NMT89"/>
      <c r="NMU89"/>
      <c r="NMV89"/>
      <c r="NMW89"/>
      <c r="NMX89"/>
      <c r="NMY89"/>
      <c r="NMZ89"/>
      <c r="NNA89"/>
      <c r="NNB89"/>
      <c r="NNC89"/>
      <c r="NND89"/>
      <c r="NNE89"/>
      <c r="NNF89"/>
      <c r="NNG89"/>
      <c r="NNH89"/>
      <c r="NNI89"/>
      <c r="NNJ89"/>
      <c r="NNK89"/>
      <c r="NNL89"/>
      <c r="NNM89"/>
      <c r="NNN89"/>
      <c r="NNO89"/>
      <c r="NNP89"/>
      <c r="NNQ89"/>
      <c r="NNR89"/>
      <c r="NNS89"/>
      <c r="NNT89"/>
      <c r="NNU89"/>
      <c r="NNV89"/>
      <c r="NNW89"/>
      <c r="NNX89"/>
      <c r="NNY89"/>
      <c r="NNZ89"/>
      <c r="NOA89"/>
      <c r="NOB89"/>
      <c r="NOC89"/>
      <c r="NOD89"/>
      <c r="NOE89"/>
      <c r="NOF89"/>
      <c r="NOG89"/>
      <c r="NOH89"/>
      <c r="NOI89"/>
      <c r="NOJ89"/>
      <c r="NOK89"/>
      <c r="NOL89"/>
      <c r="NOM89"/>
      <c r="NON89"/>
      <c r="NOO89"/>
      <c r="NOP89"/>
      <c r="NOQ89"/>
      <c r="NOR89"/>
      <c r="NOS89"/>
      <c r="NOT89"/>
      <c r="NOU89"/>
      <c r="NOV89"/>
      <c r="NOW89"/>
      <c r="NOX89"/>
      <c r="NOY89"/>
      <c r="NOZ89"/>
      <c r="NPA89"/>
      <c r="NPB89"/>
      <c r="NPC89"/>
      <c r="NPD89"/>
      <c r="NPE89"/>
      <c r="NPF89"/>
      <c r="NPG89"/>
      <c r="NPH89"/>
      <c r="NPI89"/>
      <c r="NPJ89"/>
      <c r="NPK89"/>
      <c r="NPL89"/>
      <c r="NPM89"/>
      <c r="NPN89"/>
      <c r="NPO89"/>
      <c r="NPP89"/>
      <c r="NPQ89"/>
      <c r="NPR89"/>
      <c r="NPS89"/>
      <c r="NPT89"/>
      <c r="NPU89"/>
      <c r="NPV89"/>
      <c r="NPW89"/>
      <c r="NPX89"/>
      <c r="NPY89"/>
      <c r="NPZ89"/>
      <c r="NQA89"/>
      <c r="NQB89"/>
      <c r="NQC89"/>
      <c r="NQD89"/>
      <c r="NQE89"/>
      <c r="NQF89"/>
      <c r="NQG89"/>
      <c r="NQH89"/>
      <c r="NQI89"/>
      <c r="NQJ89"/>
      <c r="NQK89"/>
      <c r="NQL89"/>
      <c r="NQM89"/>
      <c r="NQN89"/>
      <c r="NQO89"/>
      <c r="NQP89"/>
      <c r="NQQ89"/>
      <c r="NQR89"/>
      <c r="NQS89"/>
      <c r="NQT89"/>
      <c r="NQU89"/>
      <c r="NQV89"/>
      <c r="NQW89"/>
      <c r="NQX89"/>
      <c r="NQY89"/>
      <c r="NQZ89"/>
      <c r="NRA89"/>
      <c r="NRB89"/>
      <c r="NRC89"/>
      <c r="NRD89"/>
      <c r="NRE89"/>
      <c r="NRF89"/>
      <c r="NRG89"/>
      <c r="NRH89"/>
      <c r="NRI89"/>
      <c r="NRJ89"/>
      <c r="NRK89"/>
      <c r="NRL89"/>
      <c r="NRM89"/>
      <c r="NRN89"/>
      <c r="NRO89"/>
      <c r="NRP89"/>
      <c r="NRQ89"/>
      <c r="NRR89"/>
      <c r="NRS89"/>
      <c r="NRT89"/>
      <c r="NRU89"/>
      <c r="NRV89"/>
      <c r="NRW89"/>
      <c r="NRX89"/>
      <c r="NRY89"/>
      <c r="NRZ89"/>
      <c r="NSA89"/>
      <c r="NSB89"/>
      <c r="NSC89"/>
      <c r="NSD89"/>
      <c r="NSE89"/>
      <c r="NSF89"/>
      <c r="NSG89"/>
      <c r="NSH89"/>
      <c r="NSI89"/>
      <c r="NSJ89"/>
      <c r="NSK89"/>
      <c r="NSL89"/>
      <c r="NSM89"/>
      <c r="NSN89"/>
      <c r="NSO89"/>
      <c r="NSP89"/>
      <c r="NSQ89"/>
      <c r="NSR89"/>
      <c r="NSS89"/>
      <c r="NST89"/>
      <c r="NSU89"/>
      <c r="NSV89"/>
      <c r="NSW89"/>
      <c r="NSX89"/>
      <c r="NSY89"/>
      <c r="NSZ89"/>
      <c r="NTA89"/>
      <c r="NTB89"/>
      <c r="NTC89"/>
      <c r="NTD89"/>
      <c r="NTE89"/>
      <c r="NTF89"/>
      <c r="NTG89"/>
      <c r="NTH89"/>
      <c r="NTI89"/>
      <c r="NTJ89"/>
      <c r="NTK89"/>
      <c r="NTL89"/>
      <c r="NTM89"/>
      <c r="NTN89"/>
      <c r="NTO89"/>
      <c r="NTP89"/>
      <c r="NTQ89"/>
      <c r="NTR89"/>
      <c r="NTS89"/>
      <c r="NTT89"/>
      <c r="NTU89"/>
      <c r="NTV89"/>
      <c r="NTW89"/>
      <c r="NTX89"/>
      <c r="NTY89"/>
      <c r="NTZ89"/>
      <c r="NUA89"/>
      <c r="NUB89"/>
      <c r="NUC89"/>
      <c r="NUD89"/>
      <c r="NUE89"/>
      <c r="NUF89"/>
      <c r="NUG89"/>
      <c r="NUH89"/>
      <c r="NUI89"/>
      <c r="NUJ89"/>
      <c r="NUK89"/>
      <c r="NUL89"/>
      <c r="NUM89"/>
      <c r="NUN89"/>
      <c r="NUO89"/>
      <c r="NUP89"/>
      <c r="NUQ89"/>
      <c r="NUR89"/>
      <c r="NUS89"/>
      <c r="NUT89"/>
      <c r="NUU89"/>
      <c r="NUV89"/>
      <c r="NUW89"/>
      <c r="NUX89"/>
      <c r="NUY89"/>
      <c r="NUZ89"/>
      <c r="NVA89"/>
      <c r="NVB89"/>
      <c r="NVC89"/>
      <c r="NVD89"/>
      <c r="NVE89"/>
      <c r="NVF89"/>
      <c r="NVG89"/>
      <c r="NVH89"/>
      <c r="NVI89"/>
      <c r="NVJ89"/>
      <c r="NVK89"/>
      <c r="NVL89"/>
      <c r="NVM89"/>
      <c r="NVN89"/>
      <c r="NVO89"/>
      <c r="NVP89"/>
      <c r="NVQ89"/>
      <c r="NVR89"/>
      <c r="NVS89"/>
      <c r="NVT89"/>
      <c r="NVU89"/>
      <c r="NVV89"/>
      <c r="NVW89"/>
      <c r="NVX89"/>
      <c r="NVY89"/>
      <c r="NVZ89"/>
      <c r="NWA89"/>
      <c r="NWB89"/>
      <c r="NWC89"/>
      <c r="NWD89"/>
      <c r="NWE89"/>
      <c r="NWF89"/>
      <c r="NWG89"/>
      <c r="NWH89"/>
      <c r="NWI89"/>
      <c r="NWJ89"/>
      <c r="NWK89"/>
      <c r="NWL89"/>
      <c r="NWM89"/>
      <c r="NWN89"/>
      <c r="NWO89"/>
      <c r="NWP89"/>
      <c r="NWQ89"/>
      <c r="NWR89"/>
      <c r="NWS89"/>
      <c r="NWT89"/>
      <c r="NWU89"/>
      <c r="NWV89"/>
      <c r="NWW89"/>
      <c r="NWX89"/>
      <c r="NWY89"/>
      <c r="NWZ89"/>
      <c r="NXA89"/>
      <c r="NXB89"/>
      <c r="NXC89"/>
      <c r="NXD89"/>
      <c r="NXE89"/>
      <c r="NXF89"/>
      <c r="NXG89"/>
      <c r="NXH89"/>
      <c r="NXI89"/>
      <c r="NXJ89"/>
      <c r="NXK89"/>
      <c r="NXL89"/>
      <c r="NXM89"/>
      <c r="NXN89"/>
      <c r="NXO89"/>
      <c r="NXP89"/>
      <c r="NXQ89"/>
      <c r="NXR89"/>
      <c r="NXS89"/>
      <c r="NXT89"/>
      <c r="NXU89"/>
      <c r="NXV89"/>
      <c r="NXW89"/>
      <c r="NXX89"/>
      <c r="NXY89"/>
      <c r="NXZ89"/>
      <c r="NYA89"/>
      <c r="NYB89"/>
      <c r="NYC89"/>
      <c r="NYD89"/>
      <c r="NYE89"/>
      <c r="NYF89"/>
      <c r="NYG89"/>
      <c r="NYH89"/>
      <c r="NYI89"/>
      <c r="NYJ89"/>
      <c r="NYK89"/>
      <c r="NYL89"/>
      <c r="NYM89"/>
      <c r="NYN89"/>
      <c r="NYO89"/>
      <c r="NYP89"/>
      <c r="NYQ89"/>
      <c r="NYR89"/>
      <c r="NYS89"/>
      <c r="NYT89"/>
      <c r="NYU89"/>
      <c r="NYV89"/>
      <c r="NYW89"/>
      <c r="NYX89"/>
      <c r="NYY89"/>
      <c r="NYZ89"/>
      <c r="NZA89"/>
      <c r="NZB89"/>
      <c r="NZC89"/>
      <c r="NZD89"/>
      <c r="NZE89"/>
      <c r="NZF89"/>
      <c r="NZG89"/>
      <c r="NZH89"/>
      <c r="NZI89"/>
      <c r="NZJ89"/>
      <c r="NZK89"/>
      <c r="NZL89"/>
      <c r="NZM89"/>
      <c r="NZN89"/>
      <c r="NZO89"/>
      <c r="NZP89"/>
      <c r="NZQ89"/>
      <c r="NZR89"/>
      <c r="NZS89"/>
      <c r="NZT89"/>
      <c r="NZU89"/>
      <c r="NZV89"/>
      <c r="NZW89"/>
      <c r="NZX89"/>
      <c r="NZY89"/>
      <c r="NZZ89"/>
      <c r="OAA89"/>
      <c r="OAB89"/>
      <c r="OAC89"/>
      <c r="OAD89"/>
      <c r="OAE89"/>
      <c r="OAF89"/>
      <c r="OAG89"/>
      <c r="OAH89"/>
      <c r="OAI89"/>
      <c r="OAJ89"/>
      <c r="OAK89"/>
      <c r="OAL89"/>
      <c r="OAM89"/>
      <c r="OAN89"/>
      <c r="OAO89"/>
      <c r="OAP89"/>
      <c r="OAQ89"/>
      <c r="OAR89"/>
      <c r="OAS89"/>
      <c r="OAT89"/>
      <c r="OAU89"/>
      <c r="OAV89"/>
      <c r="OAW89"/>
      <c r="OAX89"/>
      <c r="OAY89"/>
      <c r="OAZ89"/>
      <c r="OBA89"/>
      <c r="OBB89"/>
      <c r="OBC89"/>
      <c r="OBD89"/>
      <c r="OBE89"/>
      <c r="OBF89"/>
      <c r="OBG89"/>
      <c r="OBH89"/>
      <c r="OBI89"/>
      <c r="OBJ89"/>
      <c r="OBK89"/>
      <c r="OBL89"/>
      <c r="OBM89"/>
      <c r="OBN89"/>
      <c r="OBO89"/>
      <c r="OBP89"/>
      <c r="OBQ89"/>
      <c r="OBR89"/>
      <c r="OBS89"/>
      <c r="OBT89"/>
      <c r="OBU89"/>
      <c r="OBV89"/>
      <c r="OBW89"/>
      <c r="OBX89"/>
      <c r="OBY89"/>
      <c r="OBZ89"/>
      <c r="OCA89"/>
      <c r="OCB89"/>
      <c r="OCC89"/>
      <c r="OCD89"/>
      <c r="OCE89"/>
      <c r="OCF89"/>
      <c r="OCG89"/>
      <c r="OCH89"/>
      <c r="OCI89"/>
      <c r="OCJ89"/>
      <c r="OCK89"/>
      <c r="OCL89"/>
      <c r="OCM89"/>
      <c r="OCN89"/>
      <c r="OCO89"/>
      <c r="OCP89"/>
      <c r="OCQ89"/>
      <c r="OCR89"/>
      <c r="OCS89"/>
      <c r="OCT89"/>
      <c r="OCU89"/>
      <c r="OCV89"/>
      <c r="OCW89"/>
      <c r="OCX89"/>
      <c r="OCY89"/>
      <c r="OCZ89"/>
      <c r="ODA89"/>
      <c r="ODB89"/>
      <c r="ODC89"/>
      <c r="ODD89"/>
      <c r="ODE89"/>
      <c r="ODF89"/>
      <c r="ODG89"/>
      <c r="ODH89"/>
      <c r="ODI89"/>
      <c r="ODJ89"/>
      <c r="ODK89"/>
      <c r="ODL89"/>
      <c r="ODM89"/>
      <c r="ODN89"/>
      <c r="ODO89"/>
      <c r="ODP89"/>
      <c r="ODQ89"/>
      <c r="ODR89"/>
      <c r="ODS89"/>
      <c r="ODT89"/>
      <c r="ODU89"/>
      <c r="ODV89"/>
      <c r="ODW89"/>
      <c r="ODX89"/>
      <c r="ODY89"/>
      <c r="ODZ89"/>
      <c r="OEA89"/>
      <c r="OEB89"/>
      <c r="OEC89"/>
      <c r="OED89"/>
      <c r="OEE89"/>
      <c r="OEF89"/>
      <c r="OEG89"/>
      <c r="OEH89"/>
      <c r="OEI89"/>
      <c r="OEJ89"/>
      <c r="OEK89"/>
      <c r="OEL89"/>
      <c r="OEM89"/>
      <c r="OEN89"/>
      <c r="OEO89"/>
      <c r="OEP89"/>
      <c r="OEQ89"/>
      <c r="OER89"/>
      <c r="OES89"/>
      <c r="OET89"/>
      <c r="OEU89"/>
      <c r="OEV89"/>
      <c r="OEW89"/>
      <c r="OEX89"/>
      <c r="OEY89"/>
      <c r="OEZ89"/>
      <c r="OFA89"/>
      <c r="OFB89"/>
      <c r="OFC89"/>
      <c r="OFD89"/>
      <c r="OFE89"/>
      <c r="OFF89"/>
      <c r="OFG89"/>
      <c r="OFH89"/>
      <c r="OFI89"/>
      <c r="OFJ89"/>
      <c r="OFK89"/>
      <c r="OFL89"/>
      <c r="OFM89"/>
      <c r="OFN89"/>
      <c r="OFO89"/>
      <c r="OFP89"/>
      <c r="OFQ89"/>
      <c r="OFR89"/>
      <c r="OFS89"/>
      <c r="OFT89"/>
      <c r="OFU89"/>
      <c r="OFV89"/>
      <c r="OFW89"/>
      <c r="OFX89"/>
      <c r="OFY89"/>
      <c r="OFZ89"/>
      <c r="OGA89"/>
      <c r="OGB89"/>
      <c r="OGC89"/>
      <c r="OGD89"/>
      <c r="OGE89"/>
      <c r="OGF89"/>
      <c r="OGG89"/>
      <c r="OGH89"/>
      <c r="OGI89"/>
      <c r="OGJ89"/>
      <c r="OGK89"/>
      <c r="OGL89"/>
      <c r="OGM89"/>
      <c r="OGN89"/>
      <c r="OGO89"/>
      <c r="OGP89"/>
      <c r="OGQ89"/>
      <c r="OGR89"/>
      <c r="OGS89"/>
      <c r="OGT89"/>
      <c r="OGU89"/>
      <c r="OGV89"/>
      <c r="OGW89"/>
      <c r="OGX89"/>
      <c r="OGY89"/>
      <c r="OGZ89"/>
      <c r="OHA89"/>
      <c r="OHB89"/>
      <c r="OHC89"/>
      <c r="OHD89"/>
      <c r="OHE89"/>
      <c r="OHF89"/>
      <c r="OHG89"/>
      <c r="OHH89"/>
      <c r="OHI89"/>
      <c r="OHJ89"/>
      <c r="OHK89"/>
      <c r="OHL89"/>
      <c r="OHM89"/>
      <c r="OHN89"/>
      <c r="OHO89"/>
      <c r="OHP89"/>
      <c r="OHQ89"/>
      <c r="OHR89"/>
      <c r="OHS89"/>
      <c r="OHT89"/>
      <c r="OHU89"/>
      <c r="OHV89"/>
      <c r="OHW89"/>
      <c r="OHX89"/>
      <c r="OHY89"/>
      <c r="OHZ89"/>
      <c r="OIA89"/>
      <c r="OIB89"/>
      <c r="OIC89"/>
      <c r="OID89"/>
      <c r="OIE89"/>
      <c r="OIF89"/>
      <c r="OIG89"/>
      <c r="OIH89"/>
      <c r="OII89"/>
      <c r="OIJ89"/>
      <c r="OIK89"/>
      <c r="OIL89"/>
      <c r="OIM89"/>
      <c r="OIN89"/>
      <c r="OIO89"/>
      <c r="OIP89"/>
      <c r="OIQ89"/>
      <c r="OIR89"/>
      <c r="OIS89"/>
      <c r="OIT89"/>
      <c r="OIU89"/>
      <c r="OIV89"/>
      <c r="OIW89"/>
      <c r="OIX89"/>
      <c r="OIY89"/>
      <c r="OIZ89"/>
      <c r="OJA89"/>
      <c r="OJB89"/>
      <c r="OJC89"/>
      <c r="OJD89"/>
      <c r="OJE89"/>
      <c r="OJF89"/>
      <c r="OJG89"/>
      <c r="OJH89"/>
      <c r="OJI89"/>
      <c r="OJJ89"/>
      <c r="OJK89"/>
      <c r="OJL89"/>
      <c r="OJM89"/>
      <c r="OJN89"/>
      <c r="OJO89"/>
      <c r="OJP89"/>
      <c r="OJQ89"/>
      <c r="OJR89"/>
      <c r="OJS89"/>
      <c r="OJT89"/>
      <c r="OJU89"/>
      <c r="OJV89"/>
      <c r="OJW89"/>
      <c r="OJX89"/>
      <c r="OJY89"/>
      <c r="OJZ89"/>
      <c r="OKA89"/>
      <c r="OKB89"/>
      <c r="OKC89"/>
      <c r="OKD89"/>
      <c r="OKE89"/>
      <c r="OKF89"/>
      <c r="OKG89"/>
      <c r="OKH89"/>
      <c r="OKI89"/>
      <c r="OKJ89"/>
      <c r="OKK89"/>
      <c r="OKL89"/>
      <c r="OKM89"/>
      <c r="OKN89"/>
      <c r="OKO89"/>
      <c r="OKP89"/>
      <c r="OKQ89"/>
      <c r="OKR89"/>
      <c r="OKS89"/>
      <c r="OKT89"/>
      <c r="OKU89"/>
      <c r="OKV89"/>
      <c r="OKW89"/>
      <c r="OKX89"/>
      <c r="OKY89"/>
      <c r="OKZ89"/>
      <c r="OLA89"/>
      <c r="OLB89"/>
      <c r="OLC89"/>
      <c r="OLD89"/>
      <c r="OLE89"/>
      <c r="OLF89"/>
      <c r="OLG89"/>
      <c r="OLH89"/>
      <c r="OLI89"/>
      <c r="OLJ89"/>
      <c r="OLK89"/>
      <c r="OLL89"/>
      <c r="OLM89"/>
      <c r="OLN89"/>
      <c r="OLO89"/>
      <c r="OLP89"/>
      <c r="OLQ89"/>
      <c r="OLR89"/>
      <c r="OLS89"/>
      <c r="OLT89"/>
      <c r="OLU89"/>
      <c r="OLV89"/>
      <c r="OLW89"/>
      <c r="OLX89"/>
      <c r="OLY89"/>
      <c r="OLZ89"/>
      <c r="OMA89"/>
      <c r="OMB89"/>
      <c r="OMC89"/>
      <c r="OMD89"/>
      <c r="OME89"/>
      <c r="OMF89"/>
      <c r="OMG89"/>
      <c r="OMH89"/>
      <c r="OMI89"/>
      <c r="OMJ89"/>
      <c r="OMK89"/>
      <c r="OML89"/>
      <c r="OMM89"/>
      <c r="OMN89"/>
      <c r="OMO89"/>
      <c r="OMP89"/>
      <c r="OMQ89"/>
      <c r="OMR89"/>
      <c r="OMS89"/>
      <c r="OMT89"/>
      <c r="OMU89"/>
      <c r="OMV89"/>
      <c r="OMW89"/>
      <c r="OMX89"/>
      <c r="OMY89"/>
      <c r="OMZ89"/>
      <c r="ONA89"/>
      <c r="ONB89"/>
      <c r="ONC89"/>
      <c r="OND89"/>
      <c r="ONE89"/>
      <c r="ONF89"/>
      <c r="ONG89"/>
      <c r="ONH89"/>
      <c r="ONI89"/>
      <c r="ONJ89"/>
      <c r="ONK89"/>
      <c r="ONL89"/>
      <c r="ONM89"/>
      <c r="ONN89"/>
      <c r="ONO89"/>
      <c r="ONP89"/>
      <c r="ONQ89"/>
      <c r="ONR89"/>
      <c r="ONS89"/>
      <c r="ONT89"/>
      <c r="ONU89"/>
      <c r="ONV89"/>
      <c r="ONW89"/>
      <c r="ONX89"/>
      <c r="ONY89"/>
      <c r="ONZ89"/>
      <c r="OOA89"/>
      <c r="OOB89"/>
      <c r="OOC89"/>
      <c r="OOD89"/>
      <c r="OOE89"/>
      <c r="OOF89"/>
      <c r="OOG89"/>
      <c r="OOH89"/>
      <c r="OOI89"/>
      <c r="OOJ89"/>
      <c r="OOK89"/>
      <c r="OOL89"/>
      <c r="OOM89"/>
      <c r="OON89"/>
      <c r="OOO89"/>
      <c r="OOP89"/>
      <c r="OOQ89"/>
      <c r="OOR89"/>
      <c r="OOS89"/>
      <c r="OOT89"/>
      <c r="OOU89"/>
      <c r="OOV89"/>
      <c r="OOW89"/>
      <c r="OOX89"/>
      <c r="OOY89"/>
      <c r="OOZ89"/>
      <c r="OPA89"/>
      <c r="OPB89"/>
      <c r="OPC89"/>
      <c r="OPD89"/>
      <c r="OPE89"/>
      <c r="OPF89"/>
      <c r="OPG89"/>
      <c r="OPH89"/>
      <c r="OPI89"/>
      <c r="OPJ89"/>
      <c r="OPK89"/>
      <c r="OPL89"/>
      <c r="OPM89"/>
      <c r="OPN89"/>
      <c r="OPO89"/>
      <c r="OPP89"/>
      <c r="OPQ89"/>
      <c r="OPR89"/>
      <c r="OPS89"/>
      <c r="OPT89"/>
      <c r="OPU89"/>
      <c r="OPV89"/>
      <c r="OPW89"/>
      <c r="OPX89"/>
      <c r="OPY89"/>
      <c r="OPZ89"/>
      <c r="OQA89"/>
      <c r="OQB89"/>
      <c r="OQC89"/>
      <c r="OQD89"/>
      <c r="OQE89"/>
      <c r="OQF89"/>
      <c r="OQG89"/>
      <c r="OQH89"/>
      <c r="OQI89"/>
      <c r="OQJ89"/>
      <c r="OQK89"/>
      <c r="OQL89"/>
      <c r="OQM89"/>
      <c r="OQN89"/>
      <c r="OQO89"/>
      <c r="OQP89"/>
      <c r="OQQ89"/>
      <c r="OQR89"/>
      <c r="OQS89"/>
      <c r="OQT89"/>
      <c r="OQU89"/>
      <c r="OQV89"/>
      <c r="OQW89"/>
      <c r="OQX89"/>
      <c r="OQY89"/>
      <c r="OQZ89"/>
      <c r="ORA89"/>
      <c r="ORB89"/>
      <c r="ORC89"/>
      <c r="ORD89"/>
      <c r="ORE89"/>
      <c r="ORF89"/>
      <c r="ORG89"/>
      <c r="ORH89"/>
      <c r="ORI89"/>
      <c r="ORJ89"/>
      <c r="ORK89"/>
      <c r="ORL89"/>
      <c r="ORM89"/>
      <c r="ORN89"/>
      <c r="ORO89"/>
      <c r="ORP89"/>
      <c r="ORQ89"/>
      <c r="ORR89"/>
      <c r="ORS89"/>
      <c r="ORT89"/>
      <c r="ORU89"/>
      <c r="ORV89"/>
      <c r="ORW89"/>
      <c r="ORX89"/>
      <c r="ORY89"/>
      <c r="ORZ89"/>
      <c r="OSA89"/>
      <c r="OSB89"/>
      <c r="OSC89"/>
      <c r="OSD89"/>
      <c r="OSE89"/>
      <c r="OSF89"/>
      <c r="OSG89"/>
      <c r="OSH89"/>
      <c r="OSI89"/>
      <c r="OSJ89"/>
      <c r="OSK89"/>
      <c r="OSL89"/>
      <c r="OSM89"/>
      <c r="OSN89"/>
      <c r="OSO89"/>
      <c r="OSP89"/>
      <c r="OSQ89"/>
      <c r="OSR89"/>
      <c r="OSS89"/>
      <c r="OST89"/>
      <c r="OSU89"/>
      <c r="OSV89"/>
      <c r="OSW89"/>
      <c r="OSX89"/>
      <c r="OSY89"/>
      <c r="OSZ89"/>
      <c r="OTA89"/>
      <c r="OTB89"/>
      <c r="OTC89"/>
      <c r="OTD89"/>
      <c r="OTE89"/>
      <c r="OTF89"/>
      <c r="OTG89"/>
      <c r="OTH89"/>
      <c r="OTI89"/>
      <c r="OTJ89"/>
      <c r="OTK89"/>
      <c r="OTL89"/>
      <c r="OTM89"/>
      <c r="OTN89"/>
      <c r="OTO89"/>
      <c r="OTP89"/>
      <c r="OTQ89"/>
      <c r="OTR89"/>
      <c r="OTS89"/>
      <c r="OTT89"/>
      <c r="OTU89"/>
      <c r="OTV89"/>
      <c r="OTW89"/>
      <c r="OTX89"/>
      <c r="OTY89"/>
      <c r="OTZ89"/>
      <c r="OUA89"/>
      <c r="OUB89"/>
      <c r="OUC89"/>
      <c r="OUD89"/>
      <c r="OUE89"/>
      <c r="OUF89"/>
      <c r="OUG89"/>
      <c r="OUH89"/>
      <c r="OUI89"/>
      <c r="OUJ89"/>
      <c r="OUK89"/>
      <c r="OUL89"/>
      <c r="OUM89"/>
      <c r="OUN89"/>
      <c r="OUO89"/>
      <c r="OUP89"/>
      <c r="OUQ89"/>
      <c r="OUR89"/>
      <c r="OUS89"/>
      <c r="OUT89"/>
      <c r="OUU89"/>
      <c r="OUV89"/>
      <c r="OUW89"/>
      <c r="OUX89"/>
      <c r="OUY89"/>
      <c r="OUZ89"/>
      <c r="OVA89"/>
      <c r="OVB89"/>
      <c r="OVC89"/>
      <c r="OVD89"/>
      <c r="OVE89"/>
      <c r="OVF89"/>
      <c r="OVG89"/>
      <c r="OVH89"/>
      <c r="OVI89"/>
      <c r="OVJ89"/>
      <c r="OVK89"/>
      <c r="OVL89"/>
      <c r="OVM89"/>
      <c r="OVN89"/>
      <c r="OVO89"/>
      <c r="OVP89"/>
      <c r="OVQ89"/>
      <c r="OVR89"/>
      <c r="OVS89"/>
      <c r="OVT89"/>
      <c r="OVU89"/>
      <c r="OVV89"/>
      <c r="OVW89"/>
      <c r="OVX89"/>
      <c r="OVY89"/>
      <c r="OVZ89"/>
      <c r="OWA89"/>
      <c r="OWB89"/>
      <c r="OWC89"/>
      <c r="OWD89"/>
      <c r="OWE89"/>
      <c r="OWF89"/>
      <c r="OWG89"/>
      <c r="OWH89"/>
      <c r="OWI89"/>
      <c r="OWJ89"/>
      <c r="OWK89"/>
      <c r="OWL89"/>
      <c r="OWM89"/>
      <c r="OWN89"/>
      <c r="OWO89"/>
      <c r="OWP89"/>
      <c r="OWQ89"/>
      <c r="OWR89"/>
      <c r="OWS89"/>
      <c r="OWT89"/>
      <c r="OWU89"/>
      <c r="OWV89"/>
      <c r="OWW89"/>
      <c r="OWX89"/>
      <c r="OWY89"/>
      <c r="OWZ89"/>
      <c r="OXA89"/>
      <c r="OXB89"/>
      <c r="OXC89"/>
      <c r="OXD89"/>
      <c r="OXE89"/>
      <c r="OXF89"/>
      <c r="OXG89"/>
      <c r="OXH89"/>
      <c r="OXI89"/>
      <c r="OXJ89"/>
      <c r="OXK89"/>
      <c r="OXL89"/>
      <c r="OXM89"/>
      <c r="OXN89"/>
      <c r="OXO89"/>
      <c r="OXP89"/>
      <c r="OXQ89"/>
      <c r="OXR89"/>
      <c r="OXS89"/>
      <c r="OXT89"/>
      <c r="OXU89"/>
      <c r="OXV89"/>
      <c r="OXW89"/>
      <c r="OXX89"/>
      <c r="OXY89"/>
      <c r="OXZ89"/>
      <c r="OYA89"/>
      <c r="OYB89"/>
      <c r="OYC89"/>
      <c r="OYD89"/>
      <c r="OYE89"/>
      <c r="OYF89"/>
      <c r="OYG89"/>
      <c r="OYH89"/>
      <c r="OYI89"/>
      <c r="OYJ89"/>
      <c r="OYK89"/>
      <c r="OYL89"/>
      <c r="OYM89"/>
      <c r="OYN89"/>
      <c r="OYO89"/>
      <c r="OYP89"/>
      <c r="OYQ89"/>
      <c r="OYR89"/>
      <c r="OYS89"/>
      <c r="OYT89"/>
      <c r="OYU89"/>
      <c r="OYV89"/>
      <c r="OYW89"/>
      <c r="OYX89"/>
      <c r="OYY89"/>
      <c r="OYZ89"/>
      <c r="OZA89"/>
      <c r="OZB89"/>
      <c r="OZC89"/>
      <c r="OZD89"/>
      <c r="OZE89"/>
      <c r="OZF89"/>
      <c r="OZG89"/>
      <c r="OZH89"/>
      <c r="OZI89"/>
      <c r="OZJ89"/>
      <c r="OZK89"/>
      <c r="OZL89"/>
      <c r="OZM89"/>
      <c r="OZN89"/>
      <c r="OZO89"/>
      <c r="OZP89"/>
      <c r="OZQ89"/>
      <c r="OZR89"/>
      <c r="OZS89"/>
      <c r="OZT89"/>
      <c r="OZU89"/>
      <c r="OZV89"/>
      <c r="OZW89"/>
      <c r="OZX89"/>
      <c r="OZY89"/>
      <c r="OZZ89"/>
      <c r="PAA89"/>
      <c r="PAB89"/>
      <c r="PAC89"/>
      <c r="PAD89"/>
      <c r="PAE89"/>
      <c r="PAF89"/>
      <c r="PAG89"/>
      <c r="PAH89"/>
      <c r="PAI89"/>
      <c r="PAJ89"/>
      <c r="PAK89"/>
      <c r="PAL89"/>
      <c r="PAM89"/>
      <c r="PAN89"/>
      <c r="PAO89"/>
      <c r="PAP89"/>
      <c r="PAQ89"/>
      <c r="PAR89"/>
      <c r="PAS89"/>
      <c r="PAT89"/>
      <c r="PAU89"/>
      <c r="PAV89"/>
      <c r="PAW89"/>
      <c r="PAX89"/>
      <c r="PAY89"/>
      <c r="PAZ89"/>
      <c r="PBA89"/>
      <c r="PBB89"/>
      <c r="PBC89"/>
      <c r="PBD89"/>
      <c r="PBE89"/>
      <c r="PBF89"/>
      <c r="PBG89"/>
      <c r="PBH89"/>
      <c r="PBI89"/>
      <c r="PBJ89"/>
      <c r="PBK89"/>
      <c r="PBL89"/>
      <c r="PBM89"/>
      <c r="PBN89"/>
      <c r="PBO89"/>
      <c r="PBP89"/>
      <c r="PBQ89"/>
      <c r="PBR89"/>
      <c r="PBS89"/>
      <c r="PBT89"/>
      <c r="PBU89"/>
      <c r="PBV89"/>
      <c r="PBW89"/>
      <c r="PBX89"/>
      <c r="PBY89"/>
      <c r="PBZ89"/>
      <c r="PCA89"/>
      <c r="PCB89"/>
      <c r="PCC89"/>
      <c r="PCD89"/>
      <c r="PCE89"/>
      <c r="PCF89"/>
      <c r="PCG89"/>
      <c r="PCH89"/>
      <c r="PCI89"/>
      <c r="PCJ89"/>
      <c r="PCK89"/>
      <c r="PCL89"/>
      <c r="PCM89"/>
      <c r="PCN89"/>
      <c r="PCO89"/>
      <c r="PCP89"/>
      <c r="PCQ89"/>
      <c r="PCR89"/>
      <c r="PCS89"/>
      <c r="PCT89"/>
      <c r="PCU89"/>
      <c r="PCV89"/>
      <c r="PCW89"/>
      <c r="PCX89"/>
      <c r="PCY89"/>
      <c r="PCZ89"/>
      <c r="PDA89"/>
      <c r="PDB89"/>
      <c r="PDC89"/>
      <c r="PDD89"/>
      <c r="PDE89"/>
      <c r="PDF89"/>
      <c r="PDG89"/>
      <c r="PDH89"/>
      <c r="PDI89"/>
      <c r="PDJ89"/>
      <c r="PDK89"/>
      <c r="PDL89"/>
      <c r="PDM89"/>
      <c r="PDN89"/>
      <c r="PDO89"/>
      <c r="PDP89"/>
      <c r="PDQ89"/>
      <c r="PDR89"/>
      <c r="PDS89"/>
      <c r="PDT89"/>
      <c r="PDU89"/>
      <c r="PDV89"/>
      <c r="PDW89"/>
      <c r="PDX89"/>
      <c r="PDY89"/>
      <c r="PDZ89"/>
      <c r="PEA89"/>
      <c r="PEB89"/>
      <c r="PEC89"/>
      <c r="PED89"/>
      <c r="PEE89"/>
      <c r="PEF89"/>
      <c r="PEG89"/>
      <c r="PEH89"/>
      <c r="PEI89"/>
      <c r="PEJ89"/>
      <c r="PEK89"/>
      <c r="PEL89"/>
      <c r="PEM89"/>
      <c r="PEN89"/>
      <c r="PEO89"/>
      <c r="PEP89"/>
      <c r="PEQ89"/>
      <c r="PER89"/>
      <c r="PES89"/>
      <c r="PET89"/>
      <c r="PEU89"/>
      <c r="PEV89"/>
      <c r="PEW89"/>
      <c r="PEX89"/>
      <c r="PEY89"/>
      <c r="PEZ89"/>
      <c r="PFA89"/>
      <c r="PFB89"/>
      <c r="PFC89"/>
      <c r="PFD89"/>
      <c r="PFE89"/>
      <c r="PFF89"/>
      <c r="PFG89"/>
      <c r="PFH89"/>
      <c r="PFI89"/>
      <c r="PFJ89"/>
      <c r="PFK89"/>
      <c r="PFL89"/>
      <c r="PFM89"/>
      <c r="PFN89"/>
      <c r="PFO89"/>
      <c r="PFP89"/>
      <c r="PFQ89"/>
      <c r="PFR89"/>
      <c r="PFS89"/>
      <c r="PFT89"/>
      <c r="PFU89"/>
      <c r="PFV89"/>
      <c r="PFW89"/>
      <c r="PFX89"/>
      <c r="PFY89"/>
      <c r="PFZ89"/>
      <c r="PGA89"/>
      <c r="PGB89"/>
      <c r="PGC89"/>
      <c r="PGD89"/>
      <c r="PGE89"/>
      <c r="PGF89"/>
      <c r="PGG89"/>
      <c r="PGH89"/>
      <c r="PGI89"/>
      <c r="PGJ89"/>
      <c r="PGK89"/>
      <c r="PGL89"/>
      <c r="PGM89"/>
      <c r="PGN89"/>
      <c r="PGO89"/>
      <c r="PGP89"/>
      <c r="PGQ89"/>
      <c r="PGR89"/>
      <c r="PGS89"/>
      <c r="PGT89"/>
      <c r="PGU89"/>
      <c r="PGV89"/>
      <c r="PGW89"/>
      <c r="PGX89"/>
      <c r="PGY89"/>
      <c r="PGZ89"/>
      <c r="PHA89"/>
      <c r="PHB89"/>
      <c r="PHC89"/>
      <c r="PHD89"/>
      <c r="PHE89"/>
      <c r="PHF89"/>
      <c r="PHG89"/>
      <c r="PHH89"/>
      <c r="PHI89"/>
      <c r="PHJ89"/>
      <c r="PHK89"/>
      <c r="PHL89"/>
      <c r="PHM89"/>
      <c r="PHN89"/>
      <c r="PHO89"/>
      <c r="PHP89"/>
      <c r="PHQ89"/>
      <c r="PHR89"/>
      <c r="PHS89"/>
      <c r="PHT89"/>
      <c r="PHU89"/>
      <c r="PHV89"/>
      <c r="PHW89"/>
      <c r="PHX89"/>
      <c r="PHY89"/>
      <c r="PHZ89"/>
      <c r="PIA89"/>
      <c r="PIB89"/>
      <c r="PIC89"/>
      <c r="PID89"/>
      <c r="PIE89"/>
      <c r="PIF89"/>
      <c r="PIG89"/>
      <c r="PIH89"/>
      <c r="PII89"/>
      <c r="PIJ89"/>
      <c r="PIK89"/>
      <c r="PIL89"/>
      <c r="PIM89"/>
      <c r="PIN89"/>
      <c r="PIO89"/>
      <c r="PIP89"/>
      <c r="PIQ89"/>
      <c r="PIR89"/>
      <c r="PIS89"/>
      <c r="PIT89"/>
      <c r="PIU89"/>
      <c r="PIV89"/>
      <c r="PIW89"/>
      <c r="PIX89"/>
      <c r="PIY89"/>
      <c r="PIZ89"/>
      <c r="PJA89"/>
      <c r="PJB89"/>
      <c r="PJC89"/>
      <c r="PJD89"/>
      <c r="PJE89"/>
      <c r="PJF89"/>
      <c r="PJG89"/>
      <c r="PJH89"/>
      <c r="PJI89"/>
      <c r="PJJ89"/>
      <c r="PJK89"/>
      <c r="PJL89"/>
      <c r="PJM89"/>
      <c r="PJN89"/>
      <c r="PJO89"/>
      <c r="PJP89"/>
      <c r="PJQ89"/>
      <c r="PJR89"/>
      <c r="PJS89"/>
      <c r="PJT89"/>
      <c r="PJU89"/>
      <c r="PJV89"/>
      <c r="PJW89"/>
      <c r="PJX89"/>
      <c r="PJY89"/>
      <c r="PJZ89"/>
      <c r="PKA89"/>
      <c r="PKB89"/>
      <c r="PKC89"/>
      <c r="PKD89"/>
      <c r="PKE89"/>
      <c r="PKF89"/>
      <c r="PKG89"/>
      <c r="PKH89"/>
      <c r="PKI89"/>
      <c r="PKJ89"/>
      <c r="PKK89"/>
      <c r="PKL89"/>
      <c r="PKM89"/>
      <c r="PKN89"/>
      <c r="PKO89"/>
      <c r="PKP89"/>
      <c r="PKQ89"/>
      <c r="PKR89"/>
      <c r="PKS89"/>
      <c r="PKT89"/>
      <c r="PKU89"/>
      <c r="PKV89"/>
      <c r="PKW89"/>
      <c r="PKX89"/>
      <c r="PKY89"/>
      <c r="PKZ89"/>
      <c r="PLA89"/>
      <c r="PLB89"/>
      <c r="PLC89"/>
      <c r="PLD89"/>
      <c r="PLE89"/>
      <c r="PLF89"/>
      <c r="PLG89"/>
      <c r="PLH89"/>
      <c r="PLI89"/>
      <c r="PLJ89"/>
      <c r="PLK89"/>
      <c r="PLL89"/>
      <c r="PLM89"/>
      <c r="PLN89"/>
      <c r="PLO89"/>
      <c r="PLP89"/>
      <c r="PLQ89"/>
      <c r="PLR89"/>
      <c r="PLS89"/>
      <c r="PLT89"/>
      <c r="PLU89"/>
      <c r="PLV89"/>
      <c r="PLW89"/>
      <c r="PLX89"/>
      <c r="PLY89"/>
      <c r="PLZ89"/>
      <c r="PMA89"/>
      <c r="PMB89"/>
      <c r="PMC89"/>
      <c r="PMD89"/>
      <c r="PME89"/>
      <c r="PMF89"/>
      <c r="PMG89"/>
      <c r="PMH89"/>
      <c r="PMI89"/>
      <c r="PMJ89"/>
      <c r="PMK89"/>
      <c r="PML89"/>
      <c r="PMM89"/>
      <c r="PMN89"/>
      <c r="PMO89"/>
      <c r="PMP89"/>
      <c r="PMQ89"/>
      <c r="PMR89"/>
      <c r="PMS89"/>
      <c r="PMT89"/>
      <c r="PMU89"/>
      <c r="PMV89"/>
      <c r="PMW89"/>
      <c r="PMX89"/>
      <c r="PMY89"/>
      <c r="PMZ89"/>
      <c r="PNA89"/>
      <c r="PNB89"/>
      <c r="PNC89"/>
      <c r="PND89"/>
      <c r="PNE89"/>
      <c r="PNF89"/>
      <c r="PNG89"/>
      <c r="PNH89"/>
      <c r="PNI89"/>
      <c r="PNJ89"/>
      <c r="PNK89"/>
      <c r="PNL89"/>
      <c r="PNM89"/>
      <c r="PNN89"/>
      <c r="PNO89"/>
      <c r="PNP89"/>
      <c r="PNQ89"/>
      <c r="PNR89"/>
      <c r="PNS89"/>
      <c r="PNT89"/>
      <c r="PNU89"/>
      <c r="PNV89"/>
      <c r="PNW89"/>
      <c r="PNX89"/>
      <c r="PNY89"/>
      <c r="PNZ89"/>
      <c r="POA89"/>
      <c r="POB89"/>
      <c r="POC89"/>
      <c r="POD89"/>
      <c r="POE89"/>
      <c r="POF89"/>
      <c r="POG89"/>
      <c r="POH89"/>
      <c r="POI89"/>
      <c r="POJ89"/>
      <c r="POK89"/>
      <c r="POL89"/>
      <c r="POM89"/>
      <c r="PON89"/>
      <c r="POO89"/>
      <c r="POP89"/>
      <c r="POQ89"/>
      <c r="POR89"/>
      <c r="POS89"/>
      <c r="POT89"/>
      <c r="POU89"/>
      <c r="POV89"/>
      <c r="POW89"/>
      <c r="POX89"/>
      <c r="POY89"/>
      <c r="POZ89"/>
      <c r="PPA89"/>
      <c r="PPB89"/>
      <c r="PPC89"/>
      <c r="PPD89"/>
      <c r="PPE89"/>
      <c r="PPF89"/>
      <c r="PPG89"/>
      <c r="PPH89"/>
      <c r="PPI89"/>
      <c r="PPJ89"/>
      <c r="PPK89"/>
      <c r="PPL89"/>
      <c r="PPM89"/>
      <c r="PPN89"/>
      <c r="PPO89"/>
      <c r="PPP89"/>
      <c r="PPQ89"/>
      <c r="PPR89"/>
      <c r="PPS89"/>
      <c r="PPT89"/>
      <c r="PPU89"/>
      <c r="PPV89"/>
      <c r="PPW89"/>
      <c r="PPX89"/>
      <c r="PPY89"/>
      <c r="PPZ89"/>
      <c r="PQA89"/>
      <c r="PQB89"/>
      <c r="PQC89"/>
      <c r="PQD89"/>
      <c r="PQE89"/>
      <c r="PQF89"/>
      <c r="PQG89"/>
      <c r="PQH89"/>
      <c r="PQI89"/>
      <c r="PQJ89"/>
      <c r="PQK89"/>
      <c r="PQL89"/>
      <c r="PQM89"/>
      <c r="PQN89"/>
      <c r="PQO89"/>
      <c r="PQP89"/>
      <c r="PQQ89"/>
      <c r="PQR89"/>
      <c r="PQS89"/>
      <c r="PQT89"/>
      <c r="PQU89"/>
      <c r="PQV89"/>
      <c r="PQW89"/>
      <c r="PQX89"/>
      <c r="PQY89"/>
      <c r="PQZ89"/>
      <c r="PRA89"/>
      <c r="PRB89"/>
      <c r="PRC89"/>
      <c r="PRD89"/>
      <c r="PRE89"/>
      <c r="PRF89"/>
      <c r="PRG89"/>
      <c r="PRH89"/>
      <c r="PRI89"/>
      <c r="PRJ89"/>
      <c r="PRK89"/>
      <c r="PRL89"/>
      <c r="PRM89"/>
      <c r="PRN89"/>
      <c r="PRO89"/>
      <c r="PRP89"/>
      <c r="PRQ89"/>
      <c r="PRR89"/>
      <c r="PRS89"/>
      <c r="PRT89"/>
      <c r="PRU89"/>
      <c r="PRV89"/>
      <c r="PRW89"/>
      <c r="PRX89"/>
      <c r="PRY89"/>
      <c r="PRZ89"/>
      <c r="PSA89"/>
      <c r="PSB89"/>
      <c r="PSC89"/>
      <c r="PSD89"/>
      <c r="PSE89"/>
      <c r="PSF89"/>
      <c r="PSG89"/>
      <c r="PSH89"/>
      <c r="PSI89"/>
      <c r="PSJ89"/>
      <c r="PSK89"/>
      <c r="PSL89"/>
      <c r="PSM89"/>
      <c r="PSN89"/>
      <c r="PSO89"/>
      <c r="PSP89"/>
      <c r="PSQ89"/>
      <c r="PSR89"/>
      <c r="PSS89"/>
      <c r="PST89"/>
      <c r="PSU89"/>
      <c r="PSV89"/>
      <c r="PSW89"/>
      <c r="PSX89"/>
      <c r="PSY89"/>
      <c r="PSZ89"/>
      <c r="PTA89"/>
      <c r="PTB89"/>
      <c r="PTC89"/>
      <c r="PTD89"/>
      <c r="PTE89"/>
      <c r="PTF89"/>
      <c r="PTG89"/>
      <c r="PTH89"/>
      <c r="PTI89"/>
      <c r="PTJ89"/>
      <c r="PTK89"/>
      <c r="PTL89"/>
      <c r="PTM89"/>
      <c r="PTN89"/>
      <c r="PTO89"/>
      <c r="PTP89"/>
      <c r="PTQ89"/>
      <c r="PTR89"/>
      <c r="PTS89"/>
      <c r="PTT89"/>
      <c r="PTU89"/>
      <c r="PTV89"/>
      <c r="PTW89"/>
      <c r="PTX89"/>
      <c r="PTY89"/>
      <c r="PTZ89"/>
      <c r="PUA89"/>
      <c r="PUB89"/>
      <c r="PUC89"/>
      <c r="PUD89"/>
      <c r="PUE89"/>
      <c r="PUF89"/>
      <c r="PUG89"/>
      <c r="PUH89"/>
      <c r="PUI89"/>
      <c r="PUJ89"/>
      <c r="PUK89"/>
      <c r="PUL89"/>
      <c r="PUM89"/>
      <c r="PUN89"/>
      <c r="PUO89"/>
      <c r="PUP89"/>
      <c r="PUQ89"/>
      <c r="PUR89"/>
      <c r="PUS89"/>
      <c r="PUT89"/>
      <c r="PUU89"/>
      <c r="PUV89"/>
      <c r="PUW89"/>
      <c r="PUX89"/>
      <c r="PUY89"/>
      <c r="PUZ89"/>
      <c r="PVA89"/>
      <c r="PVB89"/>
      <c r="PVC89"/>
      <c r="PVD89"/>
      <c r="PVE89"/>
      <c r="PVF89"/>
      <c r="PVG89"/>
      <c r="PVH89"/>
      <c r="PVI89"/>
      <c r="PVJ89"/>
      <c r="PVK89"/>
      <c r="PVL89"/>
      <c r="PVM89"/>
      <c r="PVN89"/>
      <c r="PVO89"/>
      <c r="PVP89"/>
      <c r="PVQ89"/>
      <c r="PVR89"/>
      <c r="PVS89"/>
      <c r="PVT89"/>
      <c r="PVU89"/>
      <c r="PVV89"/>
      <c r="PVW89"/>
      <c r="PVX89"/>
      <c r="PVY89"/>
      <c r="PVZ89"/>
      <c r="PWA89"/>
      <c r="PWB89"/>
      <c r="PWC89"/>
      <c r="PWD89"/>
      <c r="PWE89"/>
      <c r="PWF89"/>
      <c r="PWG89"/>
      <c r="PWH89"/>
      <c r="PWI89"/>
      <c r="PWJ89"/>
      <c r="PWK89"/>
      <c r="PWL89"/>
      <c r="PWM89"/>
      <c r="PWN89"/>
      <c r="PWO89"/>
      <c r="PWP89"/>
      <c r="PWQ89"/>
      <c r="PWR89"/>
      <c r="PWS89"/>
      <c r="PWT89"/>
      <c r="PWU89"/>
      <c r="PWV89"/>
      <c r="PWW89"/>
      <c r="PWX89"/>
      <c r="PWY89"/>
      <c r="PWZ89"/>
      <c r="PXA89"/>
      <c r="PXB89"/>
      <c r="PXC89"/>
      <c r="PXD89"/>
      <c r="PXE89"/>
      <c r="PXF89"/>
      <c r="PXG89"/>
      <c r="PXH89"/>
      <c r="PXI89"/>
      <c r="PXJ89"/>
      <c r="PXK89"/>
      <c r="PXL89"/>
      <c r="PXM89"/>
      <c r="PXN89"/>
      <c r="PXO89"/>
      <c r="PXP89"/>
      <c r="PXQ89"/>
      <c r="PXR89"/>
      <c r="PXS89"/>
      <c r="PXT89"/>
      <c r="PXU89"/>
      <c r="PXV89"/>
      <c r="PXW89"/>
      <c r="PXX89"/>
      <c r="PXY89"/>
      <c r="PXZ89"/>
      <c r="PYA89"/>
      <c r="PYB89"/>
      <c r="PYC89"/>
      <c r="PYD89"/>
      <c r="PYE89"/>
      <c r="PYF89"/>
      <c r="PYG89"/>
      <c r="PYH89"/>
      <c r="PYI89"/>
      <c r="PYJ89"/>
      <c r="PYK89"/>
      <c r="PYL89"/>
      <c r="PYM89"/>
      <c r="PYN89"/>
      <c r="PYO89"/>
      <c r="PYP89"/>
      <c r="PYQ89"/>
      <c r="PYR89"/>
      <c r="PYS89"/>
      <c r="PYT89"/>
      <c r="PYU89"/>
      <c r="PYV89"/>
      <c r="PYW89"/>
      <c r="PYX89"/>
      <c r="PYY89"/>
      <c r="PYZ89"/>
      <c r="PZA89"/>
      <c r="PZB89"/>
      <c r="PZC89"/>
      <c r="PZD89"/>
      <c r="PZE89"/>
      <c r="PZF89"/>
      <c r="PZG89"/>
      <c r="PZH89"/>
      <c r="PZI89"/>
      <c r="PZJ89"/>
      <c r="PZK89"/>
      <c r="PZL89"/>
      <c r="PZM89"/>
      <c r="PZN89"/>
      <c r="PZO89"/>
      <c r="PZP89"/>
      <c r="PZQ89"/>
      <c r="PZR89"/>
      <c r="PZS89"/>
      <c r="PZT89"/>
      <c r="PZU89"/>
      <c r="PZV89"/>
      <c r="PZW89"/>
      <c r="PZX89"/>
      <c r="PZY89"/>
      <c r="PZZ89"/>
      <c r="QAA89"/>
      <c r="QAB89"/>
      <c r="QAC89"/>
      <c r="QAD89"/>
      <c r="QAE89"/>
      <c r="QAF89"/>
      <c r="QAG89"/>
      <c r="QAH89"/>
      <c r="QAI89"/>
      <c r="QAJ89"/>
      <c r="QAK89"/>
      <c r="QAL89"/>
      <c r="QAM89"/>
      <c r="QAN89"/>
      <c r="QAO89"/>
      <c r="QAP89"/>
      <c r="QAQ89"/>
      <c r="QAR89"/>
      <c r="QAS89"/>
      <c r="QAT89"/>
      <c r="QAU89"/>
      <c r="QAV89"/>
      <c r="QAW89"/>
      <c r="QAX89"/>
      <c r="QAY89"/>
      <c r="QAZ89"/>
      <c r="QBA89"/>
      <c r="QBB89"/>
      <c r="QBC89"/>
      <c r="QBD89"/>
      <c r="QBE89"/>
      <c r="QBF89"/>
      <c r="QBG89"/>
      <c r="QBH89"/>
      <c r="QBI89"/>
      <c r="QBJ89"/>
      <c r="QBK89"/>
      <c r="QBL89"/>
      <c r="QBM89"/>
      <c r="QBN89"/>
      <c r="QBO89"/>
      <c r="QBP89"/>
      <c r="QBQ89"/>
      <c r="QBR89"/>
      <c r="QBS89"/>
      <c r="QBT89"/>
      <c r="QBU89"/>
      <c r="QBV89"/>
      <c r="QBW89"/>
      <c r="QBX89"/>
      <c r="QBY89"/>
      <c r="QBZ89"/>
      <c r="QCA89"/>
      <c r="QCB89"/>
      <c r="QCC89"/>
      <c r="QCD89"/>
      <c r="QCE89"/>
      <c r="QCF89"/>
      <c r="QCG89"/>
      <c r="QCH89"/>
      <c r="QCI89"/>
      <c r="QCJ89"/>
      <c r="QCK89"/>
      <c r="QCL89"/>
      <c r="QCM89"/>
      <c r="QCN89"/>
      <c r="QCO89"/>
      <c r="QCP89"/>
      <c r="QCQ89"/>
      <c r="QCR89"/>
      <c r="QCS89"/>
      <c r="QCT89"/>
      <c r="QCU89"/>
      <c r="QCV89"/>
      <c r="QCW89"/>
      <c r="QCX89"/>
      <c r="QCY89"/>
      <c r="QCZ89"/>
      <c r="QDA89"/>
      <c r="QDB89"/>
      <c r="QDC89"/>
      <c r="QDD89"/>
      <c r="QDE89"/>
      <c r="QDF89"/>
      <c r="QDG89"/>
      <c r="QDH89"/>
      <c r="QDI89"/>
      <c r="QDJ89"/>
      <c r="QDK89"/>
      <c r="QDL89"/>
      <c r="QDM89"/>
      <c r="QDN89"/>
      <c r="QDO89"/>
      <c r="QDP89"/>
      <c r="QDQ89"/>
      <c r="QDR89"/>
      <c r="QDS89"/>
      <c r="QDT89"/>
      <c r="QDU89"/>
      <c r="QDV89"/>
      <c r="QDW89"/>
      <c r="QDX89"/>
      <c r="QDY89"/>
      <c r="QDZ89"/>
      <c r="QEA89"/>
      <c r="QEB89"/>
      <c r="QEC89"/>
      <c r="QED89"/>
      <c r="QEE89"/>
      <c r="QEF89"/>
      <c r="QEG89"/>
      <c r="QEH89"/>
      <c r="QEI89"/>
      <c r="QEJ89"/>
      <c r="QEK89"/>
      <c r="QEL89"/>
      <c r="QEM89"/>
      <c r="QEN89"/>
      <c r="QEO89"/>
      <c r="QEP89"/>
      <c r="QEQ89"/>
      <c r="QER89"/>
      <c r="QES89"/>
      <c r="QET89"/>
      <c r="QEU89"/>
      <c r="QEV89"/>
      <c r="QEW89"/>
      <c r="QEX89"/>
      <c r="QEY89"/>
      <c r="QEZ89"/>
      <c r="QFA89"/>
      <c r="QFB89"/>
      <c r="QFC89"/>
      <c r="QFD89"/>
      <c r="QFE89"/>
      <c r="QFF89"/>
      <c r="QFG89"/>
      <c r="QFH89"/>
      <c r="QFI89"/>
      <c r="QFJ89"/>
      <c r="QFK89"/>
      <c r="QFL89"/>
      <c r="QFM89"/>
      <c r="QFN89"/>
      <c r="QFO89"/>
      <c r="QFP89"/>
      <c r="QFQ89"/>
      <c r="QFR89"/>
      <c r="QFS89"/>
      <c r="QFT89"/>
      <c r="QFU89"/>
      <c r="QFV89"/>
      <c r="QFW89"/>
      <c r="QFX89"/>
      <c r="QFY89"/>
      <c r="QFZ89"/>
      <c r="QGA89"/>
      <c r="QGB89"/>
      <c r="QGC89"/>
      <c r="QGD89"/>
      <c r="QGE89"/>
      <c r="QGF89"/>
      <c r="QGG89"/>
      <c r="QGH89"/>
      <c r="QGI89"/>
      <c r="QGJ89"/>
      <c r="QGK89"/>
      <c r="QGL89"/>
      <c r="QGM89"/>
      <c r="QGN89"/>
      <c r="QGO89"/>
      <c r="QGP89"/>
      <c r="QGQ89"/>
      <c r="QGR89"/>
      <c r="QGS89"/>
      <c r="QGT89"/>
      <c r="QGU89"/>
      <c r="QGV89"/>
      <c r="QGW89"/>
      <c r="QGX89"/>
      <c r="QGY89"/>
      <c r="QGZ89"/>
      <c r="QHA89"/>
      <c r="QHB89"/>
      <c r="QHC89"/>
      <c r="QHD89"/>
      <c r="QHE89"/>
      <c r="QHF89"/>
      <c r="QHG89"/>
      <c r="QHH89"/>
      <c r="QHI89"/>
      <c r="QHJ89"/>
      <c r="QHK89"/>
      <c r="QHL89"/>
      <c r="QHM89"/>
      <c r="QHN89"/>
      <c r="QHO89"/>
      <c r="QHP89"/>
      <c r="QHQ89"/>
      <c r="QHR89"/>
      <c r="QHS89"/>
      <c r="QHT89"/>
      <c r="QHU89"/>
      <c r="QHV89"/>
      <c r="QHW89"/>
      <c r="QHX89"/>
      <c r="QHY89"/>
      <c r="QHZ89"/>
      <c r="QIA89"/>
      <c r="QIB89"/>
      <c r="QIC89"/>
      <c r="QID89"/>
      <c r="QIE89"/>
      <c r="QIF89"/>
      <c r="QIG89"/>
      <c r="QIH89"/>
      <c r="QII89"/>
      <c r="QIJ89"/>
      <c r="QIK89"/>
      <c r="QIL89"/>
      <c r="QIM89"/>
      <c r="QIN89"/>
      <c r="QIO89"/>
      <c r="QIP89"/>
      <c r="QIQ89"/>
      <c r="QIR89"/>
      <c r="QIS89"/>
      <c r="QIT89"/>
      <c r="QIU89"/>
      <c r="QIV89"/>
      <c r="QIW89"/>
      <c r="QIX89"/>
      <c r="QIY89"/>
      <c r="QIZ89"/>
      <c r="QJA89"/>
      <c r="QJB89"/>
      <c r="QJC89"/>
      <c r="QJD89"/>
      <c r="QJE89"/>
      <c r="QJF89"/>
      <c r="QJG89"/>
      <c r="QJH89"/>
      <c r="QJI89"/>
      <c r="QJJ89"/>
      <c r="QJK89"/>
      <c r="QJL89"/>
      <c r="QJM89"/>
      <c r="QJN89"/>
      <c r="QJO89"/>
      <c r="QJP89"/>
      <c r="QJQ89"/>
      <c r="QJR89"/>
      <c r="QJS89"/>
      <c r="QJT89"/>
      <c r="QJU89"/>
      <c r="QJV89"/>
      <c r="QJW89"/>
      <c r="QJX89"/>
      <c r="QJY89"/>
      <c r="QJZ89"/>
      <c r="QKA89"/>
      <c r="QKB89"/>
      <c r="QKC89"/>
      <c r="QKD89"/>
      <c r="QKE89"/>
      <c r="QKF89"/>
      <c r="QKG89"/>
      <c r="QKH89"/>
      <c r="QKI89"/>
      <c r="QKJ89"/>
      <c r="QKK89"/>
      <c r="QKL89"/>
      <c r="QKM89"/>
      <c r="QKN89"/>
      <c r="QKO89"/>
      <c r="QKP89"/>
      <c r="QKQ89"/>
      <c r="QKR89"/>
      <c r="QKS89"/>
      <c r="QKT89"/>
      <c r="QKU89"/>
      <c r="QKV89"/>
      <c r="QKW89"/>
      <c r="QKX89"/>
      <c r="QKY89"/>
      <c r="QKZ89"/>
      <c r="QLA89"/>
      <c r="QLB89"/>
      <c r="QLC89"/>
      <c r="QLD89"/>
      <c r="QLE89"/>
      <c r="QLF89"/>
      <c r="QLG89"/>
      <c r="QLH89"/>
      <c r="QLI89"/>
      <c r="QLJ89"/>
      <c r="QLK89"/>
      <c r="QLL89"/>
      <c r="QLM89"/>
      <c r="QLN89"/>
      <c r="QLO89"/>
      <c r="QLP89"/>
      <c r="QLQ89"/>
      <c r="QLR89"/>
      <c r="QLS89"/>
      <c r="QLT89"/>
      <c r="QLU89"/>
      <c r="QLV89"/>
      <c r="QLW89"/>
      <c r="QLX89"/>
      <c r="QLY89"/>
      <c r="QLZ89"/>
      <c r="QMA89"/>
      <c r="QMB89"/>
      <c r="QMC89"/>
      <c r="QMD89"/>
      <c r="QME89"/>
      <c r="QMF89"/>
      <c r="QMG89"/>
      <c r="QMH89"/>
      <c r="QMI89"/>
      <c r="QMJ89"/>
      <c r="QMK89"/>
      <c r="QML89"/>
      <c r="QMM89"/>
      <c r="QMN89"/>
      <c r="QMO89"/>
      <c r="QMP89"/>
      <c r="QMQ89"/>
      <c r="QMR89"/>
      <c r="QMS89"/>
      <c r="QMT89"/>
      <c r="QMU89"/>
      <c r="QMV89"/>
      <c r="QMW89"/>
      <c r="QMX89"/>
      <c r="QMY89"/>
      <c r="QMZ89"/>
      <c r="QNA89"/>
      <c r="QNB89"/>
      <c r="QNC89"/>
      <c r="QND89"/>
      <c r="QNE89"/>
      <c r="QNF89"/>
      <c r="QNG89"/>
      <c r="QNH89"/>
      <c r="QNI89"/>
      <c r="QNJ89"/>
      <c r="QNK89"/>
      <c r="QNL89"/>
      <c r="QNM89"/>
      <c r="QNN89"/>
      <c r="QNO89"/>
      <c r="QNP89"/>
      <c r="QNQ89"/>
      <c r="QNR89"/>
      <c r="QNS89"/>
      <c r="QNT89"/>
      <c r="QNU89"/>
      <c r="QNV89"/>
      <c r="QNW89"/>
      <c r="QNX89"/>
      <c r="QNY89"/>
      <c r="QNZ89"/>
      <c r="QOA89"/>
      <c r="QOB89"/>
      <c r="QOC89"/>
      <c r="QOD89"/>
      <c r="QOE89"/>
      <c r="QOF89"/>
      <c r="QOG89"/>
      <c r="QOH89"/>
      <c r="QOI89"/>
      <c r="QOJ89"/>
      <c r="QOK89"/>
      <c r="QOL89"/>
      <c r="QOM89"/>
      <c r="QON89"/>
      <c r="QOO89"/>
      <c r="QOP89"/>
      <c r="QOQ89"/>
      <c r="QOR89"/>
      <c r="QOS89"/>
      <c r="QOT89"/>
      <c r="QOU89"/>
      <c r="QOV89"/>
      <c r="QOW89"/>
      <c r="QOX89"/>
      <c r="QOY89"/>
      <c r="QOZ89"/>
      <c r="QPA89"/>
      <c r="QPB89"/>
      <c r="QPC89"/>
      <c r="QPD89"/>
      <c r="QPE89"/>
      <c r="QPF89"/>
      <c r="QPG89"/>
      <c r="QPH89"/>
      <c r="QPI89"/>
      <c r="QPJ89"/>
      <c r="QPK89"/>
      <c r="QPL89"/>
      <c r="QPM89"/>
      <c r="QPN89"/>
      <c r="QPO89"/>
      <c r="QPP89"/>
      <c r="QPQ89"/>
      <c r="QPR89"/>
      <c r="QPS89"/>
      <c r="QPT89"/>
      <c r="QPU89"/>
      <c r="QPV89"/>
      <c r="QPW89"/>
      <c r="QPX89"/>
      <c r="QPY89"/>
      <c r="QPZ89"/>
      <c r="QQA89"/>
      <c r="QQB89"/>
      <c r="QQC89"/>
      <c r="QQD89"/>
      <c r="QQE89"/>
      <c r="QQF89"/>
      <c r="QQG89"/>
      <c r="QQH89"/>
      <c r="QQI89"/>
      <c r="QQJ89"/>
      <c r="QQK89"/>
      <c r="QQL89"/>
      <c r="QQM89"/>
      <c r="QQN89"/>
      <c r="QQO89"/>
      <c r="QQP89"/>
      <c r="QQQ89"/>
      <c r="QQR89"/>
      <c r="QQS89"/>
      <c r="QQT89"/>
      <c r="QQU89"/>
      <c r="QQV89"/>
      <c r="QQW89"/>
      <c r="QQX89"/>
      <c r="QQY89"/>
      <c r="QQZ89"/>
      <c r="QRA89"/>
      <c r="QRB89"/>
      <c r="QRC89"/>
      <c r="QRD89"/>
      <c r="QRE89"/>
      <c r="QRF89"/>
      <c r="QRG89"/>
      <c r="QRH89"/>
      <c r="QRI89"/>
      <c r="QRJ89"/>
      <c r="QRK89"/>
      <c r="QRL89"/>
      <c r="QRM89"/>
      <c r="QRN89"/>
      <c r="QRO89"/>
      <c r="QRP89"/>
      <c r="QRQ89"/>
      <c r="QRR89"/>
      <c r="QRS89"/>
      <c r="QRT89"/>
      <c r="QRU89"/>
      <c r="QRV89"/>
      <c r="QRW89"/>
      <c r="QRX89"/>
      <c r="QRY89"/>
      <c r="QRZ89"/>
      <c r="QSA89"/>
      <c r="QSB89"/>
      <c r="QSC89"/>
      <c r="QSD89"/>
      <c r="QSE89"/>
      <c r="QSF89"/>
      <c r="QSG89"/>
      <c r="QSH89"/>
      <c r="QSI89"/>
      <c r="QSJ89"/>
      <c r="QSK89"/>
      <c r="QSL89"/>
      <c r="QSM89"/>
      <c r="QSN89"/>
      <c r="QSO89"/>
      <c r="QSP89"/>
      <c r="QSQ89"/>
      <c r="QSR89"/>
      <c r="QSS89"/>
      <c r="QST89"/>
      <c r="QSU89"/>
      <c r="QSV89"/>
      <c r="QSW89"/>
      <c r="QSX89"/>
      <c r="QSY89"/>
      <c r="QSZ89"/>
      <c r="QTA89"/>
      <c r="QTB89"/>
      <c r="QTC89"/>
      <c r="QTD89"/>
      <c r="QTE89"/>
      <c r="QTF89"/>
      <c r="QTG89"/>
      <c r="QTH89"/>
      <c r="QTI89"/>
      <c r="QTJ89"/>
      <c r="QTK89"/>
      <c r="QTL89"/>
      <c r="QTM89"/>
      <c r="QTN89"/>
      <c r="QTO89"/>
      <c r="QTP89"/>
      <c r="QTQ89"/>
      <c r="QTR89"/>
      <c r="QTS89"/>
      <c r="QTT89"/>
      <c r="QTU89"/>
      <c r="QTV89"/>
      <c r="QTW89"/>
      <c r="QTX89"/>
      <c r="QTY89"/>
      <c r="QTZ89"/>
      <c r="QUA89"/>
      <c r="QUB89"/>
      <c r="QUC89"/>
      <c r="QUD89"/>
      <c r="QUE89"/>
      <c r="QUF89"/>
      <c r="QUG89"/>
      <c r="QUH89"/>
      <c r="QUI89"/>
      <c r="QUJ89"/>
      <c r="QUK89"/>
      <c r="QUL89"/>
      <c r="QUM89"/>
      <c r="QUN89"/>
      <c r="QUO89"/>
      <c r="QUP89"/>
      <c r="QUQ89"/>
      <c r="QUR89"/>
      <c r="QUS89"/>
      <c r="QUT89"/>
      <c r="QUU89"/>
      <c r="QUV89"/>
      <c r="QUW89"/>
      <c r="QUX89"/>
      <c r="QUY89"/>
      <c r="QUZ89"/>
      <c r="QVA89"/>
      <c r="QVB89"/>
      <c r="QVC89"/>
      <c r="QVD89"/>
      <c r="QVE89"/>
      <c r="QVF89"/>
      <c r="QVG89"/>
      <c r="QVH89"/>
      <c r="QVI89"/>
      <c r="QVJ89"/>
      <c r="QVK89"/>
      <c r="QVL89"/>
      <c r="QVM89"/>
      <c r="QVN89"/>
      <c r="QVO89"/>
      <c r="QVP89"/>
      <c r="QVQ89"/>
      <c r="QVR89"/>
      <c r="QVS89"/>
      <c r="QVT89"/>
      <c r="QVU89"/>
      <c r="QVV89"/>
      <c r="QVW89"/>
      <c r="QVX89"/>
      <c r="QVY89"/>
      <c r="QVZ89"/>
      <c r="QWA89"/>
      <c r="QWB89"/>
      <c r="QWC89"/>
      <c r="QWD89"/>
      <c r="QWE89"/>
      <c r="QWF89"/>
      <c r="QWG89"/>
      <c r="QWH89"/>
      <c r="QWI89"/>
      <c r="QWJ89"/>
      <c r="QWK89"/>
      <c r="QWL89"/>
      <c r="QWM89"/>
      <c r="QWN89"/>
      <c r="QWO89"/>
      <c r="QWP89"/>
      <c r="QWQ89"/>
      <c r="QWR89"/>
      <c r="QWS89"/>
      <c r="QWT89"/>
      <c r="QWU89"/>
      <c r="QWV89"/>
      <c r="QWW89"/>
      <c r="QWX89"/>
      <c r="QWY89"/>
      <c r="QWZ89"/>
      <c r="QXA89"/>
      <c r="QXB89"/>
      <c r="QXC89"/>
      <c r="QXD89"/>
      <c r="QXE89"/>
      <c r="QXF89"/>
      <c r="QXG89"/>
      <c r="QXH89"/>
      <c r="QXI89"/>
      <c r="QXJ89"/>
      <c r="QXK89"/>
      <c r="QXL89"/>
      <c r="QXM89"/>
      <c r="QXN89"/>
      <c r="QXO89"/>
      <c r="QXP89"/>
      <c r="QXQ89"/>
      <c r="QXR89"/>
      <c r="QXS89"/>
      <c r="QXT89"/>
      <c r="QXU89"/>
      <c r="QXV89"/>
      <c r="QXW89"/>
      <c r="QXX89"/>
      <c r="QXY89"/>
      <c r="QXZ89"/>
      <c r="QYA89"/>
      <c r="QYB89"/>
      <c r="QYC89"/>
      <c r="QYD89"/>
      <c r="QYE89"/>
      <c r="QYF89"/>
      <c r="QYG89"/>
      <c r="QYH89"/>
      <c r="QYI89"/>
      <c r="QYJ89"/>
      <c r="QYK89"/>
      <c r="QYL89"/>
      <c r="QYM89"/>
      <c r="QYN89"/>
      <c r="QYO89"/>
      <c r="QYP89"/>
      <c r="QYQ89"/>
      <c r="QYR89"/>
      <c r="QYS89"/>
      <c r="QYT89"/>
      <c r="QYU89"/>
      <c r="QYV89"/>
      <c r="QYW89"/>
      <c r="QYX89"/>
      <c r="QYY89"/>
      <c r="QYZ89"/>
      <c r="QZA89"/>
      <c r="QZB89"/>
      <c r="QZC89"/>
      <c r="QZD89"/>
      <c r="QZE89"/>
      <c r="QZF89"/>
      <c r="QZG89"/>
      <c r="QZH89"/>
      <c r="QZI89"/>
      <c r="QZJ89"/>
      <c r="QZK89"/>
      <c r="QZL89"/>
      <c r="QZM89"/>
      <c r="QZN89"/>
      <c r="QZO89"/>
      <c r="QZP89"/>
      <c r="QZQ89"/>
      <c r="QZR89"/>
      <c r="QZS89"/>
      <c r="QZT89"/>
      <c r="QZU89"/>
      <c r="QZV89"/>
      <c r="QZW89"/>
      <c r="QZX89"/>
      <c r="QZY89"/>
      <c r="QZZ89"/>
      <c r="RAA89"/>
      <c r="RAB89"/>
      <c r="RAC89"/>
      <c r="RAD89"/>
      <c r="RAE89"/>
      <c r="RAF89"/>
      <c r="RAG89"/>
      <c r="RAH89"/>
      <c r="RAI89"/>
      <c r="RAJ89"/>
      <c r="RAK89"/>
      <c r="RAL89"/>
      <c r="RAM89"/>
      <c r="RAN89"/>
      <c r="RAO89"/>
      <c r="RAP89"/>
      <c r="RAQ89"/>
      <c r="RAR89"/>
      <c r="RAS89"/>
      <c r="RAT89"/>
      <c r="RAU89"/>
      <c r="RAV89"/>
      <c r="RAW89"/>
      <c r="RAX89"/>
      <c r="RAY89"/>
      <c r="RAZ89"/>
      <c r="RBA89"/>
      <c r="RBB89"/>
      <c r="RBC89"/>
      <c r="RBD89"/>
      <c r="RBE89"/>
      <c r="RBF89"/>
      <c r="RBG89"/>
      <c r="RBH89"/>
      <c r="RBI89"/>
      <c r="RBJ89"/>
      <c r="RBK89"/>
      <c r="RBL89"/>
      <c r="RBM89"/>
      <c r="RBN89"/>
      <c r="RBO89"/>
      <c r="RBP89"/>
      <c r="RBQ89"/>
      <c r="RBR89"/>
      <c r="RBS89"/>
      <c r="RBT89"/>
      <c r="RBU89"/>
      <c r="RBV89"/>
      <c r="RBW89"/>
      <c r="RBX89"/>
      <c r="RBY89"/>
      <c r="RBZ89"/>
      <c r="RCA89"/>
      <c r="RCB89"/>
      <c r="RCC89"/>
      <c r="RCD89"/>
      <c r="RCE89"/>
      <c r="RCF89"/>
      <c r="RCG89"/>
      <c r="RCH89"/>
      <c r="RCI89"/>
      <c r="RCJ89"/>
      <c r="RCK89"/>
      <c r="RCL89"/>
      <c r="RCM89"/>
      <c r="RCN89"/>
      <c r="RCO89"/>
      <c r="RCP89"/>
      <c r="RCQ89"/>
      <c r="RCR89"/>
      <c r="RCS89"/>
      <c r="RCT89"/>
      <c r="RCU89"/>
      <c r="RCV89"/>
      <c r="RCW89"/>
      <c r="RCX89"/>
      <c r="RCY89"/>
      <c r="RCZ89"/>
      <c r="RDA89"/>
      <c r="RDB89"/>
      <c r="RDC89"/>
      <c r="RDD89"/>
      <c r="RDE89"/>
      <c r="RDF89"/>
      <c r="RDG89"/>
      <c r="RDH89"/>
      <c r="RDI89"/>
      <c r="RDJ89"/>
      <c r="RDK89"/>
      <c r="RDL89"/>
      <c r="RDM89"/>
      <c r="RDN89"/>
      <c r="RDO89"/>
      <c r="RDP89"/>
      <c r="RDQ89"/>
      <c r="RDR89"/>
      <c r="RDS89"/>
      <c r="RDT89"/>
      <c r="RDU89"/>
      <c r="RDV89"/>
      <c r="RDW89"/>
      <c r="RDX89"/>
      <c r="RDY89"/>
      <c r="RDZ89"/>
      <c r="REA89"/>
      <c r="REB89"/>
      <c r="REC89"/>
      <c r="RED89"/>
      <c r="REE89"/>
      <c r="REF89"/>
      <c r="REG89"/>
      <c r="REH89"/>
      <c r="REI89"/>
      <c r="REJ89"/>
      <c r="REK89"/>
      <c r="REL89"/>
      <c r="REM89"/>
      <c r="REN89"/>
      <c r="REO89"/>
      <c r="REP89"/>
      <c r="REQ89"/>
      <c r="RER89"/>
      <c r="RES89"/>
      <c r="RET89"/>
      <c r="REU89"/>
      <c r="REV89"/>
      <c r="REW89"/>
      <c r="REX89"/>
      <c r="REY89"/>
      <c r="REZ89"/>
      <c r="RFA89"/>
      <c r="RFB89"/>
      <c r="RFC89"/>
      <c r="RFD89"/>
      <c r="RFE89"/>
      <c r="RFF89"/>
      <c r="RFG89"/>
      <c r="RFH89"/>
      <c r="RFI89"/>
      <c r="RFJ89"/>
      <c r="RFK89"/>
      <c r="RFL89"/>
      <c r="RFM89"/>
      <c r="RFN89"/>
      <c r="RFO89"/>
      <c r="RFP89"/>
      <c r="RFQ89"/>
      <c r="RFR89"/>
      <c r="RFS89"/>
      <c r="RFT89"/>
      <c r="RFU89"/>
      <c r="RFV89"/>
      <c r="RFW89"/>
      <c r="RFX89"/>
      <c r="RFY89"/>
      <c r="RFZ89"/>
      <c r="RGA89"/>
      <c r="RGB89"/>
      <c r="RGC89"/>
      <c r="RGD89"/>
      <c r="RGE89"/>
      <c r="RGF89"/>
      <c r="RGG89"/>
      <c r="RGH89"/>
      <c r="RGI89"/>
      <c r="RGJ89"/>
      <c r="RGK89"/>
      <c r="RGL89"/>
      <c r="RGM89"/>
      <c r="RGN89"/>
      <c r="RGO89"/>
      <c r="RGP89"/>
      <c r="RGQ89"/>
      <c r="RGR89"/>
      <c r="RGS89"/>
      <c r="RGT89"/>
      <c r="RGU89"/>
      <c r="RGV89"/>
      <c r="RGW89"/>
      <c r="RGX89"/>
      <c r="RGY89"/>
      <c r="RGZ89"/>
      <c r="RHA89"/>
      <c r="RHB89"/>
      <c r="RHC89"/>
      <c r="RHD89"/>
      <c r="RHE89"/>
      <c r="RHF89"/>
      <c r="RHG89"/>
      <c r="RHH89"/>
      <c r="RHI89"/>
      <c r="RHJ89"/>
      <c r="RHK89"/>
      <c r="RHL89"/>
      <c r="RHM89"/>
      <c r="RHN89"/>
      <c r="RHO89"/>
      <c r="RHP89"/>
      <c r="RHQ89"/>
      <c r="RHR89"/>
      <c r="RHS89"/>
      <c r="RHT89"/>
      <c r="RHU89"/>
      <c r="RHV89"/>
      <c r="RHW89"/>
      <c r="RHX89"/>
      <c r="RHY89"/>
      <c r="RHZ89"/>
      <c r="RIA89"/>
      <c r="RIB89"/>
      <c r="RIC89"/>
      <c r="RID89"/>
      <c r="RIE89"/>
      <c r="RIF89"/>
      <c r="RIG89"/>
      <c r="RIH89"/>
      <c r="RII89"/>
      <c r="RIJ89"/>
      <c r="RIK89"/>
      <c r="RIL89"/>
      <c r="RIM89"/>
      <c r="RIN89"/>
      <c r="RIO89"/>
      <c r="RIP89"/>
      <c r="RIQ89"/>
      <c r="RIR89"/>
      <c r="RIS89"/>
      <c r="RIT89"/>
      <c r="RIU89"/>
      <c r="RIV89"/>
      <c r="RIW89"/>
      <c r="RIX89"/>
      <c r="RIY89"/>
      <c r="RIZ89"/>
      <c r="RJA89"/>
      <c r="RJB89"/>
      <c r="RJC89"/>
      <c r="RJD89"/>
      <c r="RJE89"/>
      <c r="RJF89"/>
      <c r="RJG89"/>
      <c r="RJH89"/>
      <c r="RJI89"/>
      <c r="RJJ89"/>
      <c r="RJK89"/>
      <c r="RJL89"/>
      <c r="RJM89"/>
      <c r="RJN89"/>
      <c r="RJO89"/>
      <c r="RJP89"/>
      <c r="RJQ89"/>
      <c r="RJR89"/>
      <c r="RJS89"/>
      <c r="RJT89"/>
      <c r="RJU89"/>
      <c r="RJV89"/>
      <c r="RJW89"/>
      <c r="RJX89"/>
      <c r="RJY89"/>
      <c r="RJZ89"/>
      <c r="RKA89"/>
      <c r="RKB89"/>
      <c r="RKC89"/>
      <c r="RKD89"/>
      <c r="RKE89"/>
      <c r="RKF89"/>
      <c r="RKG89"/>
      <c r="RKH89"/>
      <c r="RKI89"/>
      <c r="RKJ89"/>
      <c r="RKK89"/>
      <c r="RKL89"/>
      <c r="RKM89"/>
      <c r="RKN89"/>
      <c r="RKO89"/>
      <c r="RKP89"/>
      <c r="RKQ89"/>
      <c r="RKR89"/>
      <c r="RKS89"/>
      <c r="RKT89"/>
      <c r="RKU89"/>
      <c r="RKV89"/>
      <c r="RKW89"/>
      <c r="RKX89"/>
      <c r="RKY89"/>
      <c r="RKZ89"/>
      <c r="RLA89"/>
      <c r="RLB89"/>
      <c r="RLC89"/>
      <c r="RLD89"/>
      <c r="RLE89"/>
      <c r="RLF89"/>
      <c r="RLG89"/>
      <c r="RLH89"/>
      <c r="RLI89"/>
      <c r="RLJ89"/>
      <c r="RLK89"/>
      <c r="RLL89"/>
      <c r="RLM89"/>
      <c r="RLN89"/>
      <c r="RLO89"/>
      <c r="RLP89"/>
      <c r="RLQ89"/>
      <c r="RLR89"/>
      <c r="RLS89"/>
      <c r="RLT89"/>
      <c r="RLU89"/>
      <c r="RLV89"/>
      <c r="RLW89"/>
      <c r="RLX89"/>
      <c r="RLY89"/>
      <c r="RLZ89"/>
      <c r="RMA89"/>
      <c r="RMB89"/>
      <c r="RMC89"/>
      <c r="RMD89"/>
      <c r="RME89"/>
      <c r="RMF89"/>
      <c r="RMG89"/>
      <c r="RMH89"/>
      <c r="RMI89"/>
      <c r="RMJ89"/>
      <c r="RMK89"/>
      <c r="RML89"/>
      <c r="RMM89"/>
      <c r="RMN89"/>
      <c r="RMO89"/>
      <c r="RMP89"/>
      <c r="RMQ89"/>
      <c r="RMR89"/>
      <c r="RMS89"/>
      <c r="RMT89"/>
      <c r="RMU89"/>
      <c r="RMV89"/>
      <c r="RMW89"/>
      <c r="RMX89"/>
      <c r="RMY89"/>
      <c r="RMZ89"/>
      <c r="RNA89"/>
      <c r="RNB89"/>
      <c r="RNC89"/>
      <c r="RND89"/>
      <c r="RNE89"/>
      <c r="RNF89"/>
      <c r="RNG89"/>
      <c r="RNH89"/>
      <c r="RNI89"/>
      <c r="RNJ89"/>
      <c r="RNK89"/>
      <c r="RNL89"/>
      <c r="RNM89"/>
      <c r="RNN89"/>
      <c r="RNO89"/>
      <c r="RNP89"/>
      <c r="RNQ89"/>
      <c r="RNR89"/>
      <c r="RNS89"/>
      <c r="RNT89"/>
      <c r="RNU89"/>
      <c r="RNV89"/>
      <c r="RNW89"/>
      <c r="RNX89"/>
      <c r="RNY89"/>
      <c r="RNZ89"/>
      <c r="ROA89"/>
      <c r="ROB89"/>
      <c r="ROC89"/>
      <c r="ROD89"/>
      <c r="ROE89"/>
      <c r="ROF89"/>
      <c r="ROG89"/>
      <c r="ROH89"/>
      <c r="ROI89"/>
      <c r="ROJ89"/>
      <c r="ROK89"/>
      <c r="ROL89"/>
      <c r="ROM89"/>
      <c r="RON89"/>
      <c r="ROO89"/>
      <c r="ROP89"/>
      <c r="ROQ89"/>
      <c r="ROR89"/>
      <c r="ROS89"/>
      <c r="ROT89"/>
      <c r="ROU89"/>
      <c r="ROV89"/>
      <c r="ROW89"/>
      <c r="ROX89"/>
      <c r="ROY89"/>
      <c r="ROZ89"/>
      <c r="RPA89"/>
      <c r="RPB89"/>
      <c r="RPC89"/>
      <c r="RPD89"/>
      <c r="RPE89"/>
      <c r="RPF89"/>
      <c r="RPG89"/>
      <c r="RPH89"/>
      <c r="RPI89"/>
      <c r="RPJ89"/>
      <c r="RPK89"/>
      <c r="RPL89"/>
      <c r="RPM89"/>
      <c r="RPN89"/>
      <c r="RPO89"/>
      <c r="RPP89"/>
      <c r="RPQ89"/>
      <c r="RPR89"/>
      <c r="RPS89"/>
      <c r="RPT89"/>
      <c r="RPU89"/>
      <c r="RPV89"/>
      <c r="RPW89"/>
      <c r="RPX89"/>
      <c r="RPY89"/>
      <c r="RPZ89"/>
      <c r="RQA89"/>
      <c r="RQB89"/>
      <c r="RQC89"/>
      <c r="RQD89"/>
      <c r="RQE89"/>
      <c r="RQF89"/>
      <c r="RQG89"/>
      <c r="RQH89"/>
      <c r="RQI89"/>
      <c r="RQJ89"/>
      <c r="RQK89"/>
      <c r="RQL89"/>
      <c r="RQM89"/>
      <c r="RQN89"/>
      <c r="RQO89"/>
      <c r="RQP89"/>
      <c r="RQQ89"/>
      <c r="RQR89"/>
      <c r="RQS89"/>
      <c r="RQT89"/>
      <c r="RQU89"/>
      <c r="RQV89"/>
      <c r="RQW89"/>
      <c r="RQX89"/>
      <c r="RQY89"/>
      <c r="RQZ89"/>
      <c r="RRA89"/>
      <c r="RRB89"/>
      <c r="RRC89"/>
      <c r="RRD89"/>
      <c r="RRE89"/>
      <c r="RRF89"/>
      <c r="RRG89"/>
      <c r="RRH89"/>
      <c r="RRI89"/>
      <c r="RRJ89"/>
      <c r="RRK89"/>
      <c r="RRL89"/>
      <c r="RRM89"/>
      <c r="RRN89"/>
      <c r="RRO89"/>
      <c r="RRP89"/>
      <c r="RRQ89"/>
      <c r="RRR89"/>
      <c r="RRS89"/>
      <c r="RRT89"/>
      <c r="RRU89"/>
      <c r="RRV89"/>
      <c r="RRW89"/>
      <c r="RRX89"/>
      <c r="RRY89"/>
      <c r="RRZ89"/>
      <c r="RSA89"/>
      <c r="RSB89"/>
      <c r="RSC89"/>
      <c r="RSD89"/>
      <c r="RSE89"/>
      <c r="RSF89"/>
      <c r="RSG89"/>
      <c r="RSH89"/>
      <c r="RSI89"/>
      <c r="RSJ89"/>
      <c r="RSK89"/>
      <c r="RSL89"/>
      <c r="RSM89"/>
      <c r="RSN89"/>
      <c r="RSO89"/>
      <c r="RSP89"/>
      <c r="RSQ89"/>
      <c r="RSR89"/>
      <c r="RSS89"/>
      <c r="RST89"/>
      <c r="RSU89"/>
      <c r="RSV89"/>
      <c r="RSW89"/>
      <c r="RSX89"/>
      <c r="RSY89"/>
      <c r="RSZ89"/>
      <c r="RTA89"/>
      <c r="RTB89"/>
      <c r="RTC89"/>
      <c r="RTD89"/>
      <c r="RTE89"/>
      <c r="RTF89"/>
      <c r="RTG89"/>
      <c r="RTH89"/>
      <c r="RTI89"/>
      <c r="RTJ89"/>
      <c r="RTK89"/>
      <c r="RTL89"/>
      <c r="RTM89"/>
      <c r="RTN89"/>
      <c r="RTO89"/>
      <c r="RTP89"/>
      <c r="RTQ89"/>
      <c r="RTR89"/>
      <c r="RTS89"/>
      <c r="RTT89"/>
      <c r="RTU89"/>
      <c r="RTV89"/>
      <c r="RTW89"/>
      <c r="RTX89"/>
      <c r="RTY89"/>
      <c r="RTZ89"/>
      <c r="RUA89"/>
      <c r="RUB89"/>
      <c r="RUC89"/>
      <c r="RUD89"/>
      <c r="RUE89"/>
      <c r="RUF89"/>
      <c r="RUG89"/>
      <c r="RUH89"/>
      <c r="RUI89"/>
      <c r="RUJ89"/>
      <c r="RUK89"/>
      <c r="RUL89"/>
      <c r="RUM89"/>
      <c r="RUN89"/>
      <c r="RUO89"/>
      <c r="RUP89"/>
      <c r="RUQ89"/>
      <c r="RUR89"/>
      <c r="RUS89"/>
      <c r="RUT89"/>
      <c r="RUU89"/>
      <c r="RUV89"/>
      <c r="RUW89"/>
      <c r="RUX89"/>
      <c r="RUY89"/>
      <c r="RUZ89"/>
      <c r="RVA89"/>
      <c r="RVB89"/>
      <c r="RVC89"/>
      <c r="RVD89"/>
      <c r="RVE89"/>
      <c r="RVF89"/>
      <c r="RVG89"/>
      <c r="RVH89"/>
      <c r="RVI89"/>
      <c r="RVJ89"/>
      <c r="RVK89"/>
      <c r="RVL89"/>
      <c r="RVM89"/>
      <c r="RVN89"/>
      <c r="RVO89"/>
      <c r="RVP89"/>
      <c r="RVQ89"/>
      <c r="RVR89"/>
      <c r="RVS89"/>
      <c r="RVT89"/>
      <c r="RVU89"/>
      <c r="RVV89"/>
      <c r="RVW89"/>
      <c r="RVX89"/>
      <c r="RVY89"/>
      <c r="RVZ89"/>
      <c r="RWA89"/>
      <c r="RWB89"/>
      <c r="RWC89"/>
      <c r="RWD89"/>
      <c r="RWE89"/>
      <c r="RWF89"/>
      <c r="RWG89"/>
      <c r="RWH89"/>
      <c r="RWI89"/>
      <c r="RWJ89"/>
      <c r="RWK89"/>
      <c r="RWL89"/>
      <c r="RWM89"/>
      <c r="RWN89"/>
      <c r="RWO89"/>
      <c r="RWP89"/>
      <c r="RWQ89"/>
      <c r="RWR89"/>
      <c r="RWS89"/>
      <c r="RWT89"/>
      <c r="RWU89"/>
      <c r="RWV89"/>
      <c r="RWW89"/>
      <c r="RWX89"/>
      <c r="RWY89"/>
      <c r="RWZ89"/>
      <c r="RXA89"/>
      <c r="RXB89"/>
      <c r="RXC89"/>
      <c r="RXD89"/>
      <c r="RXE89"/>
      <c r="RXF89"/>
      <c r="RXG89"/>
      <c r="RXH89"/>
      <c r="RXI89"/>
      <c r="RXJ89"/>
      <c r="RXK89"/>
      <c r="RXL89"/>
      <c r="RXM89"/>
      <c r="RXN89"/>
      <c r="RXO89"/>
      <c r="RXP89"/>
      <c r="RXQ89"/>
      <c r="RXR89"/>
      <c r="RXS89"/>
      <c r="RXT89"/>
      <c r="RXU89"/>
      <c r="RXV89"/>
      <c r="RXW89"/>
      <c r="RXX89"/>
      <c r="RXY89"/>
      <c r="RXZ89"/>
      <c r="RYA89"/>
      <c r="RYB89"/>
      <c r="RYC89"/>
      <c r="RYD89"/>
      <c r="RYE89"/>
      <c r="RYF89"/>
      <c r="RYG89"/>
      <c r="RYH89"/>
      <c r="RYI89"/>
      <c r="RYJ89"/>
      <c r="RYK89"/>
      <c r="RYL89"/>
      <c r="RYM89"/>
      <c r="RYN89"/>
      <c r="RYO89"/>
      <c r="RYP89"/>
      <c r="RYQ89"/>
      <c r="RYR89"/>
      <c r="RYS89"/>
      <c r="RYT89"/>
      <c r="RYU89"/>
      <c r="RYV89"/>
      <c r="RYW89"/>
      <c r="RYX89"/>
      <c r="RYY89"/>
      <c r="RYZ89"/>
      <c r="RZA89"/>
      <c r="RZB89"/>
      <c r="RZC89"/>
      <c r="RZD89"/>
      <c r="RZE89"/>
      <c r="RZF89"/>
      <c r="RZG89"/>
      <c r="RZH89"/>
      <c r="RZI89"/>
      <c r="RZJ89"/>
      <c r="RZK89"/>
      <c r="RZL89"/>
      <c r="RZM89"/>
      <c r="RZN89"/>
      <c r="RZO89"/>
      <c r="RZP89"/>
      <c r="RZQ89"/>
      <c r="RZR89"/>
      <c r="RZS89"/>
      <c r="RZT89"/>
      <c r="RZU89"/>
      <c r="RZV89"/>
      <c r="RZW89"/>
      <c r="RZX89"/>
      <c r="RZY89"/>
      <c r="RZZ89"/>
      <c r="SAA89"/>
      <c r="SAB89"/>
      <c r="SAC89"/>
      <c r="SAD89"/>
      <c r="SAE89"/>
      <c r="SAF89"/>
      <c r="SAG89"/>
      <c r="SAH89"/>
      <c r="SAI89"/>
      <c r="SAJ89"/>
      <c r="SAK89"/>
      <c r="SAL89"/>
      <c r="SAM89"/>
      <c r="SAN89"/>
      <c r="SAO89"/>
      <c r="SAP89"/>
      <c r="SAQ89"/>
      <c r="SAR89"/>
      <c r="SAS89"/>
      <c r="SAT89"/>
      <c r="SAU89"/>
      <c r="SAV89"/>
      <c r="SAW89"/>
      <c r="SAX89"/>
      <c r="SAY89"/>
      <c r="SAZ89"/>
      <c r="SBA89"/>
      <c r="SBB89"/>
      <c r="SBC89"/>
      <c r="SBD89"/>
      <c r="SBE89"/>
      <c r="SBF89"/>
      <c r="SBG89"/>
      <c r="SBH89"/>
      <c r="SBI89"/>
      <c r="SBJ89"/>
      <c r="SBK89"/>
      <c r="SBL89"/>
      <c r="SBM89"/>
      <c r="SBN89"/>
      <c r="SBO89"/>
      <c r="SBP89"/>
      <c r="SBQ89"/>
      <c r="SBR89"/>
      <c r="SBS89"/>
      <c r="SBT89"/>
      <c r="SBU89"/>
      <c r="SBV89"/>
      <c r="SBW89"/>
      <c r="SBX89"/>
      <c r="SBY89"/>
      <c r="SBZ89"/>
      <c r="SCA89"/>
      <c r="SCB89"/>
      <c r="SCC89"/>
      <c r="SCD89"/>
      <c r="SCE89"/>
      <c r="SCF89"/>
      <c r="SCG89"/>
      <c r="SCH89"/>
      <c r="SCI89"/>
      <c r="SCJ89"/>
      <c r="SCK89"/>
      <c r="SCL89"/>
      <c r="SCM89"/>
      <c r="SCN89"/>
      <c r="SCO89"/>
      <c r="SCP89"/>
      <c r="SCQ89"/>
      <c r="SCR89"/>
      <c r="SCS89"/>
      <c r="SCT89"/>
      <c r="SCU89"/>
      <c r="SCV89"/>
      <c r="SCW89"/>
      <c r="SCX89"/>
      <c r="SCY89"/>
      <c r="SCZ89"/>
      <c r="SDA89"/>
      <c r="SDB89"/>
      <c r="SDC89"/>
      <c r="SDD89"/>
      <c r="SDE89"/>
      <c r="SDF89"/>
      <c r="SDG89"/>
      <c r="SDH89"/>
      <c r="SDI89"/>
      <c r="SDJ89"/>
      <c r="SDK89"/>
      <c r="SDL89"/>
      <c r="SDM89"/>
      <c r="SDN89"/>
      <c r="SDO89"/>
      <c r="SDP89"/>
      <c r="SDQ89"/>
      <c r="SDR89"/>
      <c r="SDS89"/>
      <c r="SDT89"/>
      <c r="SDU89"/>
      <c r="SDV89"/>
      <c r="SDW89"/>
      <c r="SDX89"/>
      <c r="SDY89"/>
      <c r="SDZ89"/>
      <c r="SEA89"/>
      <c r="SEB89"/>
      <c r="SEC89"/>
      <c r="SED89"/>
      <c r="SEE89"/>
      <c r="SEF89"/>
      <c r="SEG89"/>
      <c r="SEH89"/>
      <c r="SEI89"/>
      <c r="SEJ89"/>
      <c r="SEK89"/>
      <c r="SEL89"/>
      <c r="SEM89"/>
      <c r="SEN89"/>
      <c r="SEO89"/>
      <c r="SEP89"/>
      <c r="SEQ89"/>
      <c r="SER89"/>
      <c r="SES89"/>
      <c r="SET89"/>
      <c r="SEU89"/>
      <c r="SEV89"/>
      <c r="SEW89"/>
      <c r="SEX89"/>
      <c r="SEY89"/>
      <c r="SEZ89"/>
      <c r="SFA89"/>
      <c r="SFB89"/>
      <c r="SFC89"/>
      <c r="SFD89"/>
      <c r="SFE89"/>
      <c r="SFF89"/>
      <c r="SFG89"/>
      <c r="SFH89"/>
      <c r="SFI89"/>
      <c r="SFJ89"/>
      <c r="SFK89"/>
      <c r="SFL89"/>
      <c r="SFM89"/>
      <c r="SFN89"/>
      <c r="SFO89"/>
      <c r="SFP89"/>
      <c r="SFQ89"/>
      <c r="SFR89"/>
      <c r="SFS89"/>
      <c r="SFT89"/>
      <c r="SFU89"/>
      <c r="SFV89"/>
      <c r="SFW89"/>
      <c r="SFX89"/>
      <c r="SFY89"/>
      <c r="SFZ89"/>
      <c r="SGA89"/>
      <c r="SGB89"/>
      <c r="SGC89"/>
      <c r="SGD89"/>
      <c r="SGE89"/>
      <c r="SGF89"/>
      <c r="SGG89"/>
      <c r="SGH89"/>
      <c r="SGI89"/>
      <c r="SGJ89"/>
      <c r="SGK89"/>
      <c r="SGL89"/>
      <c r="SGM89"/>
      <c r="SGN89"/>
      <c r="SGO89"/>
      <c r="SGP89"/>
      <c r="SGQ89"/>
      <c r="SGR89"/>
      <c r="SGS89"/>
      <c r="SGT89"/>
      <c r="SGU89"/>
      <c r="SGV89"/>
      <c r="SGW89"/>
      <c r="SGX89"/>
      <c r="SGY89"/>
      <c r="SGZ89"/>
      <c r="SHA89"/>
      <c r="SHB89"/>
      <c r="SHC89"/>
      <c r="SHD89"/>
      <c r="SHE89"/>
      <c r="SHF89"/>
      <c r="SHG89"/>
      <c r="SHH89"/>
      <c r="SHI89"/>
      <c r="SHJ89"/>
      <c r="SHK89"/>
      <c r="SHL89"/>
      <c r="SHM89"/>
      <c r="SHN89"/>
      <c r="SHO89"/>
      <c r="SHP89"/>
      <c r="SHQ89"/>
      <c r="SHR89"/>
      <c r="SHS89"/>
      <c r="SHT89"/>
      <c r="SHU89"/>
      <c r="SHV89"/>
      <c r="SHW89"/>
      <c r="SHX89"/>
      <c r="SHY89"/>
      <c r="SHZ89"/>
      <c r="SIA89"/>
      <c r="SIB89"/>
      <c r="SIC89"/>
      <c r="SID89"/>
      <c r="SIE89"/>
      <c r="SIF89"/>
      <c r="SIG89"/>
      <c r="SIH89"/>
      <c r="SII89"/>
      <c r="SIJ89"/>
      <c r="SIK89"/>
      <c r="SIL89"/>
      <c r="SIM89"/>
      <c r="SIN89"/>
      <c r="SIO89"/>
      <c r="SIP89"/>
      <c r="SIQ89"/>
      <c r="SIR89"/>
      <c r="SIS89"/>
      <c r="SIT89"/>
      <c r="SIU89"/>
      <c r="SIV89"/>
      <c r="SIW89"/>
      <c r="SIX89"/>
      <c r="SIY89"/>
      <c r="SIZ89"/>
      <c r="SJA89"/>
      <c r="SJB89"/>
      <c r="SJC89"/>
      <c r="SJD89"/>
      <c r="SJE89"/>
      <c r="SJF89"/>
      <c r="SJG89"/>
      <c r="SJH89"/>
      <c r="SJI89"/>
      <c r="SJJ89"/>
      <c r="SJK89"/>
      <c r="SJL89"/>
      <c r="SJM89"/>
      <c r="SJN89"/>
      <c r="SJO89"/>
      <c r="SJP89"/>
      <c r="SJQ89"/>
      <c r="SJR89"/>
      <c r="SJS89"/>
      <c r="SJT89"/>
      <c r="SJU89"/>
      <c r="SJV89"/>
      <c r="SJW89"/>
      <c r="SJX89"/>
      <c r="SJY89"/>
      <c r="SJZ89"/>
      <c r="SKA89"/>
      <c r="SKB89"/>
      <c r="SKC89"/>
      <c r="SKD89"/>
      <c r="SKE89"/>
      <c r="SKF89"/>
      <c r="SKG89"/>
      <c r="SKH89"/>
      <c r="SKI89"/>
      <c r="SKJ89"/>
      <c r="SKK89"/>
      <c r="SKL89"/>
      <c r="SKM89"/>
      <c r="SKN89"/>
      <c r="SKO89"/>
      <c r="SKP89"/>
      <c r="SKQ89"/>
      <c r="SKR89"/>
      <c r="SKS89"/>
      <c r="SKT89"/>
      <c r="SKU89"/>
      <c r="SKV89"/>
      <c r="SKW89"/>
      <c r="SKX89"/>
      <c r="SKY89"/>
      <c r="SKZ89"/>
      <c r="SLA89"/>
      <c r="SLB89"/>
      <c r="SLC89"/>
      <c r="SLD89"/>
      <c r="SLE89"/>
      <c r="SLF89"/>
      <c r="SLG89"/>
      <c r="SLH89"/>
      <c r="SLI89"/>
      <c r="SLJ89"/>
      <c r="SLK89"/>
      <c r="SLL89"/>
      <c r="SLM89"/>
      <c r="SLN89"/>
      <c r="SLO89"/>
      <c r="SLP89"/>
      <c r="SLQ89"/>
      <c r="SLR89"/>
      <c r="SLS89"/>
      <c r="SLT89"/>
      <c r="SLU89"/>
      <c r="SLV89"/>
      <c r="SLW89"/>
      <c r="SLX89"/>
      <c r="SLY89"/>
      <c r="SLZ89"/>
      <c r="SMA89"/>
      <c r="SMB89"/>
      <c r="SMC89"/>
      <c r="SMD89"/>
      <c r="SME89"/>
      <c r="SMF89"/>
      <c r="SMG89"/>
      <c r="SMH89"/>
      <c r="SMI89"/>
      <c r="SMJ89"/>
      <c r="SMK89"/>
      <c r="SML89"/>
      <c r="SMM89"/>
      <c r="SMN89"/>
      <c r="SMO89"/>
      <c r="SMP89"/>
      <c r="SMQ89"/>
      <c r="SMR89"/>
      <c r="SMS89"/>
      <c r="SMT89"/>
      <c r="SMU89"/>
      <c r="SMV89"/>
      <c r="SMW89"/>
      <c r="SMX89"/>
      <c r="SMY89"/>
      <c r="SMZ89"/>
      <c r="SNA89"/>
      <c r="SNB89"/>
      <c r="SNC89"/>
      <c r="SND89"/>
      <c r="SNE89"/>
      <c r="SNF89"/>
      <c r="SNG89"/>
      <c r="SNH89"/>
      <c r="SNI89"/>
      <c r="SNJ89"/>
      <c r="SNK89"/>
      <c r="SNL89"/>
      <c r="SNM89"/>
      <c r="SNN89"/>
      <c r="SNO89"/>
      <c r="SNP89"/>
      <c r="SNQ89"/>
      <c r="SNR89"/>
      <c r="SNS89"/>
      <c r="SNT89"/>
      <c r="SNU89"/>
      <c r="SNV89"/>
      <c r="SNW89"/>
      <c r="SNX89"/>
      <c r="SNY89"/>
      <c r="SNZ89"/>
      <c r="SOA89"/>
      <c r="SOB89"/>
      <c r="SOC89"/>
      <c r="SOD89"/>
      <c r="SOE89"/>
      <c r="SOF89"/>
      <c r="SOG89"/>
      <c r="SOH89"/>
      <c r="SOI89"/>
      <c r="SOJ89"/>
      <c r="SOK89"/>
      <c r="SOL89"/>
      <c r="SOM89"/>
      <c r="SON89"/>
      <c r="SOO89"/>
      <c r="SOP89"/>
      <c r="SOQ89"/>
      <c r="SOR89"/>
      <c r="SOS89"/>
      <c r="SOT89"/>
      <c r="SOU89"/>
      <c r="SOV89"/>
      <c r="SOW89"/>
      <c r="SOX89"/>
      <c r="SOY89"/>
      <c r="SOZ89"/>
      <c r="SPA89"/>
      <c r="SPB89"/>
      <c r="SPC89"/>
      <c r="SPD89"/>
      <c r="SPE89"/>
      <c r="SPF89"/>
      <c r="SPG89"/>
      <c r="SPH89"/>
      <c r="SPI89"/>
      <c r="SPJ89"/>
      <c r="SPK89"/>
      <c r="SPL89"/>
      <c r="SPM89"/>
      <c r="SPN89"/>
      <c r="SPO89"/>
      <c r="SPP89"/>
      <c r="SPQ89"/>
      <c r="SPR89"/>
      <c r="SPS89"/>
      <c r="SPT89"/>
      <c r="SPU89"/>
      <c r="SPV89"/>
      <c r="SPW89"/>
      <c r="SPX89"/>
      <c r="SPY89"/>
      <c r="SPZ89"/>
      <c r="SQA89"/>
      <c r="SQB89"/>
      <c r="SQC89"/>
      <c r="SQD89"/>
      <c r="SQE89"/>
      <c r="SQF89"/>
      <c r="SQG89"/>
      <c r="SQH89"/>
      <c r="SQI89"/>
      <c r="SQJ89"/>
      <c r="SQK89"/>
      <c r="SQL89"/>
      <c r="SQM89"/>
      <c r="SQN89"/>
      <c r="SQO89"/>
      <c r="SQP89"/>
      <c r="SQQ89"/>
      <c r="SQR89"/>
      <c r="SQS89"/>
      <c r="SQT89"/>
      <c r="SQU89"/>
      <c r="SQV89"/>
      <c r="SQW89"/>
      <c r="SQX89"/>
      <c r="SQY89"/>
      <c r="SQZ89"/>
      <c r="SRA89"/>
      <c r="SRB89"/>
      <c r="SRC89"/>
      <c r="SRD89"/>
      <c r="SRE89"/>
      <c r="SRF89"/>
      <c r="SRG89"/>
      <c r="SRH89"/>
      <c r="SRI89"/>
      <c r="SRJ89"/>
      <c r="SRK89"/>
      <c r="SRL89"/>
      <c r="SRM89"/>
      <c r="SRN89"/>
      <c r="SRO89"/>
      <c r="SRP89"/>
      <c r="SRQ89"/>
      <c r="SRR89"/>
      <c r="SRS89"/>
      <c r="SRT89"/>
      <c r="SRU89"/>
      <c r="SRV89"/>
      <c r="SRW89"/>
      <c r="SRX89"/>
      <c r="SRY89"/>
      <c r="SRZ89"/>
      <c r="SSA89"/>
      <c r="SSB89"/>
      <c r="SSC89"/>
      <c r="SSD89"/>
      <c r="SSE89"/>
      <c r="SSF89"/>
      <c r="SSG89"/>
      <c r="SSH89"/>
      <c r="SSI89"/>
      <c r="SSJ89"/>
      <c r="SSK89"/>
      <c r="SSL89"/>
      <c r="SSM89"/>
      <c r="SSN89"/>
      <c r="SSO89"/>
      <c r="SSP89"/>
      <c r="SSQ89"/>
      <c r="SSR89"/>
      <c r="SSS89"/>
      <c r="SST89"/>
      <c r="SSU89"/>
      <c r="SSV89"/>
      <c r="SSW89"/>
      <c r="SSX89"/>
      <c r="SSY89"/>
      <c r="SSZ89"/>
      <c r="STA89"/>
      <c r="STB89"/>
      <c r="STC89"/>
      <c r="STD89"/>
      <c r="STE89"/>
      <c r="STF89"/>
      <c r="STG89"/>
      <c r="STH89"/>
      <c r="STI89"/>
      <c r="STJ89"/>
      <c r="STK89"/>
      <c r="STL89"/>
      <c r="STM89"/>
      <c r="STN89"/>
      <c r="STO89"/>
      <c r="STP89"/>
      <c r="STQ89"/>
      <c r="STR89"/>
      <c r="STS89"/>
      <c r="STT89"/>
      <c r="STU89"/>
      <c r="STV89"/>
      <c r="STW89"/>
      <c r="STX89"/>
      <c r="STY89"/>
      <c r="STZ89"/>
      <c r="SUA89"/>
      <c r="SUB89"/>
      <c r="SUC89"/>
      <c r="SUD89"/>
      <c r="SUE89"/>
      <c r="SUF89"/>
      <c r="SUG89"/>
      <c r="SUH89"/>
      <c r="SUI89"/>
      <c r="SUJ89"/>
      <c r="SUK89"/>
      <c r="SUL89"/>
      <c r="SUM89"/>
      <c r="SUN89"/>
      <c r="SUO89"/>
      <c r="SUP89"/>
      <c r="SUQ89"/>
      <c r="SUR89"/>
      <c r="SUS89"/>
      <c r="SUT89"/>
      <c r="SUU89"/>
      <c r="SUV89"/>
      <c r="SUW89"/>
      <c r="SUX89"/>
      <c r="SUY89"/>
      <c r="SUZ89"/>
      <c r="SVA89"/>
      <c r="SVB89"/>
      <c r="SVC89"/>
      <c r="SVD89"/>
      <c r="SVE89"/>
      <c r="SVF89"/>
      <c r="SVG89"/>
      <c r="SVH89"/>
      <c r="SVI89"/>
      <c r="SVJ89"/>
      <c r="SVK89"/>
      <c r="SVL89"/>
      <c r="SVM89"/>
      <c r="SVN89"/>
      <c r="SVO89"/>
      <c r="SVP89"/>
      <c r="SVQ89"/>
      <c r="SVR89"/>
      <c r="SVS89"/>
      <c r="SVT89"/>
      <c r="SVU89"/>
      <c r="SVV89"/>
      <c r="SVW89"/>
      <c r="SVX89"/>
      <c r="SVY89"/>
      <c r="SVZ89"/>
      <c r="SWA89"/>
      <c r="SWB89"/>
      <c r="SWC89"/>
      <c r="SWD89"/>
      <c r="SWE89"/>
      <c r="SWF89"/>
      <c r="SWG89"/>
      <c r="SWH89"/>
      <c r="SWI89"/>
      <c r="SWJ89"/>
      <c r="SWK89"/>
      <c r="SWL89"/>
      <c r="SWM89"/>
      <c r="SWN89"/>
      <c r="SWO89"/>
      <c r="SWP89"/>
      <c r="SWQ89"/>
      <c r="SWR89"/>
      <c r="SWS89"/>
      <c r="SWT89"/>
      <c r="SWU89"/>
      <c r="SWV89"/>
      <c r="SWW89"/>
      <c r="SWX89"/>
      <c r="SWY89"/>
      <c r="SWZ89"/>
      <c r="SXA89"/>
      <c r="SXB89"/>
      <c r="SXC89"/>
      <c r="SXD89"/>
      <c r="SXE89"/>
      <c r="SXF89"/>
      <c r="SXG89"/>
      <c r="SXH89"/>
      <c r="SXI89"/>
      <c r="SXJ89"/>
      <c r="SXK89"/>
      <c r="SXL89"/>
      <c r="SXM89"/>
      <c r="SXN89"/>
      <c r="SXO89"/>
      <c r="SXP89"/>
      <c r="SXQ89"/>
      <c r="SXR89"/>
      <c r="SXS89"/>
      <c r="SXT89"/>
      <c r="SXU89"/>
      <c r="SXV89"/>
      <c r="SXW89"/>
      <c r="SXX89"/>
      <c r="SXY89"/>
      <c r="SXZ89"/>
      <c r="SYA89"/>
      <c r="SYB89"/>
      <c r="SYC89"/>
      <c r="SYD89"/>
      <c r="SYE89"/>
      <c r="SYF89"/>
      <c r="SYG89"/>
      <c r="SYH89"/>
      <c r="SYI89"/>
      <c r="SYJ89"/>
      <c r="SYK89"/>
      <c r="SYL89"/>
      <c r="SYM89"/>
      <c r="SYN89"/>
      <c r="SYO89"/>
      <c r="SYP89"/>
      <c r="SYQ89"/>
      <c r="SYR89"/>
      <c r="SYS89"/>
      <c r="SYT89"/>
      <c r="SYU89"/>
      <c r="SYV89"/>
      <c r="SYW89"/>
      <c r="SYX89"/>
      <c r="SYY89"/>
      <c r="SYZ89"/>
      <c r="SZA89"/>
      <c r="SZB89"/>
      <c r="SZC89"/>
      <c r="SZD89"/>
      <c r="SZE89"/>
      <c r="SZF89"/>
      <c r="SZG89"/>
      <c r="SZH89"/>
      <c r="SZI89"/>
      <c r="SZJ89"/>
      <c r="SZK89"/>
      <c r="SZL89"/>
      <c r="SZM89"/>
      <c r="SZN89"/>
      <c r="SZO89"/>
      <c r="SZP89"/>
      <c r="SZQ89"/>
      <c r="SZR89"/>
      <c r="SZS89"/>
      <c r="SZT89"/>
      <c r="SZU89"/>
      <c r="SZV89"/>
      <c r="SZW89"/>
      <c r="SZX89"/>
      <c r="SZY89"/>
      <c r="SZZ89"/>
      <c r="TAA89"/>
      <c r="TAB89"/>
      <c r="TAC89"/>
      <c r="TAD89"/>
      <c r="TAE89"/>
      <c r="TAF89"/>
      <c r="TAG89"/>
      <c r="TAH89"/>
      <c r="TAI89"/>
      <c r="TAJ89"/>
      <c r="TAK89"/>
      <c r="TAL89"/>
      <c r="TAM89"/>
      <c r="TAN89"/>
      <c r="TAO89"/>
      <c r="TAP89"/>
      <c r="TAQ89"/>
      <c r="TAR89"/>
      <c r="TAS89"/>
      <c r="TAT89"/>
      <c r="TAU89"/>
      <c r="TAV89"/>
      <c r="TAW89"/>
      <c r="TAX89"/>
      <c r="TAY89"/>
      <c r="TAZ89"/>
      <c r="TBA89"/>
      <c r="TBB89"/>
      <c r="TBC89"/>
      <c r="TBD89"/>
      <c r="TBE89"/>
      <c r="TBF89"/>
      <c r="TBG89"/>
      <c r="TBH89"/>
      <c r="TBI89"/>
      <c r="TBJ89"/>
      <c r="TBK89"/>
      <c r="TBL89"/>
      <c r="TBM89"/>
      <c r="TBN89"/>
      <c r="TBO89"/>
      <c r="TBP89"/>
      <c r="TBQ89"/>
      <c r="TBR89"/>
      <c r="TBS89"/>
      <c r="TBT89"/>
      <c r="TBU89"/>
      <c r="TBV89"/>
      <c r="TBW89"/>
      <c r="TBX89"/>
      <c r="TBY89"/>
      <c r="TBZ89"/>
      <c r="TCA89"/>
      <c r="TCB89"/>
      <c r="TCC89"/>
      <c r="TCD89"/>
      <c r="TCE89"/>
      <c r="TCF89"/>
      <c r="TCG89"/>
      <c r="TCH89"/>
      <c r="TCI89"/>
      <c r="TCJ89"/>
      <c r="TCK89"/>
      <c r="TCL89"/>
      <c r="TCM89"/>
      <c r="TCN89"/>
      <c r="TCO89"/>
      <c r="TCP89"/>
      <c r="TCQ89"/>
      <c r="TCR89"/>
      <c r="TCS89"/>
      <c r="TCT89"/>
      <c r="TCU89"/>
      <c r="TCV89"/>
      <c r="TCW89"/>
      <c r="TCX89"/>
      <c r="TCY89"/>
      <c r="TCZ89"/>
      <c r="TDA89"/>
      <c r="TDB89"/>
      <c r="TDC89"/>
      <c r="TDD89"/>
      <c r="TDE89"/>
      <c r="TDF89"/>
      <c r="TDG89"/>
      <c r="TDH89"/>
      <c r="TDI89"/>
      <c r="TDJ89"/>
      <c r="TDK89"/>
      <c r="TDL89"/>
      <c r="TDM89"/>
      <c r="TDN89"/>
      <c r="TDO89"/>
      <c r="TDP89"/>
      <c r="TDQ89"/>
      <c r="TDR89"/>
      <c r="TDS89"/>
      <c r="TDT89"/>
      <c r="TDU89"/>
      <c r="TDV89"/>
      <c r="TDW89"/>
      <c r="TDX89"/>
      <c r="TDY89"/>
      <c r="TDZ89"/>
      <c r="TEA89"/>
      <c r="TEB89"/>
      <c r="TEC89"/>
      <c r="TED89"/>
      <c r="TEE89"/>
      <c r="TEF89"/>
      <c r="TEG89"/>
      <c r="TEH89"/>
      <c r="TEI89"/>
      <c r="TEJ89"/>
      <c r="TEK89"/>
      <c r="TEL89"/>
      <c r="TEM89"/>
      <c r="TEN89"/>
      <c r="TEO89"/>
      <c r="TEP89"/>
      <c r="TEQ89"/>
      <c r="TER89"/>
      <c r="TES89"/>
      <c r="TET89"/>
      <c r="TEU89"/>
      <c r="TEV89"/>
      <c r="TEW89"/>
      <c r="TEX89"/>
      <c r="TEY89"/>
      <c r="TEZ89"/>
      <c r="TFA89"/>
      <c r="TFB89"/>
      <c r="TFC89"/>
      <c r="TFD89"/>
      <c r="TFE89"/>
      <c r="TFF89"/>
      <c r="TFG89"/>
      <c r="TFH89"/>
      <c r="TFI89"/>
      <c r="TFJ89"/>
      <c r="TFK89"/>
      <c r="TFL89"/>
      <c r="TFM89"/>
      <c r="TFN89"/>
      <c r="TFO89"/>
      <c r="TFP89"/>
      <c r="TFQ89"/>
      <c r="TFR89"/>
      <c r="TFS89"/>
      <c r="TFT89"/>
      <c r="TFU89"/>
      <c r="TFV89"/>
      <c r="TFW89"/>
      <c r="TFX89"/>
      <c r="TFY89"/>
      <c r="TFZ89"/>
      <c r="TGA89"/>
      <c r="TGB89"/>
      <c r="TGC89"/>
      <c r="TGD89"/>
      <c r="TGE89"/>
      <c r="TGF89"/>
      <c r="TGG89"/>
      <c r="TGH89"/>
      <c r="TGI89"/>
      <c r="TGJ89"/>
      <c r="TGK89"/>
      <c r="TGL89"/>
      <c r="TGM89"/>
      <c r="TGN89"/>
      <c r="TGO89"/>
      <c r="TGP89"/>
      <c r="TGQ89"/>
      <c r="TGR89"/>
      <c r="TGS89"/>
      <c r="TGT89"/>
      <c r="TGU89"/>
      <c r="TGV89"/>
      <c r="TGW89"/>
      <c r="TGX89"/>
      <c r="TGY89"/>
      <c r="TGZ89"/>
      <c r="THA89"/>
      <c r="THB89"/>
      <c r="THC89"/>
      <c r="THD89"/>
      <c r="THE89"/>
      <c r="THF89"/>
      <c r="THG89"/>
      <c r="THH89"/>
      <c r="THI89"/>
      <c r="THJ89"/>
      <c r="THK89"/>
      <c r="THL89"/>
      <c r="THM89"/>
      <c r="THN89"/>
      <c r="THO89"/>
      <c r="THP89"/>
      <c r="THQ89"/>
      <c r="THR89"/>
      <c r="THS89"/>
      <c r="THT89"/>
      <c r="THU89"/>
      <c r="THV89"/>
      <c r="THW89"/>
      <c r="THX89"/>
      <c r="THY89"/>
      <c r="THZ89"/>
      <c r="TIA89"/>
      <c r="TIB89"/>
      <c r="TIC89"/>
      <c r="TID89"/>
      <c r="TIE89"/>
      <c r="TIF89"/>
      <c r="TIG89"/>
      <c r="TIH89"/>
      <c r="TII89"/>
      <c r="TIJ89"/>
      <c r="TIK89"/>
      <c r="TIL89"/>
      <c r="TIM89"/>
      <c r="TIN89"/>
      <c r="TIO89"/>
      <c r="TIP89"/>
      <c r="TIQ89"/>
      <c r="TIR89"/>
      <c r="TIS89"/>
      <c r="TIT89"/>
      <c r="TIU89"/>
      <c r="TIV89"/>
      <c r="TIW89"/>
      <c r="TIX89"/>
      <c r="TIY89"/>
      <c r="TIZ89"/>
      <c r="TJA89"/>
      <c r="TJB89"/>
      <c r="TJC89"/>
      <c r="TJD89"/>
      <c r="TJE89"/>
      <c r="TJF89"/>
      <c r="TJG89"/>
      <c r="TJH89"/>
      <c r="TJI89"/>
      <c r="TJJ89"/>
      <c r="TJK89"/>
      <c r="TJL89"/>
      <c r="TJM89"/>
      <c r="TJN89"/>
      <c r="TJO89"/>
      <c r="TJP89"/>
      <c r="TJQ89"/>
      <c r="TJR89"/>
      <c r="TJS89"/>
      <c r="TJT89"/>
      <c r="TJU89"/>
      <c r="TJV89"/>
      <c r="TJW89"/>
      <c r="TJX89"/>
      <c r="TJY89"/>
      <c r="TJZ89"/>
      <c r="TKA89"/>
      <c r="TKB89"/>
      <c r="TKC89"/>
      <c r="TKD89"/>
      <c r="TKE89"/>
      <c r="TKF89"/>
      <c r="TKG89"/>
      <c r="TKH89"/>
      <c r="TKI89"/>
      <c r="TKJ89"/>
      <c r="TKK89"/>
      <c r="TKL89"/>
      <c r="TKM89"/>
      <c r="TKN89"/>
      <c r="TKO89"/>
      <c r="TKP89"/>
      <c r="TKQ89"/>
      <c r="TKR89"/>
      <c r="TKS89"/>
      <c r="TKT89"/>
      <c r="TKU89"/>
      <c r="TKV89"/>
      <c r="TKW89"/>
      <c r="TKX89"/>
      <c r="TKY89"/>
      <c r="TKZ89"/>
      <c r="TLA89"/>
      <c r="TLB89"/>
      <c r="TLC89"/>
      <c r="TLD89"/>
      <c r="TLE89"/>
      <c r="TLF89"/>
      <c r="TLG89"/>
      <c r="TLH89"/>
      <c r="TLI89"/>
      <c r="TLJ89"/>
      <c r="TLK89"/>
      <c r="TLL89"/>
      <c r="TLM89"/>
      <c r="TLN89"/>
      <c r="TLO89"/>
      <c r="TLP89"/>
      <c r="TLQ89"/>
      <c r="TLR89"/>
      <c r="TLS89"/>
      <c r="TLT89"/>
      <c r="TLU89"/>
      <c r="TLV89"/>
      <c r="TLW89"/>
      <c r="TLX89"/>
      <c r="TLY89"/>
      <c r="TLZ89"/>
      <c r="TMA89"/>
      <c r="TMB89"/>
      <c r="TMC89"/>
      <c r="TMD89"/>
      <c r="TME89"/>
      <c r="TMF89"/>
      <c r="TMG89"/>
      <c r="TMH89"/>
      <c r="TMI89"/>
      <c r="TMJ89"/>
      <c r="TMK89"/>
      <c r="TML89"/>
      <c r="TMM89"/>
      <c r="TMN89"/>
      <c r="TMO89"/>
      <c r="TMP89"/>
      <c r="TMQ89"/>
      <c r="TMR89"/>
      <c r="TMS89"/>
      <c r="TMT89"/>
      <c r="TMU89"/>
      <c r="TMV89"/>
      <c r="TMW89"/>
      <c r="TMX89"/>
      <c r="TMY89"/>
      <c r="TMZ89"/>
      <c r="TNA89"/>
      <c r="TNB89"/>
      <c r="TNC89"/>
      <c r="TND89"/>
      <c r="TNE89"/>
      <c r="TNF89"/>
      <c r="TNG89"/>
      <c r="TNH89"/>
      <c r="TNI89"/>
      <c r="TNJ89"/>
      <c r="TNK89"/>
      <c r="TNL89"/>
      <c r="TNM89"/>
      <c r="TNN89"/>
      <c r="TNO89"/>
      <c r="TNP89"/>
      <c r="TNQ89"/>
      <c r="TNR89"/>
      <c r="TNS89"/>
      <c r="TNT89"/>
      <c r="TNU89"/>
      <c r="TNV89"/>
      <c r="TNW89"/>
      <c r="TNX89"/>
      <c r="TNY89"/>
      <c r="TNZ89"/>
      <c r="TOA89"/>
      <c r="TOB89"/>
      <c r="TOC89"/>
      <c r="TOD89"/>
      <c r="TOE89"/>
      <c r="TOF89"/>
      <c r="TOG89"/>
      <c r="TOH89"/>
      <c r="TOI89"/>
      <c r="TOJ89"/>
      <c r="TOK89"/>
      <c r="TOL89"/>
      <c r="TOM89"/>
      <c r="TON89"/>
      <c r="TOO89"/>
      <c r="TOP89"/>
      <c r="TOQ89"/>
      <c r="TOR89"/>
      <c r="TOS89"/>
      <c r="TOT89"/>
      <c r="TOU89"/>
      <c r="TOV89"/>
      <c r="TOW89"/>
      <c r="TOX89"/>
      <c r="TOY89"/>
      <c r="TOZ89"/>
      <c r="TPA89"/>
      <c r="TPB89"/>
      <c r="TPC89"/>
      <c r="TPD89"/>
      <c r="TPE89"/>
      <c r="TPF89"/>
      <c r="TPG89"/>
      <c r="TPH89"/>
      <c r="TPI89"/>
      <c r="TPJ89"/>
      <c r="TPK89"/>
      <c r="TPL89"/>
      <c r="TPM89"/>
      <c r="TPN89"/>
      <c r="TPO89"/>
      <c r="TPP89"/>
      <c r="TPQ89"/>
      <c r="TPR89"/>
      <c r="TPS89"/>
      <c r="TPT89"/>
      <c r="TPU89"/>
      <c r="TPV89"/>
      <c r="TPW89"/>
      <c r="TPX89"/>
      <c r="TPY89"/>
      <c r="TPZ89"/>
      <c r="TQA89"/>
      <c r="TQB89"/>
      <c r="TQC89"/>
      <c r="TQD89"/>
      <c r="TQE89"/>
      <c r="TQF89"/>
      <c r="TQG89"/>
      <c r="TQH89"/>
      <c r="TQI89"/>
      <c r="TQJ89"/>
      <c r="TQK89"/>
      <c r="TQL89"/>
      <c r="TQM89"/>
      <c r="TQN89"/>
      <c r="TQO89"/>
      <c r="TQP89"/>
      <c r="TQQ89"/>
      <c r="TQR89"/>
      <c r="TQS89"/>
      <c r="TQT89"/>
      <c r="TQU89"/>
      <c r="TQV89"/>
      <c r="TQW89"/>
      <c r="TQX89"/>
      <c r="TQY89"/>
      <c r="TQZ89"/>
      <c r="TRA89"/>
      <c r="TRB89"/>
      <c r="TRC89"/>
      <c r="TRD89"/>
      <c r="TRE89"/>
      <c r="TRF89"/>
      <c r="TRG89"/>
      <c r="TRH89"/>
      <c r="TRI89"/>
      <c r="TRJ89"/>
      <c r="TRK89"/>
      <c r="TRL89"/>
      <c r="TRM89"/>
      <c r="TRN89"/>
      <c r="TRO89"/>
      <c r="TRP89"/>
      <c r="TRQ89"/>
      <c r="TRR89"/>
      <c r="TRS89"/>
      <c r="TRT89"/>
      <c r="TRU89"/>
      <c r="TRV89"/>
      <c r="TRW89"/>
      <c r="TRX89"/>
      <c r="TRY89"/>
      <c r="TRZ89"/>
      <c r="TSA89"/>
      <c r="TSB89"/>
      <c r="TSC89"/>
      <c r="TSD89"/>
      <c r="TSE89"/>
      <c r="TSF89"/>
      <c r="TSG89"/>
      <c r="TSH89"/>
      <c r="TSI89"/>
      <c r="TSJ89"/>
      <c r="TSK89"/>
      <c r="TSL89"/>
      <c r="TSM89"/>
      <c r="TSN89"/>
      <c r="TSO89"/>
      <c r="TSP89"/>
      <c r="TSQ89"/>
      <c r="TSR89"/>
      <c r="TSS89"/>
      <c r="TST89"/>
      <c r="TSU89"/>
      <c r="TSV89"/>
      <c r="TSW89"/>
      <c r="TSX89"/>
      <c r="TSY89"/>
      <c r="TSZ89"/>
      <c r="TTA89"/>
      <c r="TTB89"/>
      <c r="TTC89"/>
      <c r="TTD89"/>
      <c r="TTE89"/>
      <c r="TTF89"/>
      <c r="TTG89"/>
      <c r="TTH89"/>
      <c r="TTI89"/>
      <c r="TTJ89"/>
      <c r="TTK89"/>
      <c r="TTL89"/>
      <c r="TTM89"/>
      <c r="TTN89"/>
      <c r="TTO89"/>
      <c r="TTP89"/>
      <c r="TTQ89"/>
      <c r="TTR89"/>
      <c r="TTS89"/>
      <c r="TTT89"/>
      <c r="TTU89"/>
      <c r="TTV89"/>
      <c r="TTW89"/>
      <c r="TTX89"/>
      <c r="TTY89"/>
      <c r="TTZ89"/>
      <c r="TUA89"/>
      <c r="TUB89"/>
      <c r="TUC89"/>
      <c r="TUD89"/>
      <c r="TUE89"/>
      <c r="TUF89"/>
      <c r="TUG89"/>
      <c r="TUH89"/>
      <c r="TUI89"/>
      <c r="TUJ89"/>
      <c r="TUK89"/>
      <c r="TUL89"/>
      <c r="TUM89"/>
      <c r="TUN89"/>
      <c r="TUO89"/>
      <c r="TUP89"/>
      <c r="TUQ89"/>
      <c r="TUR89"/>
      <c r="TUS89"/>
      <c r="TUT89"/>
      <c r="TUU89"/>
      <c r="TUV89"/>
      <c r="TUW89"/>
      <c r="TUX89"/>
      <c r="TUY89"/>
      <c r="TUZ89"/>
      <c r="TVA89"/>
      <c r="TVB89"/>
      <c r="TVC89"/>
      <c r="TVD89"/>
      <c r="TVE89"/>
      <c r="TVF89"/>
      <c r="TVG89"/>
      <c r="TVH89"/>
      <c r="TVI89"/>
      <c r="TVJ89"/>
      <c r="TVK89"/>
      <c r="TVL89"/>
      <c r="TVM89"/>
      <c r="TVN89"/>
      <c r="TVO89"/>
      <c r="TVP89"/>
      <c r="TVQ89"/>
      <c r="TVR89"/>
      <c r="TVS89"/>
      <c r="TVT89"/>
      <c r="TVU89"/>
      <c r="TVV89"/>
      <c r="TVW89"/>
      <c r="TVX89"/>
      <c r="TVY89"/>
      <c r="TVZ89"/>
      <c r="TWA89"/>
      <c r="TWB89"/>
      <c r="TWC89"/>
      <c r="TWD89"/>
      <c r="TWE89"/>
      <c r="TWF89"/>
      <c r="TWG89"/>
      <c r="TWH89"/>
      <c r="TWI89"/>
      <c r="TWJ89"/>
      <c r="TWK89"/>
      <c r="TWL89"/>
      <c r="TWM89"/>
      <c r="TWN89"/>
      <c r="TWO89"/>
      <c r="TWP89"/>
      <c r="TWQ89"/>
      <c r="TWR89"/>
      <c r="TWS89"/>
      <c r="TWT89"/>
      <c r="TWU89"/>
      <c r="TWV89"/>
      <c r="TWW89"/>
      <c r="TWX89"/>
      <c r="TWY89"/>
      <c r="TWZ89"/>
      <c r="TXA89"/>
      <c r="TXB89"/>
      <c r="TXC89"/>
      <c r="TXD89"/>
      <c r="TXE89"/>
      <c r="TXF89"/>
      <c r="TXG89"/>
      <c r="TXH89"/>
      <c r="TXI89"/>
      <c r="TXJ89"/>
      <c r="TXK89"/>
      <c r="TXL89"/>
      <c r="TXM89"/>
      <c r="TXN89"/>
      <c r="TXO89"/>
      <c r="TXP89"/>
      <c r="TXQ89"/>
      <c r="TXR89"/>
      <c r="TXS89"/>
      <c r="TXT89"/>
      <c r="TXU89"/>
      <c r="TXV89"/>
      <c r="TXW89"/>
      <c r="TXX89"/>
      <c r="TXY89"/>
      <c r="TXZ89"/>
      <c r="TYA89"/>
      <c r="TYB89"/>
      <c r="TYC89"/>
      <c r="TYD89"/>
      <c r="TYE89"/>
      <c r="TYF89"/>
      <c r="TYG89"/>
      <c r="TYH89"/>
      <c r="TYI89"/>
      <c r="TYJ89"/>
      <c r="TYK89"/>
      <c r="TYL89"/>
      <c r="TYM89"/>
      <c r="TYN89"/>
      <c r="TYO89"/>
      <c r="TYP89"/>
      <c r="TYQ89"/>
      <c r="TYR89"/>
      <c r="TYS89"/>
      <c r="TYT89"/>
      <c r="TYU89"/>
      <c r="TYV89"/>
      <c r="TYW89"/>
      <c r="TYX89"/>
      <c r="TYY89"/>
      <c r="TYZ89"/>
      <c r="TZA89"/>
      <c r="TZB89"/>
      <c r="TZC89"/>
      <c r="TZD89"/>
      <c r="TZE89"/>
      <c r="TZF89"/>
      <c r="TZG89"/>
      <c r="TZH89"/>
      <c r="TZI89"/>
      <c r="TZJ89"/>
      <c r="TZK89"/>
      <c r="TZL89"/>
      <c r="TZM89"/>
      <c r="TZN89"/>
      <c r="TZO89"/>
      <c r="TZP89"/>
      <c r="TZQ89"/>
      <c r="TZR89"/>
      <c r="TZS89"/>
      <c r="TZT89"/>
      <c r="TZU89"/>
      <c r="TZV89"/>
      <c r="TZW89"/>
      <c r="TZX89"/>
      <c r="TZY89"/>
      <c r="TZZ89"/>
      <c r="UAA89"/>
      <c r="UAB89"/>
      <c r="UAC89"/>
      <c r="UAD89"/>
      <c r="UAE89"/>
      <c r="UAF89"/>
      <c r="UAG89"/>
      <c r="UAH89"/>
      <c r="UAI89"/>
      <c r="UAJ89"/>
      <c r="UAK89"/>
      <c r="UAL89"/>
      <c r="UAM89"/>
      <c r="UAN89"/>
      <c r="UAO89"/>
      <c r="UAP89"/>
      <c r="UAQ89"/>
      <c r="UAR89"/>
      <c r="UAS89"/>
      <c r="UAT89"/>
      <c r="UAU89"/>
      <c r="UAV89"/>
      <c r="UAW89"/>
      <c r="UAX89"/>
      <c r="UAY89"/>
      <c r="UAZ89"/>
      <c r="UBA89"/>
      <c r="UBB89"/>
      <c r="UBC89"/>
      <c r="UBD89"/>
      <c r="UBE89"/>
      <c r="UBF89"/>
      <c r="UBG89"/>
      <c r="UBH89"/>
      <c r="UBI89"/>
      <c r="UBJ89"/>
      <c r="UBK89"/>
      <c r="UBL89"/>
      <c r="UBM89"/>
      <c r="UBN89"/>
      <c r="UBO89"/>
      <c r="UBP89"/>
      <c r="UBQ89"/>
      <c r="UBR89"/>
      <c r="UBS89"/>
      <c r="UBT89"/>
      <c r="UBU89"/>
      <c r="UBV89"/>
      <c r="UBW89"/>
      <c r="UBX89"/>
      <c r="UBY89"/>
      <c r="UBZ89"/>
      <c r="UCA89"/>
      <c r="UCB89"/>
      <c r="UCC89"/>
      <c r="UCD89"/>
      <c r="UCE89"/>
      <c r="UCF89"/>
      <c r="UCG89"/>
      <c r="UCH89"/>
      <c r="UCI89"/>
      <c r="UCJ89"/>
      <c r="UCK89"/>
      <c r="UCL89"/>
      <c r="UCM89"/>
      <c r="UCN89"/>
      <c r="UCO89"/>
      <c r="UCP89"/>
      <c r="UCQ89"/>
      <c r="UCR89"/>
      <c r="UCS89"/>
      <c r="UCT89"/>
      <c r="UCU89"/>
      <c r="UCV89"/>
      <c r="UCW89"/>
      <c r="UCX89"/>
      <c r="UCY89"/>
      <c r="UCZ89"/>
      <c r="UDA89"/>
      <c r="UDB89"/>
      <c r="UDC89"/>
      <c r="UDD89"/>
      <c r="UDE89"/>
      <c r="UDF89"/>
      <c r="UDG89"/>
      <c r="UDH89"/>
      <c r="UDI89"/>
      <c r="UDJ89"/>
      <c r="UDK89"/>
      <c r="UDL89"/>
      <c r="UDM89"/>
      <c r="UDN89"/>
      <c r="UDO89"/>
      <c r="UDP89"/>
      <c r="UDQ89"/>
      <c r="UDR89"/>
      <c r="UDS89"/>
      <c r="UDT89"/>
      <c r="UDU89"/>
      <c r="UDV89"/>
      <c r="UDW89"/>
      <c r="UDX89"/>
      <c r="UDY89"/>
      <c r="UDZ89"/>
      <c r="UEA89"/>
      <c r="UEB89"/>
      <c r="UEC89"/>
      <c r="UED89"/>
      <c r="UEE89"/>
      <c r="UEF89"/>
      <c r="UEG89"/>
      <c r="UEH89"/>
      <c r="UEI89"/>
      <c r="UEJ89"/>
      <c r="UEK89"/>
      <c r="UEL89"/>
      <c r="UEM89"/>
      <c r="UEN89"/>
      <c r="UEO89"/>
      <c r="UEP89"/>
      <c r="UEQ89"/>
      <c r="UER89"/>
      <c r="UES89"/>
      <c r="UET89"/>
      <c r="UEU89"/>
      <c r="UEV89"/>
      <c r="UEW89"/>
      <c r="UEX89"/>
      <c r="UEY89"/>
      <c r="UEZ89"/>
      <c r="UFA89"/>
      <c r="UFB89"/>
      <c r="UFC89"/>
      <c r="UFD89"/>
      <c r="UFE89"/>
      <c r="UFF89"/>
      <c r="UFG89"/>
      <c r="UFH89"/>
      <c r="UFI89"/>
      <c r="UFJ89"/>
      <c r="UFK89"/>
      <c r="UFL89"/>
      <c r="UFM89"/>
      <c r="UFN89"/>
      <c r="UFO89"/>
      <c r="UFP89"/>
      <c r="UFQ89"/>
      <c r="UFR89"/>
      <c r="UFS89"/>
      <c r="UFT89"/>
      <c r="UFU89"/>
      <c r="UFV89"/>
      <c r="UFW89"/>
      <c r="UFX89"/>
      <c r="UFY89"/>
      <c r="UFZ89"/>
      <c r="UGA89"/>
      <c r="UGB89"/>
      <c r="UGC89"/>
      <c r="UGD89"/>
      <c r="UGE89"/>
      <c r="UGF89"/>
      <c r="UGG89"/>
      <c r="UGH89"/>
      <c r="UGI89"/>
      <c r="UGJ89"/>
      <c r="UGK89"/>
      <c r="UGL89"/>
      <c r="UGM89"/>
      <c r="UGN89"/>
      <c r="UGO89"/>
      <c r="UGP89"/>
      <c r="UGQ89"/>
      <c r="UGR89"/>
      <c r="UGS89"/>
      <c r="UGT89"/>
      <c r="UGU89"/>
      <c r="UGV89"/>
      <c r="UGW89"/>
      <c r="UGX89"/>
      <c r="UGY89"/>
      <c r="UGZ89"/>
      <c r="UHA89"/>
      <c r="UHB89"/>
      <c r="UHC89"/>
      <c r="UHD89"/>
      <c r="UHE89"/>
      <c r="UHF89"/>
      <c r="UHG89"/>
      <c r="UHH89"/>
      <c r="UHI89"/>
      <c r="UHJ89"/>
      <c r="UHK89"/>
      <c r="UHL89"/>
      <c r="UHM89"/>
      <c r="UHN89"/>
      <c r="UHO89"/>
      <c r="UHP89"/>
      <c r="UHQ89"/>
      <c r="UHR89"/>
      <c r="UHS89"/>
      <c r="UHT89"/>
      <c r="UHU89"/>
      <c r="UHV89"/>
      <c r="UHW89"/>
      <c r="UHX89"/>
      <c r="UHY89"/>
      <c r="UHZ89"/>
      <c r="UIA89"/>
      <c r="UIB89"/>
      <c r="UIC89"/>
      <c r="UID89"/>
      <c r="UIE89"/>
      <c r="UIF89"/>
      <c r="UIG89"/>
      <c r="UIH89"/>
      <c r="UII89"/>
      <c r="UIJ89"/>
      <c r="UIK89"/>
      <c r="UIL89"/>
      <c r="UIM89"/>
      <c r="UIN89"/>
      <c r="UIO89"/>
      <c r="UIP89"/>
      <c r="UIQ89"/>
      <c r="UIR89"/>
      <c r="UIS89"/>
      <c r="UIT89"/>
      <c r="UIU89"/>
      <c r="UIV89"/>
      <c r="UIW89"/>
      <c r="UIX89"/>
      <c r="UIY89"/>
      <c r="UIZ89"/>
      <c r="UJA89"/>
      <c r="UJB89"/>
      <c r="UJC89"/>
      <c r="UJD89"/>
      <c r="UJE89"/>
      <c r="UJF89"/>
      <c r="UJG89"/>
      <c r="UJH89"/>
      <c r="UJI89"/>
      <c r="UJJ89"/>
      <c r="UJK89"/>
      <c r="UJL89"/>
      <c r="UJM89"/>
      <c r="UJN89"/>
      <c r="UJO89"/>
      <c r="UJP89"/>
      <c r="UJQ89"/>
      <c r="UJR89"/>
      <c r="UJS89"/>
      <c r="UJT89"/>
      <c r="UJU89"/>
      <c r="UJV89"/>
      <c r="UJW89"/>
      <c r="UJX89"/>
      <c r="UJY89"/>
      <c r="UJZ89"/>
      <c r="UKA89"/>
      <c r="UKB89"/>
      <c r="UKC89"/>
      <c r="UKD89"/>
      <c r="UKE89"/>
      <c r="UKF89"/>
      <c r="UKG89"/>
      <c r="UKH89"/>
      <c r="UKI89"/>
      <c r="UKJ89"/>
      <c r="UKK89"/>
      <c r="UKL89"/>
      <c r="UKM89"/>
      <c r="UKN89"/>
      <c r="UKO89"/>
      <c r="UKP89"/>
      <c r="UKQ89"/>
      <c r="UKR89"/>
      <c r="UKS89"/>
      <c r="UKT89"/>
      <c r="UKU89"/>
      <c r="UKV89"/>
      <c r="UKW89"/>
      <c r="UKX89"/>
      <c r="UKY89"/>
      <c r="UKZ89"/>
      <c r="ULA89"/>
      <c r="ULB89"/>
      <c r="ULC89"/>
      <c r="ULD89"/>
      <c r="ULE89"/>
      <c r="ULF89"/>
      <c r="ULG89"/>
      <c r="ULH89"/>
      <c r="ULI89"/>
      <c r="ULJ89"/>
      <c r="ULK89"/>
      <c r="ULL89"/>
      <c r="ULM89"/>
      <c r="ULN89"/>
      <c r="ULO89"/>
      <c r="ULP89"/>
      <c r="ULQ89"/>
      <c r="ULR89"/>
      <c r="ULS89"/>
      <c r="ULT89"/>
      <c r="ULU89"/>
      <c r="ULV89"/>
      <c r="ULW89"/>
      <c r="ULX89"/>
      <c r="ULY89"/>
      <c r="ULZ89"/>
      <c r="UMA89"/>
      <c r="UMB89"/>
      <c r="UMC89"/>
      <c r="UMD89"/>
      <c r="UME89"/>
      <c r="UMF89"/>
      <c r="UMG89"/>
      <c r="UMH89"/>
      <c r="UMI89"/>
      <c r="UMJ89"/>
      <c r="UMK89"/>
      <c r="UML89"/>
      <c r="UMM89"/>
      <c r="UMN89"/>
      <c r="UMO89"/>
      <c r="UMP89"/>
      <c r="UMQ89"/>
      <c r="UMR89"/>
      <c r="UMS89"/>
      <c r="UMT89"/>
      <c r="UMU89"/>
      <c r="UMV89"/>
      <c r="UMW89"/>
      <c r="UMX89"/>
      <c r="UMY89"/>
      <c r="UMZ89"/>
      <c r="UNA89"/>
      <c r="UNB89"/>
      <c r="UNC89"/>
      <c r="UND89"/>
      <c r="UNE89"/>
      <c r="UNF89"/>
      <c r="UNG89"/>
      <c r="UNH89"/>
      <c r="UNI89"/>
      <c r="UNJ89"/>
      <c r="UNK89"/>
      <c r="UNL89"/>
      <c r="UNM89"/>
      <c r="UNN89"/>
      <c r="UNO89"/>
      <c r="UNP89"/>
      <c r="UNQ89"/>
      <c r="UNR89"/>
      <c r="UNS89"/>
      <c r="UNT89"/>
      <c r="UNU89"/>
      <c r="UNV89"/>
      <c r="UNW89"/>
      <c r="UNX89"/>
      <c r="UNY89"/>
      <c r="UNZ89"/>
      <c r="UOA89"/>
      <c r="UOB89"/>
      <c r="UOC89"/>
      <c r="UOD89"/>
      <c r="UOE89"/>
      <c r="UOF89"/>
      <c r="UOG89"/>
      <c r="UOH89"/>
      <c r="UOI89"/>
      <c r="UOJ89"/>
      <c r="UOK89"/>
      <c r="UOL89"/>
      <c r="UOM89"/>
      <c r="UON89"/>
      <c r="UOO89"/>
      <c r="UOP89"/>
      <c r="UOQ89"/>
      <c r="UOR89"/>
      <c r="UOS89"/>
      <c r="UOT89"/>
      <c r="UOU89"/>
      <c r="UOV89"/>
      <c r="UOW89"/>
      <c r="UOX89"/>
      <c r="UOY89"/>
      <c r="UOZ89"/>
      <c r="UPA89"/>
      <c r="UPB89"/>
      <c r="UPC89"/>
      <c r="UPD89"/>
      <c r="UPE89"/>
      <c r="UPF89"/>
      <c r="UPG89"/>
      <c r="UPH89"/>
      <c r="UPI89"/>
      <c r="UPJ89"/>
      <c r="UPK89"/>
      <c r="UPL89"/>
      <c r="UPM89"/>
      <c r="UPN89"/>
      <c r="UPO89"/>
      <c r="UPP89"/>
      <c r="UPQ89"/>
      <c r="UPR89"/>
      <c r="UPS89"/>
      <c r="UPT89"/>
      <c r="UPU89"/>
      <c r="UPV89"/>
      <c r="UPW89"/>
      <c r="UPX89"/>
      <c r="UPY89"/>
      <c r="UPZ89"/>
      <c r="UQA89"/>
      <c r="UQB89"/>
      <c r="UQC89"/>
      <c r="UQD89"/>
      <c r="UQE89"/>
      <c r="UQF89"/>
      <c r="UQG89"/>
      <c r="UQH89"/>
      <c r="UQI89"/>
      <c r="UQJ89"/>
      <c r="UQK89"/>
      <c r="UQL89"/>
      <c r="UQM89"/>
      <c r="UQN89"/>
      <c r="UQO89"/>
      <c r="UQP89"/>
      <c r="UQQ89"/>
      <c r="UQR89"/>
      <c r="UQS89"/>
      <c r="UQT89"/>
      <c r="UQU89"/>
      <c r="UQV89"/>
      <c r="UQW89"/>
      <c r="UQX89"/>
      <c r="UQY89"/>
      <c r="UQZ89"/>
      <c r="URA89"/>
      <c r="URB89"/>
      <c r="URC89"/>
      <c r="URD89"/>
      <c r="URE89"/>
      <c r="URF89"/>
      <c r="URG89"/>
      <c r="URH89"/>
      <c r="URI89"/>
      <c r="URJ89"/>
      <c r="URK89"/>
      <c r="URL89"/>
      <c r="URM89"/>
      <c r="URN89"/>
      <c r="URO89"/>
      <c r="URP89"/>
      <c r="URQ89"/>
      <c r="URR89"/>
      <c r="URS89"/>
      <c r="URT89"/>
      <c r="URU89"/>
      <c r="URV89"/>
      <c r="URW89"/>
      <c r="URX89"/>
      <c r="URY89"/>
      <c r="URZ89"/>
      <c r="USA89"/>
      <c r="USB89"/>
      <c r="USC89"/>
      <c r="USD89"/>
      <c r="USE89"/>
      <c r="USF89"/>
      <c r="USG89"/>
      <c r="USH89"/>
      <c r="USI89"/>
      <c r="USJ89"/>
      <c r="USK89"/>
      <c r="USL89"/>
      <c r="USM89"/>
      <c r="USN89"/>
      <c r="USO89"/>
      <c r="USP89"/>
      <c r="USQ89"/>
      <c r="USR89"/>
      <c r="USS89"/>
      <c r="UST89"/>
      <c r="USU89"/>
      <c r="USV89"/>
      <c r="USW89"/>
      <c r="USX89"/>
      <c r="USY89"/>
      <c r="USZ89"/>
      <c r="UTA89"/>
      <c r="UTB89"/>
      <c r="UTC89"/>
      <c r="UTD89"/>
      <c r="UTE89"/>
      <c r="UTF89"/>
      <c r="UTG89"/>
      <c r="UTH89"/>
      <c r="UTI89"/>
      <c r="UTJ89"/>
      <c r="UTK89"/>
      <c r="UTL89"/>
      <c r="UTM89"/>
      <c r="UTN89"/>
      <c r="UTO89"/>
      <c r="UTP89"/>
      <c r="UTQ89"/>
      <c r="UTR89"/>
      <c r="UTS89"/>
      <c r="UTT89"/>
      <c r="UTU89"/>
      <c r="UTV89"/>
      <c r="UTW89"/>
      <c r="UTX89"/>
      <c r="UTY89"/>
      <c r="UTZ89"/>
      <c r="UUA89"/>
      <c r="UUB89"/>
      <c r="UUC89"/>
      <c r="UUD89"/>
      <c r="UUE89"/>
      <c r="UUF89"/>
      <c r="UUG89"/>
      <c r="UUH89"/>
      <c r="UUI89"/>
      <c r="UUJ89"/>
      <c r="UUK89"/>
      <c r="UUL89"/>
      <c r="UUM89"/>
      <c r="UUN89"/>
      <c r="UUO89"/>
      <c r="UUP89"/>
      <c r="UUQ89"/>
      <c r="UUR89"/>
      <c r="UUS89"/>
      <c r="UUT89"/>
      <c r="UUU89"/>
      <c r="UUV89"/>
      <c r="UUW89"/>
      <c r="UUX89"/>
      <c r="UUY89"/>
      <c r="UUZ89"/>
      <c r="UVA89"/>
      <c r="UVB89"/>
      <c r="UVC89"/>
      <c r="UVD89"/>
      <c r="UVE89"/>
      <c r="UVF89"/>
      <c r="UVG89"/>
      <c r="UVH89"/>
      <c r="UVI89"/>
      <c r="UVJ89"/>
      <c r="UVK89"/>
      <c r="UVL89"/>
      <c r="UVM89"/>
      <c r="UVN89"/>
      <c r="UVO89"/>
      <c r="UVP89"/>
      <c r="UVQ89"/>
      <c r="UVR89"/>
      <c r="UVS89"/>
      <c r="UVT89"/>
      <c r="UVU89"/>
      <c r="UVV89"/>
      <c r="UVW89"/>
      <c r="UVX89"/>
      <c r="UVY89"/>
      <c r="UVZ89"/>
      <c r="UWA89"/>
      <c r="UWB89"/>
      <c r="UWC89"/>
      <c r="UWD89"/>
      <c r="UWE89"/>
      <c r="UWF89"/>
      <c r="UWG89"/>
      <c r="UWH89"/>
      <c r="UWI89"/>
      <c r="UWJ89"/>
      <c r="UWK89"/>
      <c r="UWL89"/>
      <c r="UWM89"/>
      <c r="UWN89"/>
      <c r="UWO89"/>
      <c r="UWP89"/>
      <c r="UWQ89"/>
      <c r="UWR89"/>
      <c r="UWS89"/>
      <c r="UWT89"/>
      <c r="UWU89"/>
      <c r="UWV89"/>
      <c r="UWW89"/>
      <c r="UWX89"/>
      <c r="UWY89"/>
      <c r="UWZ89"/>
      <c r="UXA89"/>
      <c r="UXB89"/>
      <c r="UXC89"/>
      <c r="UXD89"/>
      <c r="UXE89"/>
      <c r="UXF89"/>
      <c r="UXG89"/>
      <c r="UXH89"/>
      <c r="UXI89"/>
      <c r="UXJ89"/>
      <c r="UXK89"/>
      <c r="UXL89"/>
      <c r="UXM89"/>
      <c r="UXN89"/>
      <c r="UXO89"/>
      <c r="UXP89"/>
      <c r="UXQ89"/>
      <c r="UXR89"/>
      <c r="UXS89"/>
      <c r="UXT89"/>
      <c r="UXU89"/>
      <c r="UXV89"/>
      <c r="UXW89"/>
      <c r="UXX89"/>
      <c r="UXY89"/>
      <c r="UXZ89"/>
      <c r="UYA89"/>
      <c r="UYB89"/>
      <c r="UYC89"/>
      <c r="UYD89"/>
      <c r="UYE89"/>
      <c r="UYF89"/>
      <c r="UYG89"/>
      <c r="UYH89"/>
      <c r="UYI89"/>
      <c r="UYJ89"/>
      <c r="UYK89"/>
      <c r="UYL89"/>
      <c r="UYM89"/>
      <c r="UYN89"/>
      <c r="UYO89"/>
      <c r="UYP89"/>
      <c r="UYQ89"/>
      <c r="UYR89"/>
      <c r="UYS89"/>
      <c r="UYT89"/>
      <c r="UYU89"/>
      <c r="UYV89"/>
      <c r="UYW89"/>
      <c r="UYX89"/>
      <c r="UYY89"/>
      <c r="UYZ89"/>
      <c r="UZA89"/>
      <c r="UZB89"/>
      <c r="UZC89"/>
      <c r="UZD89"/>
      <c r="UZE89"/>
      <c r="UZF89"/>
      <c r="UZG89"/>
      <c r="UZH89"/>
      <c r="UZI89"/>
      <c r="UZJ89"/>
      <c r="UZK89"/>
      <c r="UZL89"/>
      <c r="UZM89"/>
      <c r="UZN89"/>
      <c r="UZO89"/>
      <c r="UZP89"/>
      <c r="UZQ89"/>
      <c r="UZR89"/>
      <c r="UZS89"/>
      <c r="UZT89"/>
      <c r="UZU89"/>
      <c r="UZV89"/>
      <c r="UZW89"/>
      <c r="UZX89"/>
      <c r="UZY89"/>
      <c r="UZZ89"/>
      <c r="VAA89"/>
      <c r="VAB89"/>
      <c r="VAC89"/>
      <c r="VAD89"/>
      <c r="VAE89"/>
      <c r="VAF89"/>
      <c r="VAG89"/>
      <c r="VAH89"/>
      <c r="VAI89"/>
      <c r="VAJ89"/>
      <c r="VAK89"/>
      <c r="VAL89"/>
      <c r="VAM89"/>
      <c r="VAN89"/>
      <c r="VAO89"/>
      <c r="VAP89"/>
      <c r="VAQ89"/>
      <c r="VAR89"/>
      <c r="VAS89"/>
      <c r="VAT89"/>
      <c r="VAU89"/>
      <c r="VAV89"/>
      <c r="VAW89"/>
      <c r="VAX89"/>
      <c r="VAY89"/>
      <c r="VAZ89"/>
      <c r="VBA89"/>
      <c r="VBB89"/>
      <c r="VBC89"/>
      <c r="VBD89"/>
      <c r="VBE89"/>
      <c r="VBF89"/>
      <c r="VBG89"/>
      <c r="VBH89"/>
      <c r="VBI89"/>
      <c r="VBJ89"/>
      <c r="VBK89"/>
      <c r="VBL89"/>
      <c r="VBM89"/>
      <c r="VBN89"/>
      <c r="VBO89"/>
      <c r="VBP89"/>
      <c r="VBQ89"/>
      <c r="VBR89"/>
      <c r="VBS89"/>
      <c r="VBT89"/>
      <c r="VBU89"/>
      <c r="VBV89"/>
      <c r="VBW89"/>
      <c r="VBX89"/>
      <c r="VBY89"/>
      <c r="VBZ89"/>
      <c r="VCA89"/>
      <c r="VCB89"/>
      <c r="VCC89"/>
      <c r="VCD89"/>
      <c r="VCE89"/>
      <c r="VCF89"/>
      <c r="VCG89"/>
      <c r="VCH89"/>
      <c r="VCI89"/>
      <c r="VCJ89"/>
      <c r="VCK89"/>
      <c r="VCL89"/>
      <c r="VCM89"/>
      <c r="VCN89"/>
      <c r="VCO89"/>
      <c r="VCP89"/>
      <c r="VCQ89"/>
      <c r="VCR89"/>
      <c r="VCS89"/>
      <c r="VCT89"/>
      <c r="VCU89"/>
      <c r="VCV89"/>
      <c r="VCW89"/>
      <c r="VCX89"/>
      <c r="VCY89"/>
      <c r="VCZ89"/>
      <c r="VDA89"/>
      <c r="VDB89"/>
      <c r="VDC89"/>
      <c r="VDD89"/>
      <c r="VDE89"/>
      <c r="VDF89"/>
      <c r="VDG89"/>
      <c r="VDH89"/>
      <c r="VDI89"/>
      <c r="VDJ89"/>
      <c r="VDK89"/>
      <c r="VDL89"/>
      <c r="VDM89"/>
      <c r="VDN89"/>
      <c r="VDO89"/>
      <c r="VDP89"/>
      <c r="VDQ89"/>
      <c r="VDR89"/>
      <c r="VDS89"/>
      <c r="VDT89"/>
      <c r="VDU89"/>
      <c r="VDV89"/>
      <c r="VDW89"/>
      <c r="VDX89"/>
      <c r="VDY89"/>
      <c r="VDZ89"/>
      <c r="VEA89"/>
      <c r="VEB89"/>
      <c r="VEC89"/>
      <c r="VED89"/>
      <c r="VEE89"/>
      <c r="VEF89"/>
      <c r="VEG89"/>
      <c r="VEH89"/>
      <c r="VEI89"/>
      <c r="VEJ89"/>
      <c r="VEK89"/>
      <c r="VEL89"/>
      <c r="VEM89"/>
      <c r="VEN89"/>
      <c r="VEO89"/>
      <c r="VEP89"/>
      <c r="VEQ89"/>
      <c r="VER89"/>
      <c r="VES89"/>
      <c r="VET89"/>
      <c r="VEU89"/>
      <c r="VEV89"/>
      <c r="VEW89"/>
      <c r="VEX89"/>
      <c r="VEY89"/>
      <c r="VEZ89"/>
      <c r="VFA89"/>
      <c r="VFB89"/>
      <c r="VFC89"/>
      <c r="VFD89"/>
      <c r="VFE89"/>
      <c r="VFF89"/>
      <c r="VFG89"/>
      <c r="VFH89"/>
      <c r="VFI89"/>
      <c r="VFJ89"/>
      <c r="VFK89"/>
      <c r="VFL89"/>
      <c r="VFM89"/>
      <c r="VFN89"/>
      <c r="VFO89"/>
      <c r="VFP89"/>
      <c r="VFQ89"/>
      <c r="VFR89"/>
      <c r="VFS89"/>
      <c r="VFT89"/>
      <c r="VFU89"/>
      <c r="VFV89"/>
      <c r="VFW89"/>
      <c r="VFX89"/>
      <c r="VFY89"/>
      <c r="VFZ89"/>
      <c r="VGA89"/>
      <c r="VGB89"/>
      <c r="VGC89"/>
      <c r="VGD89"/>
      <c r="VGE89"/>
      <c r="VGF89"/>
      <c r="VGG89"/>
      <c r="VGH89"/>
      <c r="VGI89"/>
      <c r="VGJ89"/>
      <c r="VGK89"/>
      <c r="VGL89"/>
      <c r="VGM89"/>
      <c r="VGN89"/>
      <c r="VGO89"/>
      <c r="VGP89"/>
      <c r="VGQ89"/>
      <c r="VGR89"/>
      <c r="VGS89"/>
      <c r="VGT89"/>
      <c r="VGU89"/>
      <c r="VGV89"/>
      <c r="VGW89"/>
      <c r="VGX89"/>
      <c r="VGY89"/>
      <c r="VGZ89"/>
      <c r="VHA89"/>
      <c r="VHB89"/>
      <c r="VHC89"/>
      <c r="VHD89"/>
      <c r="VHE89"/>
      <c r="VHF89"/>
      <c r="VHG89"/>
      <c r="VHH89"/>
      <c r="VHI89"/>
      <c r="VHJ89"/>
      <c r="VHK89"/>
      <c r="VHL89"/>
      <c r="VHM89"/>
      <c r="VHN89"/>
      <c r="VHO89"/>
      <c r="VHP89"/>
      <c r="VHQ89"/>
      <c r="VHR89"/>
      <c r="VHS89"/>
      <c r="VHT89"/>
      <c r="VHU89"/>
      <c r="VHV89"/>
      <c r="VHW89"/>
      <c r="VHX89"/>
      <c r="VHY89"/>
      <c r="VHZ89"/>
      <c r="VIA89"/>
      <c r="VIB89"/>
      <c r="VIC89"/>
      <c r="VID89"/>
      <c r="VIE89"/>
      <c r="VIF89"/>
      <c r="VIG89"/>
      <c r="VIH89"/>
      <c r="VII89"/>
      <c r="VIJ89"/>
      <c r="VIK89"/>
      <c r="VIL89"/>
      <c r="VIM89"/>
      <c r="VIN89"/>
      <c r="VIO89"/>
      <c r="VIP89"/>
      <c r="VIQ89"/>
      <c r="VIR89"/>
      <c r="VIS89"/>
      <c r="VIT89"/>
      <c r="VIU89"/>
      <c r="VIV89"/>
      <c r="VIW89"/>
      <c r="VIX89"/>
      <c r="VIY89"/>
      <c r="VIZ89"/>
      <c r="VJA89"/>
      <c r="VJB89"/>
      <c r="VJC89"/>
      <c r="VJD89"/>
      <c r="VJE89"/>
      <c r="VJF89"/>
      <c r="VJG89"/>
      <c r="VJH89"/>
      <c r="VJI89"/>
      <c r="VJJ89"/>
      <c r="VJK89"/>
      <c r="VJL89"/>
      <c r="VJM89"/>
      <c r="VJN89"/>
      <c r="VJO89"/>
      <c r="VJP89"/>
      <c r="VJQ89"/>
      <c r="VJR89"/>
      <c r="VJS89"/>
      <c r="VJT89"/>
      <c r="VJU89"/>
      <c r="VJV89"/>
      <c r="VJW89"/>
      <c r="VJX89"/>
      <c r="VJY89"/>
      <c r="VJZ89"/>
      <c r="VKA89"/>
      <c r="VKB89"/>
      <c r="VKC89"/>
      <c r="VKD89"/>
      <c r="VKE89"/>
      <c r="VKF89"/>
      <c r="VKG89"/>
      <c r="VKH89"/>
      <c r="VKI89"/>
      <c r="VKJ89"/>
      <c r="VKK89"/>
      <c r="VKL89"/>
      <c r="VKM89"/>
      <c r="VKN89"/>
      <c r="VKO89"/>
      <c r="VKP89"/>
      <c r="VKQ89"/>
      <c r="VKR89"/>
      <c r="VKS89"/>
      <c r="VKT89"/>
      <c r="VKU89"/>
      <c r="VKV89"/>
      <c r="VKW89"/>
      <c r="VKX89"/>
      <c r="VKY89"/>
      <c r="VKZ89"/>
      <c r="VLA89"/>
      <c r="VLB89"/>
      <c r="VLC89"/>
      <c r="VLD89"/>
      <c r="VLE89"/>
      <c r="VLF89"/>
      <c r="VLG89"/>
      <c r="VLH89"/>
      <c r="VLI89"/>
      <c r="VLJ89"/>
      <c r="VLK89"/>
      <c r="VLL89"/>
      <c r="VLM89"/>
      <c r="VLN89"/>
      <c r="VLO89"/>
      <c r="VLP89"/>
      <c r="VLQ89"/>
      <c r="VLR89"/>
      <c r="VLS89"/>
      <c r="VLT89"/>
      <c r="VLU89"/>
      <c r="VLV89"/>
      <c r="VLW89"/>
      <c r="VLX89"/>
      <c r="VLY89"/>
      <c r="VLZ89"/>
      <c r="VMA89"/>
      <c r="VMB89"/>
      <c r="VMC89"/>
      <c r="VMD89"/>
      <c r="VME89"/>
      <c r="VMF89"/>
      <c r="VMG89"/>
      <c r="VMH89"/>
      <c r="VMI89"/>
      <c r="VMJ89"/>
      <c r="VMK89"/>
      <c r="VML89"/>
      <c r="VMM89"/>
      <c r="VMN89"/>
      <c r="VMO89"/>
      <c r="VMP89"/>
      <c r="VMQ89"/>
      <c r="VMR89"/>
      <c r="VMS89"/>
      <c r="VMT89"/>
      <c r="VMU89"/>
      <c r="VMV89"/>
      <c r="VMW89"/>
      <c r="VMX89"/>
      <c r="VMY89"/>
      <c r="VMZ89"/>
      <c r="VNA89"/>
      <c r="VNB89"/>
      <c r="VNC89"/>
      <c r="VND89"/>
      <c r="VNE89"/>
      <c r="VNF89"/>
      <c r="VNG89"/>
      <c r="VNH89"/>
      <c r="VNI89"/>
      <c r="VNJ89"/>
      <c r="VNK89"/>
      <c r="VNL89"/>
      <c r="VNM89"/>
      <c r="VNN89"/>
      <c r="VNO89"/>
      <c r="VNP89"/>
      <c r="VNQ89"/>
      <c r="VNR89"/>
      <c r="VNS89"/>
      <c r="VNT89"/>
      <c r="VNU89"/>
      <c r="VNV89"/>
      <c r="VNW89"/>
      <c r="VNX89"/>
      <c r="VNY89"/>
      <c r="VNZ89"/>
      <c r="VOA89"/>
      <c r="VOB89"/>
      <c r="VOC89"/>
      <c r="VOD89"/>
      <c r="VOE89"/>
      <c r="VOF89"/>
      <c r="VOG89"/>
      <c r="VOH89"/>
      <c r="VOI89"/>
      <c r="VOJ89"/>
      <c r="VOK89"/>
      <c r="VOL89"/>
      <c r="VOM89"/>
      <c r="VON89"/>
      <c r="VOO89"/>
      <c r="VOP89"/>
      <c r="VOQ89"/>
      <c r="VOR89"/>
      <c r="VOS89"/>
      <c r="VOT89"/>
      <c r="VOU89"/>
      <c r="VOV89"/>
      <c r="VOW89"/>
      <c r="VOX89"/>
      <c r="VOY89"/>
      <c r="VOZ89"/>
      <c r="VPA89"/>
      <c r="VPB89"/>
      <c r="VPC89"/>
      <c r="VPD89"/>
      <c r="VPE89"/>
      <c r="VPF89"/>
      <c r="VPG89"/>
      <c r="VPH89"/>
      <c r="VPI89"/>
      <c r="VPJ89"/>
      <c r="VPK89"/>
      <c r="VPL89"/>
      <c r="VPM89"/>
      <c r="VPN89"/>
      <c r="VPO89"/>
      <c r="VPP89"/>
      <c r="VPQ89"/>
      <c r="VPR89"/>
      <c r="VPS89"/>
      <c r="VPT89"/>
      <c r="VPU89"/>
      <c r="VPV89"/>
      <c r="VPW89"/>
      <c r="VPX89"/>
      <c r="VPY89"/>
      <c r="VPZ89"/>
      <c r="VQA89"/>
      <c r="VQB89"/>
      <c r="VQC89"/>
      <c r="VQD89"/>
      <c r="VQE89"/>
      <c r="VQF89"/>
      <c r="VQG89"/>
      <c r="VQH89"/>
      <c r="VQI89"/>
      <c r="VQJ89"/>
      <c r="VQK89"/>
      <c r="VQL89"/>
      <c r="VQM89"/>
      <c r="VQN89"/>
      <c r="VQO89"/>
      <c r="VQP89"/>
      <c r="VQQ89"/>
      <c r="VQR89"/>
      <c r="VQS89"/>
      <c r="VQT89"/>
      <c r="VQU89"/>
      <c r="VQV89"/>
      <c r="VQW89"/>
      <c r="VQX89"/>
      <c r="VQY89"/>
      <c r="VQZ89"/>
      <c r="VRA89"/>
      <c r="VRB89"/>
      <c r="VRC89"/>
      <c r="VRD89"/>
      <c r="VRE89"/>
      <c r="VRF89"/>
      <c r="VRG89"/>
      <c r="VRH89"/>
      <c r="VRI89"/>
      <c r="VRJ89"/>
      <c r="VRK89"/>
      <c r="VRL89"/>
      <c r="VRM89"/>
      <c r="VRN89"/>
      <c r="VRO89"/>
      <c r="VRP89"/>
      <c r="VRQ89"/>
      <c r="VRR89"/>
      <c r="VRS89"/>
      <c r="VRT89"/>
      <c r="VRU89"/>
      <c r="VRV89"/>
      <c r="VRW89"/>
      <c r="VRX89"/>
      <c r="VRY89"/>
      <c r="VRZ89"/>
      <c r="VSA89"/>
      <c r="VSB89"/>
      <c r="VSC89"/>
      <c r="VSD89"/>
      <c r="VSE89"/>
      <c r="VSF89"/>
      <c r="VSG89"/>
      <c r="VSH89"/>
      <c r="VSI89"/>
      <c r="VSJ89"/>
      <c r="VSK89"/>
      <c r="VSL89"/>
      <c r="VSM89"/>
      <c r="VSN89"/>
      <c r="VSO89"/>
      <c r="VSP89"/>
      <c r="VSQ89"/>
      <c r="VSR89"/>
      <c r="VSS89"/>
      <c r="VST89"/>
      <c r="VSU89"/>
      <c r="VSV89"/>
      <c r="VSW89"/>
      <c r="VSX89"/>
      <c r="VSY89"/>
      <c r="VSZ89"/>
      <c r="VTA89"/>
      <c r="VTB89"/>
      <c r="VTC89"/>
      <c r="VTD89"/>
      <c r="VTE89"/>
      <c r="VTF89"/>
      <c r="VTG89"/>
      <c r="VTH89"/>
      <c r="VTI89"/>
      <c r="VTJ89"/>
      <c r="VTK89"/>
      <c r="VTL89"/>
      <c r="VTM89"/>
      <c r="VTN89"/>
      <c r="VTO89"/>
      <c r="VTP89"/>
      <c r="VTQ89"/>
      <c r="VTR89"/>
      <c r="VTS89"/>
      <c r="VTT89"/>
      <c r="VTU89"/>
      <c r="VTV89"/>
      <c r="VTW89"/>
      <c r="VTX89"/>
      <c r="VTY89"/>
      <c r="VTZ89"/>
      <c r="VUA89"/>
      <c r="VUB89"/>
      <c r="VUC89"/>
      <c r="VUD89"/>
      <c r="VUE89"/>
      <c r="VUF89"/>
      <c r="VUG89"/>
      <c r="VUH89"/>
      <c r="VUI89"/>
      <c r="VUJ89"/>
      <c r="VUK89"/>
      <c r="VUL89"/>
      <c r="VUM89"/>
      <c r="VUN89"/>
      <c r="VUO89"/>
      <c r="VUP89"/>
      <c r="VUQ89"/>
      <c r="VUR89"/>
      <c r="VUS89"/>
      <c r="VUT89"/>
      <c r="VUU89"/>
      <c r="VUV89"/>
      <c r="VUW89"/>
      <c r="VUX89"/>
      <c r="VUY89"/>
      <c r="VUZ89"/>
      <c r="VVA89"/>
      <c r="VVB89"/>
      <c r="VVC89"/>
      <c r="VVD89"/>
      <c r="VVE89"/>
      <c r="VVF89"/>
      <c r="VVG89"/>
      <c r="VVH89"/>
      <c r="VVI89"/>
      <c r="VVJ89"/>
      <c r="VVK89"/>
      <c r="VVL89"/>
      <c r="VVM89"/>
      <c r="VVN89"/>
      <c r="VVO89"/>
      <c r="VVP89"/>
      <c r="VVQ89"/>
      <c r="VVR89"/>
      <c r="VVS89"/>
      <c r="VVT89"/>
      <c r="VVU89"/>
      <c r="VVV89"/>
      <c r="VVW89"/>
      <c r="VVX89"/>
      <c r="VVY89"/>
      <c r="VVZ89"/>
      <c r="VWA89"/>
      <c r="VWB89"/>
      <c r="VWC89"/>
      <c r="VWD89"/>
      <c r="VWE89"/>
      <c r="VWF89"/>
      <c r="VWG89"/>
      <c r="VWH89"/>
      <c r="VWI89"/>
      <c r="VWJ89"/>
      <c r="VWK89"/>
      <c r="VWL89"/>
      <c r="VWM89"/>
      <c r="VWN89"/>
      <c r="VWO89"/>
      <c r="VWP89"/>
      <c r="VWQ89"/>
      <c r="VWR89"/>
      <c r="VWS89"/>
      <c r="VWT89"/>
      <c r="VWU89"/>
      <c r="VWV89"/>
      <c r="VWW89"/>
      <c r="VWX89"/>
      <c r="VWY89"/>
      <c r="VWZ89"/>
      <c r="VXA89"/>
      <c r="VXB89"/>
      <c r="VXC89"/>
      <c r="VXD89"/>
      <c r="VXE89"/>
      <c r="VXF89"/>
      <c r="VXG89"/>
      <c r="VXH89"/>
      <c r="VXI89"/>
      <c r="VXJ89"/>
      <c r="VXK89"/>
      <c r="VXL89"/>
      <c r="VXM89"/>
      <c r="VXN89"/>
      <c r="VXO89"/>
      <c r="VXP89"/>
      <c r="VXQ89"/>
      <c r="VXR89"/>
      <c r="VXS89"/>
      <c r="VXT89"/>
      <c r="VXU89"/>
      <c r="VXV89"/>
      <c r="VXW89"/>
      <c r="VXX89"/>
      <c r="VXY89"/>
      <c r="VXZ89"/>
      <c r="VYA89"/>
      <c r="VYB89"/>
      <c r="VYC89"/>
      <c r="VYD89"/>
      <c r="VYE89"/>
      <c r="VYF89"/>
      <c r="VYG89"/>
      <c r="VYH89"/>
      <c r="VYI89"/>
      <c r="VYJ89"/>
      <c r="VYK89"/>
      <c r="VYL89"/>
      <c r="VYM89"/>
      <c r="VYN89"/>
      <c r="VYO89"/>
      <c r="VYP89"/>
      <c r="VYQ89"/>
      <c r="VYR89"/>
      <c r="VYS89"/>
      <c r="VYT89"/>
      <c r="VYU89"/>
      <c r="VYV89"/>
      <c r="VYW89"/>
      <c r="VYX89"/>
      <c r="VYY89"/>
      <c r="VYZ89"/>
      <c r="VZA89"/>
      <c r="VZB89"/>
      <c r="VZC89"/>
      <c r="VZD89"/>
      <c r="VZE89"/>
      <c r="VZF89"/>
      <c r="VZG89"/>
      <c r="VZH89"/>
      <c r="VZI89"/>
      <c r="VZJ89"/>
      <c r="VZK89"/>
      <c r="VZL89"/>
      <c r="VZM89"/>
      <c r="VZN89"/>
      <c r="VZO89"/>
      <c r="VZP89"/>
      <c r="VZQ89"/>
      <c r="VZR89"/>
      <c r="VZS89"/>
      <c r="VZT89"/>
      <c r="VZU89"/>
      <c r="VZV89"/>
      <c r="VZW89"/>
      <c r="VZX89"/>
      <c r="VZY89"/>
      <c r="VZZ89"/>
      <c r="WAA89"/>
      <c r="WAB89"/>
      <c r="WAC89"/>
      <c r="WAD89"/>
      <c r="WAE89"/>
      <c r="WAF89"/>
      <c r="WAG89"/>
      <c r="WAH89"/>
      <c r="WAI89"/>
      <c r="WAJ89"/>
      <c r="WAK89"/>
      <c r="WAL89"/>
      <c r="WAM89"/>
      <c r="WAN89"/>
      <c r="WAO89"/>
      <c r="WAP89"/>
      <c r="WAQ89"/>
      <c r="WAR89"/>
      <c r="WAS89"/>
      <c r="WAT89"/>
      <c r="WAU89"/>
      <c r="WAV89"/>
      <c r="WAW89"/>
      <c r="WAX89"/>
      <c r="WAY89"/>
      <c r="WAZ89"/>
      <c r="WBA89"/>
      <c r="WBB89"/>
      <c r="WBC89"/>
      <c r="WBD89"/>
      <c r="WBE89"/>
      <c r="WBF89"/>
      <c r="WBG89"/>
      <c r="WBH89"/>
      <c r="WBI89"/>
      <c r="WBJ89"/>
      <c r="WBK89"/>
      <c r="WBL89"/>
      <c r="WBM89"/>
      <c r="WBN89"/>
      <c r="WBO89"/>
      <c r="WBP89"/>
      <c r="WBQ89"/>
      <c r="WBR89"/>
      <c r="WBS89"/>
      <c r="WBT89"/>
      <c r="WBU89"/>
      <c r="WBV89"/>
      <c r="WBW89"/>
      <c r="WBX89"/>
      <c r="WBY89"/>
      <c r="WBZ89"/>
      <c r="WCA89"/>
      <c r="WCB89"/>
      <c r="WCC89"/>
      <c r="WCD89"/>
      <c r="WCE89"/>
      <c r="WCF89"/>
      <c r="WCG89"/>
      <c r="WCH89"/>
      <c r="WCI89"/>
      <c r="WCJ89"/>
      <c r="WCK89"/>
      <c r="WCL89"/>
      <c r="WCM89"/>
      <c r="WCN89"/>
      <c r="WCO89"/>
      <c r="WCP89"/>
      <c r="WCQ89"/>
      <c r="WCR89"/>
      <c r="WCS89"/>
      <c r="WCT89"/>
      <c r="WCU89"/>
      <c r="WCV89"/>
      <c r="WCW89"/>
      <c r="WCX89"/>
      <c r="WCY89"/>
      <c r="WCZ89"/>
      <c r="WDA89"/>
      <c r="WDB89"/>
      <c r="WDC89"/>
      <c r="WDD89"/>
      <c r="WDE89"/>
      <c r="WDF89"/>
      <c r="WDG89"/>
      <c r="WDH89"/>
      <c r="WDI89"/>
      <c r="WDJ89"/>
      <c r="WDK89"/>
      <c r="WDL89"/>
      <c r="WDM89"/>
      <c r="WDN89"/>
      <c r="WDO89"/>
      <c r="WDP89"/>
      <c r="WDQ89"/>
      <c r="WDR89"/>
      <c r="WDS89"/>
      <c r="WDT89"/>
      <c r="WDU89"/>
      <c r="WDV89"/>
      <c r="WDW89"/>
      <c r="WDX89"/>
      <c r="WDY89"/>
      <c r="WDZ89"/>
      <c r="WEA89"/>
      <c r="WEB89"/>
      <c r="WEC89"/>
      <c r="WED89"/>
      <c r="WEE89"/>
      <c r="WEF89"/>
      <c r="WEG89"/>
      <c r="WEH89"/>
      <c r="WEI89"/>
      <c r="WEJ89"/>
      <c r="WEK89"/>
      <c r="WEL89"/>
      <c r="WEM89"/>
      <c r="WEN89"/>
      <c r="WEO89"/>
      <c r="WEP89"/>
      <c r="WEQ89"/>
      <c r="WER89"/>
      <c r="WES89"/>
      <c r="WET89"/>
      <c r="WEU89"/>
      <c r="WEV89"/>
      <c r="WEW89"/>
      <c r="WEX89"/>
      <c r="WEY89"/>
      <c r="WEZ89"/>
      <c r="WFA89"/>
      <c r="WFB89"/>
      <c r="WFC89"/>
      <c r="WFD89"/>
      <c r="WFE89"/>
      <c r="WFF89"/>
      <c r="WFG89"/>
      <c r="WFH89"/>
      <c r="WFI89"/>
      <c r="WFJ89"/>
      <c r="WFK89"/>
      <c r="WFL89"/>
      <c r="WFM89"/>
      <c r="WFN89"/>
      <c r="WFO89"/>
      <c r="WFP89"/>
      <c r="WFQ89"/>
      <c r="WFR89"/>
      <c r="WFS89"/>
      <c r="WFT89"/>
      <c r="WFU89"/>
      <c r="WFV89"/>
      <c r="WFW89"/>
      <c r="WFX89"/>
      <c r="WFY89"/>
      <c r="WFZ89"/>
      <c r="WGA89"/>
      <c r="WGB89"/>
      <c r="WGC89"/>
      <c r="WGD89"/>
      <c r="WGE89"/>
      <c r="WGF89"/>
      <c r="WGG89"/>
      <c r="WGH89"/>
      <c r="WGI89"/>
      <c r="WGJ89"/>
      <c r="WGK89"/>
      <c r="WGL89"/>
      <c r="WGM89"/>
      <c r="WGN89"/>
      <c r="WGO89"/>
      <c r="WGP89"/>
      <c r="WGQ89"/>
      <c r="WGR89"/>
      <c r="WGS89"/>
      <c r="WGT89"/>
      <c r="WGU89"/>
      <c r="WGV89"/>
      <c r="WGW89"/>
      <c r="WGX89"/>
      <c r="WGY89"/>
      <c r="WGZ89"/>
      <c r="WHA89"/>
      <c r="WHB89"/>
      <c r="WHC89"/>
      <c r="WHD89"/>
      <c r="WHE89"/>
      <c r="WHF89"/>
      <c r="WHG89"/>
      <c r="WHH89"/>
      <c r="WHI89"/>
      <c r="WHJ89"/>
      <c r="WHK89"/>
      <c r="WHL89"/>
      <c r="WHM89"/>
      <c r="WHN89"/>
      <c r="WHO89"/>
      <c r="WHP89"/>
      <c r="WHQ89"/>
      <c r="WHR89"/>
      <c r="WHS89"/>
      <c r="WHT89"/>
      <c r="WHU89"/>
      <c r="WHV89"/>
      <c r="WHW89"/>
      <c r="WHX89"/>
      <c r="WHY89"/>
      <c r="WHZ89"/>
      <c r="WIA89"/>
      <c r="WIB89"/>
      <c r="WIC89"/>
      <c r="WID89"/>
      <c r="WIE89"/>
      <c r="WIF89"/>
      <c r="WIG89"/>
      <c r="WIH89"/>
      <c r="WII89"/>
      <c r="WIJ89"/>
      <c r="WIK89"/>
      <c r="WIL89"/>
      <c r="WIM89"/>
      <c r="WIN89"/>
      <c r="WIO89"/>
      <c r="WIP89"/>
      <c r="WIQ89"/>
      <c r="WIR89"/>
      <c r="WIS89"/>
      <c r="WIT89"/>
      <c r="WIU89"/>
      <c r="WIV89"/>
      <c r="WIW89"/>
      <c r="WIX89"/>
      <c r="WIY89"/>
      <c r="WIZ89"/>
      <c r="WJA89"/>
      <c r="WJB89"/>
      <c r="WJC89"/>
      <c r="WJD89"/>
      <c r="WJE89"/>
      <c r="WJF89"/>
      <c r="WJG89"/>
      <c r="WJH89"/>
      <c r="WJI89"/>
      <c r="WJJ89"/>
      <c r="WJK89"/>
      <c r="WJL89"/>
      <c r="WJM89"/>
      <c r="WJN89"/>
      <c r="WJO89"/>
      <c r="WJP89"/>
      <c r="WJQ89"/>
      <c r="WJR89"/>
      <c r="WJS89"/>
      <c r="WJT89"/>
      <c r="WJU89"/>
      <c r="WJV89"/>
      <c r="WJW89"/>
      <c r="WJX89"/>
      <c r="WJY89"/>
      <c r="WJZ89"/>
      <c r="WKA89"/>
      <c r="WKB89"/>
      <c r="WKC89"/>
      <c r="WKD89"/>
      <c r="WKE89"/>
      <c r="WKF89"/>
      <c r="WKG89"/>
      <c r="WKH89"/>
      <c r="WKI89"/>
      <c r="WKJ89"/>
      <c r="WKK89"/>
      <c r="WKL89"/>
      <c r="WKM89"/>
      <c r="WKN89"/>
      <c r="WKO89"/>
      <c r="WKP89"/>
      <c r="WKQ89"/>
      <c r="WKR89"/>
      <c r="WKS89"/>
      <c r="WKT89"/>
      <c r="WKU89"/>
      <c r="WKV89"/>
      <c r="WKW89"/>
      <c r="WKX89"/>
      <c r="WKY89"/>
      <c r="WKZ89"/>
      <c r="WLA89"/>
      <c r="WLB89"/>
      <c r="WLC89"/>
      <c r="WLD89"/>
      <c r="WLE89"/>
      <c r="WLF89"/>
      <c r="WLG89"/>
      <c r="WLH89"/>
      <c r="WLI89"/>
      <c r="WLJ89"/>
      <c r="WLK89"/>
      <c r="WLL89"/>
      <c r="WLM89"/>
      <c r="WLN89"/>
      <c r="WLO89"/>
      <c r="WLP89"/>
      <c r="WLQ89"/>
      <c r="WLR89"/>
      <c r="WLS89"/>
      <c r="WLT89"/>
      <c r="WLU89"/>
      <c r="WLV89"/>
      <c r="WLW89"/>
      <c r="WLX89"/>
      <c r="WLY89"/>
      <c r="WLZ89"/>
      <c r="WMA89"/>
      <c r="WMB89"/>
      <c r="WMC89"/>
      <c r="WMD89"/>
      <c r="WME89"/>
      <c r="WMF89"/>
      <c r="WMG89"/>
      <c r="WMH89"/>
      <c r="WMI89"/>
      <c r="WMJ89"/>
      <c r="WMK89"/>
      <c r="WML89"/>
      <c r="WMM89"/>
      <c r="WMN89"/>
      <c r="WMO89"/>
      <c r="WMP89"/>
      <c r="WMQ89"/>
      <c r="WMR89"/>
      <c r="WMS89"/>
      <c r="WMT89"/>
      <c r="WMU89"/>
      <c r="WMV89"/>
      <c r="WMW89"/>
      <c r="WMX89"/>
      <c r="WMY89"/>
      <c r="WMZ89"/>
      <c r="WNA89"/>
      <c r="WNB89"/>
      <c r="WNC89"/>
      <c r="WND89"/>
      <c r="WNE89"/>
      <c r="WNF89"/>
      <c r="WNG89"/>
      <c r="WNH89"/>
      <c r="WNI89"/>
      <c r="WNJ89"/>
      <c r="WNK89"/>
      <c r="WNL89"/>
      <c r="WNM89"/>
      <c r="WNN89"/>
      <c r="WNO89"/>
      <c r="WNP89"/>
      <c r="WNQ89"/>
      <c r="WNR89"/>
      <c r="WNS89"/>
      <c r="WNT89"/>
      <c r="WNU89"/>
      <c r="WNV89"/>
      <c r="WNW89"/>
      <c r="WNX89"/>
      <c r="WNY89"/>
      <c r="WNZ89"/>
      <c r="WOA89"/>
      <c r="WOB89"/>
      <c r="WOC89"/>
      <c r="WOD89"/>
      <c r="WOE89"/>
      <c r="WOF89"/>
      <c r="WOG89"/>
      <c r="WOH89"/>
      <c r="WOI89"/>
      <c r="WOJ89"/>
      <c r="WOK89"/>
      <c r="WOL89"/>
      <c r="WOM89"/>
      <c r="WON89"/>
      <c r="WOO89"/>
      <c r="WOP89"/>
      <c r="WOQ89"/>
      <c r="WOR89"/>
      <c r="WOS89"/>
      <c r="WOT89"/>
      <c r="WOU89"/>
      <c r="WOV89"/>
      <c r="WOW89"/>
      <c r="WOX89"/>
      <c r="WOY89"/>
      <c r="WOZ89"/>
      <c r="WPA89"/>
      <c r="WPB89"/>
      <c r="WPC89"/>
      <c r="WPD89"/>
      <c r="WPE89"/>
      <c r="WPF89"/>
      <c r="WPG89"/>
      <c r="WPH89"/>
      <c r="WPI89"/>
      <c r="WPJ89"/>
      <c r="WPK89"/>
      <c r="WPL89"/>
      <c r="WPM89"/>
      <c r="WPN89"/>
      <c r="WPO89"/>
      <c r="WPP89"/>
      <c r="WPQ89"/>
      <c r="WPR89"/>
      <c r="WPS89"/>
      <c r="WPT89"/>
      <c r="WPU89"/>
      <c r="WPV89"/>
      <c r="WPW89"/>
      <c r="WPX89"/>
      <c r="WPY89"/>
      <c r="WPZ89"/>
      <c r="WQA89"/>
      <c r="WQB89"/>
      <c r="WQC89"/>
      <c r="WQD89"/>
      <c r="WQE89"/>
      <c r="WQF89"/>
      <c r="WQG89"/>
      <c r="WQH89"/>
      <c r="WQI89"/>
      <c r="WQJ89"/>
      <c r="WQK89"/>
      <c r="WQL89"/>
      <c r="WQM89"/>
      <c r="WQN89"/>
      <c r="WQO89"/>
      <c r="WQP89"/>
      <c r="WQQ89"/>
      <c r="WQR89"/>
      <c r="WQS89"/>
      <c r="WQT89"/>
      <c r="WQU89"/>
      <c r="WQV89"/>
      <c r="WQW89"/>
      <c r="WQX89"/>
      <c r="WQY89"/>
      <c r="WQZ89"/>
      <c r="WRA89"/>
      <c r="WRB89"/>
      <c r="WRC89"/>
      <c r="WRD89"/>
      <c r="WRE89"/>
      <c r="WRF89"/>
      <c r="WRG89"/>
      <c r="WRH89"/>
      <c r="WRI89"/>
      <c r="WRJ89"/>
      <c r="WRK89"/>
      <c r="WRL89"/>
      <c r="WRM89"/>
      <c r="WRN89"/>
      <c r="WRO89"/>
      <c r="WRP89"/>
      <c r="WRQ89"/>
      <c r="WRR89"/>
      <c r="WRS89"/>
      <c r="WRT89"/>
      <c r="WRU89"/>
      <c r="WRV89"/>
      <c r="WRW89"/>
      <c r="WRX89"/>
      <c r="WRY89"/>
      <c r="WRZ89"/>
      <c r="WSA89"/>
      <c r="WSB89"/>
      <c r="WSC89"/>
      <c r="WSD89"/>
      <c r="WSE89"/>
      <c r="WSF89"/>
      <c r="WSG89"/>
      <c r="WSH89"/>
      <c r="WSI89"/>
      <c r="WSJ89"/>
      <c r="WSK89"/>
      <c r="WSL89"/>
      <c r="WSM89"/>
      <c r="WSN89"/>
      <c r="WSO89"/>
      <c r="WSP89"/>
      <c r="WSQ89"/>
      <c r="WSR89"/>
      <c r="WSS89"/>
      <c r="WST89"/>
      <c r="WSU89"/>
      <c r="WSV89"/>
      <c r="WSW89"/>
      <c r="WSX89"/>
      <c r="WSY89"/>
      <c r="WSZ89"/>
      <c r="WTA89"/>
      <c r="WTB89"/>
      <c r="WTC89"/>
      <c r="WTD89"/>
      <c r="WTE89"/>
      <c r="WTF89"/>
      <c r="WTG89"/>
      <c r="WTH89"/>
      <c r="WTI89"/>
      <c r="WTJ89"/>
      <c r="WTK89"/>
      <c r="WTL89"/>
      <c r="WTM89"/>
      <c r="WTN89"/>
      <c r="WTO89"/>
      <c r="WTP89"/>
      <c r="WTQ89"/>
      <c r="WTR89"/>
      <c r="WTS89"/>
      <c r="WTT89"/>
      <c r="WTU89"/>
      <c r="WTV89"/>
      <c r="WTW89"/>
      <c r="WTX89"/>
      <c r="WTY89"/>
      <c r="WTZ89"/>
      <c r="WUA89"/>
      <c r="WUB89"/>
      <c r="WUC89"/>
      <c r="WUD89"/>
      <c r="WUE89"/>
      <c r="WUF89"/>
      <c r="WUG89"/>
      <c r="WUH89"/>
      <c r="WUI89"/>
      <c r="WUJ89"/>
      <c r="WUK89"/>
      <c r="WUL89"/>
      <c r="WUM89"/>
      <c r="WUN89"/>
      <c r="WUO89"/>
      <c r="WUP89"/>
      <c r="WUQ89"/>
      <c r="WUR89"/>
      <c r="WUS89"/>
      <c r="WUT89"/>
      <c r="WUU89"/>
      <c r="WUV89"/>
      <c r="WUW89"/>
      <c r="WUX89"/>
      <c r="WUY89"/>
      <c r="WUZ89"/>
      <c r="WVA89"/>
      <c r="WVB89"/>
      <c r="WVC89"/>
      <c r="WVD89"/>
      <c r="WVE89"/>
      <c r="WVF89"/>
      <c r="WVG89"/>
      <c r="WVH89"/>
      <c r="WVI89"/>
      <c r="WVJ89"/>
      <c r="WVK89"/>
      <c r="WVL89"/>
      <c r="WVM89"/>
      <c r="WVN89"/>
      <c r="WVO89"/>
      <c r="WVP89"/>
      <c r="WVQ89"/>
      <c r="WVR89"/>
      <c r="WVS89"/>
      <c r="WVT89"/>
      <c r="WVU89"/>
      <c r="WVV89"/>
      <c r="WVW89"/>
      <c r="WVX89"/>
      <c r="WVY89"/>
      <c r="WVZ89"/>
      <c r="WWA89"/>
      <c r="WWB89"/>
      <c r="WWC89"/>
      <c r="WWD89"/>
      <c r="WWE89"/>
      <c r="WWF89"/>
      <c r="WWG89"/>
      <c r="WWH89"/>
      <c r="WWI89"/>
      <c r="WWJ89"/>
      <c r="WWK89"/>
      <c r="WWL89"/>
      <c r="WWM89"/>
      <c r="WWN89"/>
      <c r="WWO89"/>
      <c r="WWP89"/>
      <c r="WWQ89"/>
      <c r="WWR89"/>
      <c r="WWS89"/>
      <c r="WWT89"/>
      <c r="WWU89"/>
      <c r="WWV89"/>
      <c r="WWW89"/>
      <c r="WWX89"/>
      <c r="WWY89"/>
      <c r="WWZ89"/>
      <c r="WXA89"/>
      <c r="WXB89"/>
      <c r="WXC89"/>
      <c r="WXD89"/>
      <c r="WXE89"/>
      <c r="WXF89"/>
      <c r="WXG89"/>
      <c r="WXH89"/>
      <c r="WXI89"/>
      <c r="WXJ89"/>
      <c r="WXK89"/>
      <c r="WXL89"/>
      <c r="WXM89"/>
      <c r="WXN89"/>
      <c r="WXO89"/>
      <c r="WXP89"/>
      <c r="WXQ89"/>
      <c r="WXR89"/>
      <c r="WXS89"/>
      <c r="WXT89"/>
      <c r="WXU89"/>
      <c r="WXV89"/>
      <c r="WXW89"/>
      <c r="WXX89"/>
      <c r="WXY89"/>
      <c r="WXZ89"/>
      <c r="WYA89"/>
      <c r="WYB89"/>
      <c r="WYC89"/>
      <c r="WYD89"/>
      <c r="WYE89"/>
      <c r="WYF89"/>
      <c r="WYG89"/>
      <c r="WYH89"/>
      <c r="WYI89"/>
      <c r="WYJ89"/>
      <c r="WYK89"/>
      <c r="WYL89"/>
      <c r="WYM89"/>
      <c r="WYN89"/>
      <c r="WYO89"/>
      <c r="WYP89"/>
      <c r="WYQ89"/>
      <c r="WYR89"/>
      <c r="WYS89"/>
      <c r="WYT89"/>
      <c r="WYU89"/>
      <c r="WYV89"/>
      <c r="WYW89"/>
      <c r="WYX89"/>
      <c r="WYY89"/>
      <c r="WYZ89"/>
      <c r="WZA89"/>
      <c r="WZB89"/>
      <c r="WZC89"/>
      <c r="WZD89"/>
      <c r="WZE89"/>
      <c r="WZF89"/>
      <c r="WZG89"/>
      <c r="WZH89"/>
      <c r="WZI89"/>
      <c r="WZJ89"/>
      <c r="WZK89"/>
      <c r="WZL89"/>
      <c r="WZM89"/>
      <c r="WZN89"/>
      <c r="WZO89"/>
      <c r="WZP89"/>
      <c r="WZQ89"/>
      <c r="WZR89"/>
      <c r="WZS89"/>
      <c r="WZT89"/>
      <c r="WZU89"/>
      <c r="WZV89"/>
      <c r="WZW89"/>
      <c r="WZX89"/>
      <c r="WZY89"/>
      <c r="WZZ89"/>
      <c r="XAA89"/>
      <c r="XAB89"/>
      <c r="XAC89"/>
      <c r="XAD89"/>
      <c r="XAE89"/>
      <c r="XAF89"/>
      <c r="XAG89"/>
      <c r="XAH89"/>
      <c r="XAI89"/>
      <c r="XAJ89"/>
      <c r="XAK89"/>
      <c r="XAL89"/>
      <c r="XAM89"/>
      <c r="XAN89"/>
      <c r="XAO89"/>
      <c r="XAP89"/>
      <c r="XAQ89"/>
      <c r="XAR89"/>
      <c r="XAS89"/>
      <c r="XAT89"/>
      <c r="XAU89"/>
      <c r="XAV89"/>
      <c r="XAW89"/>
      <c r="XAX89"/>
      <c r="XAY89"/>
      <c r="XAZ89"/>
      <c r="XBA89"/>
      <c r="XBB89"/>
      <c r="XBC89"/>
      <c r="XBD89"/>
      <c r="XBE89"/>
      <c r="XBF89"/>
      <c r="XBG89"/>
      <c r="XBH89"/>
      <c r="XBI89"/>
      <c r="XBJ89"/>
      <c r="XBK89"/>
      <c r="XBL89"/>
      <c r="XBM89"/>
      <c r="XBN89"/>
      <c r="XBO89"/>
      <c r="XBP89"/>
      <c r="XBQ89"/>
      <c r="XBR89"/>
      <c r="XBS89"/>
      <c r="XBT89"/>
      <c r="XBU89"/>
      <c r="XBV89"/>
      <c r="XBW89"/>
      <c r="XBX89"/>
      <c r="XBY89"/>
      <c r="XBZ89"/>
      <c r="XCA89"/>
      <c r="XCB89"/>
      <c r="XCC89"/>
      <c r="XCD89"/>
      <c r="XCE89"/>
      <c r="XCF89"/>
      <c r="XCG89"/>
      <c r="XCH89"/>
      <c r="XCI89"/>
      <c r="XCJ89"/>
      <c r="XCK89"/>
      <c r="XCL89"/>
      <c r="XCM89"/>
      <c r="XCN89"/>
      <c r="XCO89"/>
      <c r="XCP89"/>
      <c r="XCQ89"/>
      <c r="XCR89"/>
      <c r="XCS89"/>
      <c r="XCT89"/>
      <c r="XCU89"/>
      <c r="XCV89"/>
      <c r="XCW89"/>
      <c r="XCX89"/>
      <c r="XCY89"/>
      <c r="XCZ89"/>
      <c r="XDA89"/>
      <c r="XDB89"/>
      <c r="XDC89"/>
      <c r="XDD89"/>
      <c r="XDE89"/>
      <c r="XDF89"/>
      <c r="XDG89"/>
      <c r="XDH89"/>
      <c r="XDI89"/>
      <c r="XDJ89"/>
      <c r="XDK89"/>
      <c r="XDL89"/>
      <c r="XDM89"/>
      <c r="XDN89"/>
      <c r="XDO89"/>
      <c r="XDP89"/>
      <c r="XDQ89"/>
      <c r="XDR89"/>
      <c r="XDS89"/>
      <c r="XDT89"/>
      <c r="XDU89"/>
      <c r="XDV89"/>
      <c r="XDW89"/>
      <c r="XDX89"/>
      <c r="XDY89"/>
      <c r="XDZ89"/>
      <c r="XEA89"/>
      <c r="XEB89"/>
      <c r="XEC89"/>
      <c r="XED89"/>
      <c r="XEE89"/>
      <c r="XEF89"/>
      <c r="XEG89"/>
      <c r="XEH89"/>
      <c r="XEI89"/>
      <c r="XEJ89"/>
      <c r="XEK89"/>
      <c r="XEL89"/>
      <c r="XEM89"/>
      <c r="XEN89"/>
      <c r="XEO89"/>
      <c r="XEP89"/>
      <c r="XEQ89"/>
      <c r="XER89"/>
      <c r="XES89"/>
      <c r="XET89"/>
      <c r="XEU89"/>
      <c r="XEV89"/>
      <c r="XEW89"/>
      <c r="XEX89"/>
      <c r="XEY89"/>
      <c r="XEZ89"/>
      <c r="XFA89"/>
      <c r="XFB89"/>
      <c r="XFC89"/>
    </row>
    <row r="90" s="16" customFormat="1" ht="30" customHeight="1" spans="1:16383">
      <c r="A90" s="64"/>
      <c r="B90" s="85" t="s">
        <v>208</v>
      </c>
      <c r="C90" s="86"/>
      <c r="D90" s="87">
        <f>余额表!E90</f>
        <v>178615</v>
      </c>
      <c r="E90" s="87">
        <f>余额表!F90</f>
        <v>178615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  <c r="AJY90"/>
      <c r="AJZ90"/>
      <c r="AKA90"/>
      <c r="AKB90"/>
      <c r="AKC90"/>
      <c r="AKD90"/>
      <c r="AKE90"/>
      <c r="AKF90"/>
      <c r="AKG90"/>
      <c r="AKH90"/>
      <c r="AKI90"/>
      <c r="AKJ90"/>
      <c r="AKK90"/>
      <c r="AKL90"/>
      <c r="AKM90"/>
      <c r="AKN90"/>
      <c r="AKO90"/>
      <c r="AKP90"/>
      <c r="AKQ90"/>
      <c r="AKR90"/>
      <c r="AKS90"/>
      <c r="AKT90"/>
      <c r="AKU90"/>
      <c r="AKV90"/>
      <c r="AKW90"/>
      <c r="AKX90"/>
      <c r="AKY90"/>
      <c r="AKZ90"/>
      <c r="ALA90"/>
      <c r="ALB90"/>
      <c r="ALC90"/>
      <c r="ALD90"/>
      <c r="ALE90"/>
      <c r="ALF90"/>
      <c r="ALG90"/>
      <c r="ALH90"/>
      <c r="ALI90"/>
      <c r="ALJ90"/>
      <c r="ALK90"/>
      <c r="ALL90"/>
      <c r="ALM90"/>
      <c r="ALN90"/>
      <c r="ALO90"/>
      <c r="ALP90"/>
      <c r="ALQ90"/>
      <c r="ALR90"/>
      <c r="ALS90"/>
      <c r="ALT90"/>
      <c r="ALU90"/>
      <c r="ALV90"/>
      <c r="ALW90"/>
      <c r="ALX90"/>
      <c r="ALY90"/>
      <c r="ALZ90"/>
      <c r="AMA90"/>
      <c r="AMB90"/>
      <c r="AMC90"/>
      <c r="AMD90"/>
      <c r="AME90"/>
      <c r="AMF90"/>
      <c r="AMG90"/>
      <c r="AMH90"/>
      <c r="AMI90"/>
      <c r="AMJ90"/>
      <c r="AMK90"/>
      <c r="AML90"/>
      <c r="AMM90"/>
      <c r="AMN90"/>
      <c r="AMO90"/>
      <c r="AMP90"/>
      <c r="AMQ90"/>
      <c r="AMR90"/>
      <c r="AMS90"/>
      <c r="AMT90"/>
      <c r="AMU90"/>
      <c r="AMV90"/>
      <c r="AMW90"/>
      <c r="AMX90"/>
      <c r="AMY90"/>
      <c r="AMZ90"/>
      <c r="ANA90"/>
      <c r="ANB90"/>
      <c r="ANC90"/>
      <c r="AND90"/>
      <c r="ANE90"/>
      <c r="ANF90"/>
      <c r="ANG90"/>
      <c r="ANH90"/>
      <c r="ANI90"/>
      <c r="ANJ90"/>
      <c r="ANK90"/>
      <c r="ANL90"/>
      <c r="ANM90"/>
      <c r="ANN90"/>
      <c r="ANO90"/>
      <c r="ANP90"/>
      <c r="ANQ90"/>
      <c r="ANR90"/>
      <c r="ANS90"/>
      <c r="ANT90"/>
      <c r="ANU90"/>
      <c r="ANV90"/>
      <c r="ANW90"/>
      <c r="ANX90"/>
      <c r="ANY90"/>
      <c r="ANZ90"/>
      <c r="AOA90"/>
      <c r="AOB90"/>
      <c r="AOC90"/>
      <c r="AOD90"/>
      <c r="AOE90"/>
      <c r="AOF90"/>
      <c r="AOG90"/>
      <c r="AOH90"/>
      <c r="AOI90"/>
      <c r="AOJ90"/>
      <c r="AOK90"/>
      <c r="AOL90"/>
      <c r="AOM90"/>
      <c r="AON90"/>
      <c r="AOO90"/>
      <c r="AOP90"/>
      <c r="AOQ90"/>
      <c r="AOR90"/>
      <c r="AOS90"/>
      <c r="AOT90"/>
      <c r="AOU90"/>
      <c r="AOV90"/>
      <c r="AOW90"/>
      <c r="AOX90"/>
      <c r="AOY90"/>
      <c r="AOZ90"/>
      <c r="APA90"/>
      <c r="APB90"/>
      <c r="APC90"/>
      <c r="APD90"/>
      <c r="APE90"/>
      <c r="APF90"/>
      <c r="APG90"/>
      <c r="APH90"/>
      <c r="API90"/>
      <c r="APJ90"/>
      <c r="APK90"/>
      <c r="APL90"/>
      <c r="APM90"/>
      <c r="APN90"/>
      <c r="APO90"/>
      <c r="APP90"/>
      <c r="APQ90"/>
      <c r="APR90"/>
      <c r="APS90"/>
      <c r="APT90"/>
      <c r="APU90"/>
      <c r="APV90"/>
      <c r="APW90"/>
      <c r="APX90"/>
      <c r="APY90"/>
      <c r="APZ90"/>
      <c r="AQA90"/>
      <c r="AQB90"/>
      <c r="AQC90"/>
      <c r="AQD90"/>
      <c r="AQE90"/>
      <c r="AQF90"/>
      <c r="AQG90"/>
      <c r="AQH90"/>
      <c r="AQI90"/>
      <c r="AQJ90"/>
      <c r="AQK90"/>
      <c r="AQL90"/>
      <c r="AQM90"/>
      <c r="AQN90"/>
      <c r="AQO90"/>
      <c r="AQP90"/>
      <c r="AQQ90"/>
      <c r="AQR90"/>
      <c r="AQS90"/>
      <c r="AQT90"/>
      <c r="AQU90"/>
      <c r="AQV90"/>
      <c r="AQW90"/>
      <c r="AQX90"/>
      <c r="AQY90"/>
      <c r="AQZ90"/>
      <c r="ARA90"/>
      <c r="ARB90"/>
      <c r="ARC90"/>
      <c r="ARD90"/>
      <c r="ARE90"/>
      <c r="ARF90"/>
      <c r="ARG90"/>
      <c r="ARH90"/>
      <c r="ARI90"/>
      <c r="ARJ90"/>
      <c r="ARK90"/>
      <c r="ARL90"/>
      <c r="ARM90"/>
      <c r="ARN90"/>
      <c r="ARO90"/>
      <c r="ARP90"/>
      <c r="ARQ90"/>
      <c r="ARR90"/>
      <c r="ARS90"/>
      <c r="ART90"/>
      <c r="ARU90"/>
      <c r="ARV90"/>
      <c r="ARW90"/>
      <c r="ARX90"/>
      <c r="ARY90"/>
      <c r="ARZ90"/>
      <c r="ASA90"/>
      <c r="ASB90"/>
      <c r="ASC90"/>
      <c r="ASD90"/>
      <c r="ASE90"/>
      <c r="ASF90"/>
      <c r="ASG90"/>
      <c r="ASH90"/>
      <c r="ASI90"/>
      <c r="ASJ90"/>
      <c r="ASK90"/>
      <c r="ASL90"/>
      <c r="ASM90"/>
      <c r="ASN90"/>
      <c r="ASO90"/>
      <c r="ASP90"/>
      <c r="ASQ90"/>
      <c r="ASR90"/>
      <c r="ASS90"/>
      <c r="AST90"/>
      <c r="ASU90"/>
      <c r="ASV90"/>
      <c r="ASW90"/>
      <c r="ASX90"/>
      <c r="ASY90"/>
      <c r="ASZ90"/>
      <c r="ATA90"/>
      <c r="ATB90"/>
      <c r="ATC90"/>
      <c r="ATD90"/>
      <c r="ATE90"/>
      <c r="ATF90"/>
      <c r="ATG90"/>
      <c r="ATH90"/>
      <c r="ATI90"/>
      <c r="ATJ90"/>
      <c r="ATK90"/>
      <c r="ATL90"/>
      <c r="ATM90"/>
      <c r="ATN90"/>
      <c r="ATO90"/>
      <c r="ATP90"/>
      <c r="ATQ90"/>
      <c r="ATR90"/>
      <c r="ATS90"/>
      <c r="ATT90"/>
      <c r="ATU90"/>
      <c r="ATV90"/>
      <c r="ATW90"/>
      <c r="ATX90"/>
      <c r="ATY90"/>
      <c r="ATZ90"/>
      <c r="AUA90"/>
      <c r="AUB90"/>
      <c r="AUC90"/>
      <c r="AUD90"/>
      <c r="AUE90"/>
      <c r="AUF90"/>
      <c r="AUG90"/>
      <c r="AUH90"/>
      <c r="AUI90"/>
      <c r="AUJ90"/>
      <c r="AUK90"/>
      <c r="AUL90"/>
      <c r="AUM90"/>
      <c r="AUN90"/>
      <c r="AUO90"/>
      <c r="AUP90"/>
      <c r="AUQ90"/>
      <c r="AUR90"/>
      <c r="AUS90"/>
      <c r="AUT90"/>
      <c r="AUU90"/>
      <c r="AUV90"/>
      <c r="AUW90"/>
      <c r="AUX90"/>
      <c r="AUY90"/>
      <c r="AUZ90"/>
      <c r="AVA90"/>
      <c r="AVB90"/>
      <c r="AVC90"/>
      <c r="AVD90"/>
      <c r="AVE90"/>
      <c r="AVF90"/>
      <c r="AVG90"/>
      <c r="AVH90"/>
      <c r="AVI90"/>
      <c r="AVJ90"/>
      <c r="AVK90"/>
      <c r="AVL90"/>
      <c r="AVM90"/>
      <c r="AVN90"/>
      <c r="AVO90"/>
      <c r="AVP90"/>
      <c r="AVQ90"/>
      <c r="AVR90"/>
      <c r="AVS90"/>
      <c r="AVT90"/>
      <c r="AVU90"/>
      <c r="AVV90"/>
      <c r="AVW90"/>
      <c r="AVX90"/>
      <c r="AVY90"/>
      <c r="AVZ90"/>
      <c r="AWA90"/>
      <c r="AWB90"/>
      <c r="AWC90"/>
      <c r="AWD90"/>
      <c r="AWE90"/>
      <c r="AWF90"/>
      <c r="AWG90"/>
      <c r="AWH90"/>
      <c r="AWI90"/>
      <c r="AWJ90"/>
      <c r="AWK90"/>
      <c r="AWL90"/>
      <c r="AWM90"/>
      <c r="AWN90"/>
      <c r="AWO90"/>
      <c r="AWP90"/>
      <c r="AWQ90"/>
      <c r="AWR90"/>
      <c r="AWS90"/>
      <c r="AWT90"/>
      <c r="AWU90"/>
      <c r="AWV90"/>
      <c r="AWW90"/>
      <c r="AWX90"/>
      <c r="AWY90"/>
      <c r="AWZ90"/>
      <c r="AXA90"/>
      <c r="AXB90"/>
      <c r="AXC90"/>
      <c r="AXD90"/>
      <c r="AXE90"/>
      <c r="AXF90"/>
      <c r="AXG90"/>
      <c r="AXH90"/>
      <c r="AXI90"/>
      <c r="AXJ90"/>
      <c r="AXK90"/>
      <c r="AXL90"/>
      <c r="AXM90"/>
      <c r="AXN90"/>
      <c r="AXO90"/>
      <c r="AXP90"/>
      <c r="AXQ90"/>
      <c r="AXR90"/>
      <c r="AXS90"/>
      <c r="AXT90"/>
      <c r="AXU90"/>
      <c r="AXV90"/>
      <c r="AXW90"/>
      <c r="AXX90"/>
      <c r="AXY90"/>
      <c r="AXZ90"/>
      <c r="AYA90"/>
      <c r="AYB90"/>
      <c r="AYC90"/>
      <c r="AYD90"/>
      <c r="AYE90"/>
      <c r="AYF90"/>
      <c r="AYG90"/>
      <c r="AYH90"/>
      <c r="AYI90"/>
      <c r="AYJ90"/>
      <c r="AYK90"/>
      <c r="AYL90"/>
      <c r="AYM90"/>
      <c r="AYN90"/>
      <c r="AYO90"/>
      <c r="AYP90"/>
      <c r="AYQ90"/>
      <c r="AYR90"/>
      <c r="AYS90"/>
      <c r="AYT90"/>
      <c r="AYU90"/>
      <c r="AYV90"/>
      <c r="AYW90"/>
      <c r="AYX90"/>
      <c r="AYY90"/>
      <c r="AYZ90"/>
      <c r="AZA90"/>
      <c r="AZB90"/>
      <c r="AZC90"/>
      <c r="AZD90"/>
      <c r="AZE90"/>
      <c r="AZF90"/>
      <c r="AZG90"/>
      <c r="AZH90"/>
      <c r="AZI90"/>
      <c r="AZJ90"/>
      <c r="AZK90"/>
      <c r="AZL90"/>
      <c r="AZM90"/>
      <c r="AZN90"/>
      <c r="AZO90"/>
      <c r="AZP90"/>
      <c r="AZQ90"/>
      <c r="AZR90"/>
      <c r="AZS90"/>
      <c r="AZT90"/>
      <c r="AZU90"/>
      <c r="AZV90"/>
      <c r="AZW90"/>
      <c r="AZX90"/>
      <c r="AZY90"/>
      <c r="AZZ90"/>
      <c r="BAA90"/>
      <c r="BAB90"/>
      <c r="BAC90"/>
      <c r="BAD90"/>
      <c r="BAE90"/>
      <c r="BAF90"/>
      <c r="BAG90"/>
      <c r="BAH90"/>
      <c r="BAI90"/>
      <c r="BAJ90"/>
      <c r="BAK90"/>
      <c r="BAL90"/>
      <c r="BAM90"/>
      <c r="BAN90"/>
      <c r="BAO90"/>
      <c r="BAP90"/>
      <c r="BAQ90"/>
      <c r="BAR90"/>
      <c r="BAS90"/>
      <c r="BAT90"/>
      <c r="BAU90"/>
      <c r="BAV90"/>
      <c r="BAW90"/>
      <c r="BAX90"/>
      <c r="BAY90"/>
      <c r="BAZ90"/>
      <c r="BBA90"/>
      <c r="BBB90"/>
      <c r="BBC90"/>
      <c r="BBD90"/>
      <c r="BBE90"/>
      <c r="BBF90"/>
      <c r="BBG90"/>
      <c r="BBH90"/>
      <c r="BBI90"/>
      <c r="BBJ90"/>
      <c r="BBK90"/>
      <c r="BBL90"/>
      <c r="BBM90"/>
      <c r="BBN90"/>
      <c r="BBO90"/>
      <c r="BBP90"/>
      <c r="BBQ90"/>
      <c r="BBR90"/>
      <c r="BBS90"/>
      <c r="BBT90"/>
      <c r="BBU90"/>
      <c r="BBV90"/>
      <c r="BBW90"/>
      <c r="BBX90"/>
      <c r="BBY90"/>
      <c r="BBZ90"/>
      <c r="BCA90"/>
      <c r="BCB90"/>
      <c r="BCC90"/>
      <c r="BCD90"/>
      <c r="BCE90"/>
      <c r="BCF90"/>
      <c r="BCG90"/>
      <c r="BCH90"/>
      <c r="BCI90"/>
      <c r="BCJ90"/>
      <c r="BCK90"/>
      <c r="BCL90"/>
      <c r="BCM90"/>
      <c r="BCN90"/>
      <c r="BCO90"/>
      <c r="BCP90"/>
      <c r="BCQ90"/>
      <c r="BCR90"/>
      <c r="BCS90"/>
      <c r="BCT90"/>
      <c r="BCU90"/>
      <c r="BCV90"/>
      <c r="BCW90"/>
      <c r="BCX90"/>
      <c r="BCY90"/>
      <c r="BCZ90"/>
      <c r="BDA90"/>
      <c r="BDB90"/>
      <c r="BDC90"/>
      <c r="BDD90"/>
      <c r="BDE90"/>
      <c r="BDF90"/>
      <c r="BDG90"/>
      <c r="BDH90"/>
      <c r="BDI90"/>
      <c r="BDJ90"/>
      <c r="BDK90"/>
      <c r="BDL90"/>
      <c r="BDM90"/>
      <c r="BDN90"/>
      <c r="BDO90"/>
      <c r="BDP90"/>
      <c r="BDQ90"/>
      <c r="BDR90"/>
      <c r="BDS90"/>
      <c r="BDT90"/>
      <c r="BDU90"/>
      <c r="BDV90"/>
      <c r="BDW90"/>
      <c r="BDX90"/>
      <c r="BDY90"/>
      <c r="BDZ90"/>
      <c r="BEA90"/>
      <c r="BEB90"/>
      <c r="BEC90"/>
      <c r="BED90"/>
      <c r="BEE90"/>
      <c r="BEF90"/>
      <c r="BEG90"/>
      <c r="BEH90"/>
      <c r="BEI90"/>
      <c r="BEJ90"/>
      <c r="BEK90"/>
      <c r="BEL90"/>
      <c r="BEM90"/>
      <c r="BEN90"/>
      <c r="BEO90"/>
      <c r="BEP90"/>
      <c r="BEQ90"/>
      <c r="BER90"/>
      <c r="BES90"/>
      <c r="BET90"/>
      <c r="BEU90"/>
      <c r="BEV90"/>
      <c r="BEW90"/>
      <c r="BEX90"/>
      <c r="BEY90"/>
      <c r="BEZ90"/>
      <c r="BFA90"/>
      <c r="BFB90"/>
      <c r="BFC90"/>
      <c r="BFD90"/>
      <c r="BFE90"/>
      <c r="BFF90"/>
      <c r="BFG90"/>
      <c r="BFH90"/>
      <c r="BFI90"/>
      <c r="BFJ90"/>
      <c r="BFK90"/>
      <c r="BFL90"/>
      <c r="BFM90"/>
      <c r="BFN90"/>
      <c r="BFO90"/>
      <c r="BFP90"/>
      <c r="BFQ90"/>
      <c r="BFR90"/>
      <c r="BFS90"/>
      <c r="BFT90"/>
      <c r="BFU90"/>
      <c r="BFV90"/>
      <c r="BFW90"/>
      <c r="BFX90"/>
      <c r="BFY90"/>
      <c r="BFZ90"/>
      <c r="BGA90"/>
      <c r="BGB90"/>
      <c r="BGC90"/>
      <c r="BGD90"/>
      <c r="BGE90"/>
      <c r="BGF90"/>
      <c r="BGG90"/>
      <c r="BGH90"/>
      <c r="BGI90"/>
      <c r="BGJ90"/>
      <c r="BGK90"/>
      <c r="BGL90"/>
      <c r="BGM90"/>
      <c r="BGN90"/>
      <c r="BGO90"/>
      <c r="BGP90"/>
      <c r="BGQ90"/>
      <c r="BGR90"/>
      <c r="BGS90"/>
      <c r="BGT90"/>
      <c r="BGU90"/>
      <c r="BGV90"/>
      <c r="BGW90"/>
      <c r="BGX90"/>
      <c r="BGY90"/>
      <c r="BGZ90"/>
      <c r="BHA90"/>
      <c r="BHB90"/>
      <c r="BHC90"/>
      <c r="BHD90"/>
      <c r="BHE90"/>
      <c r="BHF90"/>
      <c r="BHG90"/>
      <c r="BHH90"/>
      <c r="BHI90"/>
      <c r="BHJ90"/>
      <c r="BHK90"/>
      <c r="BHL90"/>
      <c r="BHM90"/>
      <c r="BHN90"/>
      <c r="BHO90"/>
      <c r="BHP90"/>
      <c r="BHQ90"/>
      <c r="BHR90"/>
      <c r="BHS90"/>
      <c r="BHT90"/>
      <c r="BHU90"/>
      <c r="BHV90"/>
      <c r="BHW90"/>
      <c r="BHX90"/>
      <c r="BHY90"/>
      <c r="BHZ90"/>
      <c r="BIA90"/>
      <c r="BIB90"/>
      <c r="BIC90"/>
      <c r="BID90"/>
      <c r="BIE90"/>
      <c r="BIF90"/>
      <c r="BIG90"/>
      <c r="BIH90"/>
      <c r="BII90"/>
      <c r="BIJ90"/>
      <c r="BIK90"/>
      <c r="BIL90"/>
      <c r="BIM90"/>
      <c r="BIN90"/>
      <c r="BIO90"/>
      <c r="BIP90"/>
      <c r="BIQ90"/>
      <c r="BIR90"/>
      <c r="BIS90"/>
      <c r="BIT90"/>
      <c r="BIU90"/>
      <c r="BIV90"/>
      <c r="BIW90"/>
      <c r="BIX90"/>
      <c r="BIY90"/>
      <c r="BIZ90"/>
      <c r="BJA90"/>
      <c r="BJB90"/>
      <c r="BJC90"/>
      <c r="BJD90"/>
      <c r="BJE90"/>
      <c r="BJF90"/>
      <c r="BJG90"/>
      <c r="BJH90"/>
      <c r="BJI90"/>
      <c r="BJJ90"/>
      <c r="BJK90"/>
      <c r="BJL90"/>
      <c r="BJM90"/>
      <c r="BJN90"/>
      <c r="BJO90"/>
      <c r="BJP90"/>
      <c r="BJQ90"/>
      <c r="BJR90"/>
      <c r="BJS90"/>
      <c r="BJT90"/>
      <c r="BJU90"/>
      <c r="BJV90"/>
      <c r="BJW90"/>
      <c r="BJX90"/>
      <c r="BJY90"/>
      <c r="BJZ90"/>
      <c r="BKA90"/>
      <c r="BKB90"/>
      <c r="BKC90"/>
      <c r="BKD90"/>
      <c r="BKE90"/>
      <c r="BKF90"/>
      <c r="BKG90"/>
      <c r="BKH90"/>
      <c r="BKI90"/>
      <c r="BKJ90"/>
      <c r="BKK90"/>
      <c r="BKL90"/>
      <c r="BKM90"/>
      <c r="BKN90"/>
      <c r="BKO90"/>
      <c r="BKP90"/>
      <c r="BKQ90"/>
      <c r="BKR90"/>
      <c r="BKS90"/>
      <c r="BKT90"/>
      <c r="BKU90"/>
      <c r="BKV90"/>
      <c r="BKW90"/>
      <c r="BKX90"/>
      <c r="BKY90"/>
      <c r="BKZ90"/>
      <c r="BLA90"/>
      <c r="BLB90"/>
      <c r="BLC90"/>
      <c r="BLD90"/>
      <c r="BLE90"/>
      <c r="BLF90"/>
      <c r="BLG90"/>
      <c r="BLH90"/>
      <c r="BLI90"/>
      <c r="BLJ90"/>
      <c r="BLK90"/>
      <c r="BLL90"/>
      <c r="BLM90"/>
      <c r="BLN90"/>
      <c r="BLO90"/>
      <c r="BLP90"/>
      <c r="BLQ90"/>
      <c r="BLR90"/>
      <c r="BLS90"/>
      <c r="BLT90"/>
      <c r="BLU90"/>
      <c r="BLV90"/>
      <c r="BLW90"/>
      <c r="BLX90"/>
      <c r="BLY90"/>
      <c r="BLZ90"/>
      <c r="BMA90"/>
      <c r="BMB90"/>
      <c r="BMC90"/>
      <c r="BMD90"/>
      <c r="BME90"/>
      <c r="BMF90"/>
      <c r="BMG90"/>
      <c r="BMH90"/>
      <c r="BMI90"/>
      <c r="BMJ90"/>
      <c r="BMK90"/>
      <c r="BML90"/>
      <c r="BMM90"/>
      <c r="BMN90"/>
      <c r="BMO90"/>
      <c r="BMP90"/>
      <c r="BMQ90"/>
      <c r="BMR90"/>
      <c r="BMS90"/>
      <c r="BMT90"/>
      <c r="BMU90"/>
      <c r="BMV90"/>
      <c r="BMW90"/>
      <c r="BMX90"/>
      <c r="BMY90"/>
      <c r="BMZ90"/>
      <c r="BNA90"/>
      <c r="BNB90"/>
      <c r="BNC90"/>
      <c r="BND90"/>
      <c r="BNE90"/>
      <c r="BNF90"/>
      <c r="BNG90"/>
      <c r="BNH90"/>
      <c r="BNI90"/>
      <c r="BNJ90"/>
      <c r="BNK90"/>
      <c r="BNL90"/>
      <c r="BNM90"/>
      <c r="BNN90"/>
      <c r="BNO90"/>
      <c r="BNP90"/>
      <c r="BNQ90"/>
      <c r="BNR90"/>
      <c r="BNS90"/>
      <c r="BNT90"/>
      <c r="BNU90"/>
      <c r="BNV90"/>
      <c r="BNW90"/>
      <c r="BNX90"/>
      <c r="BNY90"/>
      <c r="BNZ90"/>
      <c r="BOA90"/>
      <c r="BOB90"/>
      <c r="BOC90"/>
      <c r="BOD90"/>
      <c r="BOE90"/>
      <c r="BOF90"/>
      <c r="BOG90"/>
      <c r="BOH90"/>
      <c r="BOI90"/>
      <c r="BOJ90"/>
      <c r="BOK90"/>
      <c r="BOL90"/>
      <c r="BOM90"/>
      <c r="BON90"/>
      <c r="BOO90"/>
      <c r="BOP90"/>
      <c r="BOQ90"/>
      <c r="BOR90"/>
      <c r="BOS90"/>
      <c r="BOT90"/>
      <c r="BOU90"/>
      <c r="BOV90"/>
      <c r="BOW90"/>
      <c r="BOX90"/>
      <c r="BOY90"/>
      <c r="BOZ90"/>
      <c r="BPA90"/>
      <c r="BPB90"/>
      <c r="BPC90"/>
      <c r="BPD90"/>
      <c r="BPE90"/>
      <c r="BPF90"/>
      <c r="BPG90"/>
      <c r="BPH90"/>
      <c r="BPI90"/>
      <c r="BPJ90"/>
      <c r="BPK90"/>
      <c r="BPL90"/>
      <c r="BPM90"/>
      <c r="BPN90"/>
      <c r="BPO90"/>
      <c r="BPP90"/>
      <c r="BPQ90"/>
      <c r="BPR90"/>
      <c r="BPS90"/>
      <c r="BPT90"/>
      <c r="BPU90"/>
      <c r="BPV90"/>
      <c r="BPW90"/>
      <c r="BPX90"/>
      <c r="BPY90"/>
      <c r="BPZ90"/>
      <c r="BQA90"/>
      <c r="BQB90"/>
      <c r="BQC90"/>
      <c r="BQD90"/>
      <c r="BQE90"/>
      <c r="BQF90"/>
      <c r="BQG90"/>
      <c r="BQH90"/>
      <c r="BQI90"/>
      <c r="BQJ90"/>
      <c r="BQK90"/>
      <c r="BQL90"/>
      <c r="BQM90"/>
      <c r="BQN90"/>
      <c r="BQO90"/>
      <c r="BQP90"/>
      <c r="BQQ90"/>
      <c r="BQR90"/>
      <c r="BQS90"/>
      <c r="BQT90"/>
      <c r="BQU90"/>
      <c r="BQV90"/>
      <c r="BQW90"/>
      <c r="BQX90"/>
      <c r="BQY90"/>
      <c r="BQZ90"/>
      <c r="BRA90"/>
      <c r="BRB90"/>
      <c r="BRC90"/>
      <c r="BRD90"/>
      <c r="BRE90"/>
      <c r="BRF90"/>
      <c r="BRG90"/>
      <c r="BRH90"/>
      <c r="BRI90"/>
      <c r="BRJ90"/>
      <c r="BRK90"/>
      <c r="BRL90"/>
      <c r="BRM90"/>
      <c r="BRN90"/>
      <c r="BRO90"/>
      <c r="BRP90"/>
      <c r="BRQ90"/>
      <c r="BRR90"/>
      <c r="BRS90"/>
      <c r="BRT90"/>
      <c r="BRU90"/>
      <c r="BRV90"/>
      <c r="BRW90"/>
      <c r="BRX90"/>
      <c r="BRY90"/>
      <c r="BRZ90"/>
      <c r="BSA90"/>
      <c r="BSB90"/>
      <c r="BSC90"/>
      <c r="BSD90"/>
      <c r="BSE90"/>
      <c r="BSF90"/>
      <c r="BSG90"/>
      <c r="BSH90"/>
      <c r="BSI90"/>
      <c r="BSJ90"/>
      <c r="BSK90"/>
      <c r="BSL90"/>
      <c r="BSM90"/>
      <c r="BSN90"/>
      <c r="BSO90"/>
      <c r="BSP90"/>
      <c r="BSQ90"/>
      <c r="BSR90"/>
      <c r="BSS90"/>
      <c r="BST90"/>
      <c r="BSU90"/>
      <c r="BSV90"/>
      <c r="BSW90"/>
      <c r="BSX90"/>
      <c r="BSY90"/>
      <c r="BSZ90"/>
      <c r="BTA90"/>
      <c r="BTB90"/>
      <c r="BTC90"/>
      <c r="BTD90"/>
      <c r="BTE90"/>
      <c r="BTF90"/>
      <c r="BTG90"/>
      <c r="BTH90"/>
      <c r="BTI90"/>
      <c r="BTJ90"/>
      <c r="BTK90"/>
      <c r="BTL90"/>
      <c r="BTM90"/>
      <c r="BTN90"/>
      <c r="BTO90"/>
      <c r="BTP90"/>
      <c r="BTQ90"/>
      <c r="BTR90"/>
      <c r="BTS90"/>
      <c r="BTT90"/>
      <c r="BTU90"/>
      <c r="BTV90"/>
      <c r="BTW90"/>
      <c r="BTX90"/>
      <c r="BTY90"/>
      <c r="BTZ90"/>
      <c r="BUA90"/>
      <c r="BUB90"/>
      <c r="BUC90"/>
      <c r="BUD90"/>
      <c r="BUE90"/>
      <c r="BUF90"/>
      <c r="BUG90"/>
      <c r="BUH90"/>
      <c r="BUI90"/>
      <c r="BUJ90"/>
      <c r="BUK90"/>
      <c r="BUL90"/>
      <c r="BUM90"/>
      <c r="BUN90"/>
      <c r="BUO90"/>
      <c r="BUP90"/>
      <c r="BUQ90"/>
      <c r="BUR90"/>
      <c r="BUS90"/>
      <c r="BUT90"/>
      <c r="BUU90"/>
      <c r="BUV90"/>
      <c r="BUW90"/>
      <c r="BUX90"/>
      <c r="BUY90"/>
      <c r="BUZ90"/>
      <c r="BVA90"/>
      <c r="BVB90"/>
      <c r="BVC90"/>
      <c r="BVD90"/>
      <c r="BVE90"/>
      <c r="BVF90"/>
      <c r="BVG90"/>
      <c r="BVH90"/>
      <c r="BVI90"/>
      <c r="BVJ90"/>
      <c r="BVK90"/>
      <c r="BVL90"/>
      <c r="BVM90"/>
      <c r="BVN90"/>
      <c r="BVO90"/>
      <c r="BVP90"/>
      <c r="BVQ90"/>
      <c r="BVR90"/>
      <c r="BVS90"/>
      <c r="BVT90"/>
      <c r="BVU90"/>
      <c r="BVV90"/>
      <c r="BVW90"/>
      <c r="BVX90"/>
      <c r="BVY90"/>
      <c r="BVZ90"/>
      <c r="BWA90"/>
      <c r="BWB90"/>
      <c r="BWC90"/>
      <c r="BWD90"/>
      <c r="BWE90"/>
      <c r="BWF90"/>
      <c r="BWG90"/>
      <c r="BWH90"/>
      <c r="BWI90"/>
      <c r="BWJ90"/>
      <c r="BWK90"/>
      <c r="BWL90"/>
      <c r="BWM90"/>
      <c r="BWN90"/>
      <c r="BWO90"/>
      <c r="BWP90"/>
      <c r="BWQ90"/>
      <c r="BWR90"/>
      <c r="BWS90"/>
      <c r="BWT90"/>
      <c r="BWU90"/>
      <c r="BWV90"/>
      <c r="BWW90"/>
      <c r="BWX90"/>
      <c r="BWY90"/>
      <c r="BWZ90"/>
      <c r="BXA90"/>
      <c r="BXB90"/>
      <c r="BXC90"/>
      <c r="BXD90"/>
      <c r="BXE90"/>
      <c r="BXF90"/>
      <c r="BXG90"/>
      <c r="BXH90"/>
      <c r="BXI90"/>
      <c r="BXJ90"/>
      <c r="BXK90"/>
      <c r="BXL90"/>
      <c r="BXM90"/>
      <c r="BXN90"/>
      <c r="BXO90"/>
      <c r="BXP90"/>
      <c r="BXQ90"/>
      <c r="BXR90"/>
      <c r="BXS90"/>
      <c r="BXT90"/>
      <c r="BXU90"/>
      <c r="BXV90"/>
      <c r="BXW90"/>
      <c r="BXX90"/>
      <c r="BXY90"/>
      <c r="BXZ90"/>
      <c r="BYA90"/>
      <c r="BYB90"/>
      <c r="BYC90"/>
      <c r="BYD90"/>
      <c r="BYE90"/>
      <c r="BYF90"/>
      <c r="BYG90"/>
      <c r="BYH90"/>
      <c r="BYI90"/>
      <c r="BYJ90"/>
      <c r="BYK90"/>
      <c r="BYL90"/>
      <c r="BYM90"/>
      <c r="BYN90"/>
      <c r="BYO90"/>
      <c r="BYP90"/>
      <c r="BYQ90"/>
      <c r="BYR90"/>
      <c r="BYS90"/>
      <c r="BYT90"/>
      <c r="BYU90"/>
      <c r="BYV90"/>
      <c r="BYW90"/>
      <c r="BYX90"/>
      <c r="BYY90"/>
      <c r="BYZ90"/>
      <c r="BZA90"/>
      <c r="BZB90"/>
      <c r="BZC90"/>
      <c r="BZD90"/>
      <c r="BZE90"/>
      <c r="BZF90"/>
      <c r="BZG90"/>
      <c r="BZH90"/>
      <c r="BZI90"/>
      <c r="BZJ90"/>
      <c r="BZK90"/>
      <c r="BZL90"/>
      <c r="BZM90"/>
      <c r="BZN90"/>
      <c r="BZO90"/>
      <c r="BZP90"/>
      <c r="BZQ90"/>
      <c r="BZR90"/>
      <c r="BZS90"/>
      <c r="BZT90"/>
      <c r="BZU90"/>
      <c r="BZV90"/>
      <c r="BZW90"/>
      <c r="BZX90"/>
      <c r="BZY90"/>
      <c r="BZZ90"/>
      <c r="CAA90"/>
      <c r="CAB90"/>
      <c r="CAC90"/>
      <c r="CAD90"/>
      <c r="CAE90"/>
      <c r="CAF90"/>
      <c r="CAG90"/>
      <c r="CAH90"/>
      <c r="CAI90"/>
      <c r="CAJ90"/>
      <c r="CAK90"/>
      <c r="CAL90"/>
      <c r="CAM90"/>
      <c r="CAN90"/>
      <c r="CAO90"/>
      <c r="CAP90"/>
      <c r="CAQ90"/>
      <c r="CAR90"/>
      <c r="CAS90"/>
      <c r="CAT90"/>
      <c r="CAU90"/>
      <c r="CAV90"/>
      <c r="CAW90"/>
      <c r="CAX90"/>
      <c r="CAY90"/>
      <c r="CAZ90"/>
      <c r="CBA90"/>
      <c r="CBB90"/>
      <c r="CBC90"/>
      <c r="CBD90"/>
      <c r="CBE90"/>
      <c r="CBF90"/>
      <c r="CBG90"/>
      <c r="CBH90"/>
      <c r="CBI90"/>
      <c r="CBJ90"/>
      <c r="CBK90"/>
      <c r="CBL90"/>
      <c r="CBM90"/>
      <c r="CBN90"/>
      <c r="CBO90"/>
      <c r="CBP90"/>
      <c r="CBQ90"/>
      <c r="CBR90"/>
      <c r="CBS90"/>
      <c r="CBT90"/>
      <c r="CBU90"/>
      <c r="CBV90"/>
      <c r="CBW90"/>
      <c r="CBX90"/>
      <c r="CBY90"/>
      <c r="CBZ90"/>
      <c r="CCA90"/>
      <c r="CCB90"/>
      <c r="CCC90"/>
      <c r="CCD90"/>
      <c r="CCE90"/>
      <c r="CCF90"/>
      <c r="CCG90"/>
      <c r="CCH90"/>
      <c r="CCI90"/>
      <c r="CCJ90"/>
      <c r="CCK90"/>
      <c r="CCL90"/>
      <c r="CCM90"/>
      <c r="CCN90"/>
      <c r="CCO90"/>
      <c r="CCP90"/>
      <c r="CCQ90"/>
      <c r="CCR90"/>
      <c r="CCS90"/>
      <c r="CCT90"/>
      <c r="CCU90"/>
      <c r="CCV90"/>
      <c r="CCW90"/>
      <c r="CCX90"/>
      <c r="CCY90"/>
      <c r="CCZ90"/>
      <c r="CDA90"/>
      <c r="CDB90"/>
      <c r="CDC90"/>
      <c r="CDD90"/>
      <c r="CDE90"/>
      <c r="CDF90"/>
      <c r="CDG90"/>
      <c r="CDH90"/>
      <c r="CDI90"/>
      <c r="CDJ90"/>
      <c r="CDK90"/>
      <c r="CDL90"/>
      <c r="CDM90"/>
      <c r="CDN90"/>
      <c r="CDO90"/>
      <c r="CDP90"/>
      <c r="CDQ90"/>
      <c r="CDR90"/>
      <c r="CDS90"/>
      <c r="CDT90"/>
      <c r="CDU90"/>
      <c r="CDV90"/>
      <c r="CDW90"/>
      <c r="CDX90"/>
      <c r="CDY90"/>
      <c r="CDZ90"/>
      <c r="CEA90"/>
      <c r="CEB90"/>
      <c r="CEC90"/>
      <c r="CED90"/>
      <c r="CEE90"/>
      <c r="CEF90"/>
      <c r="CEG90"/>
      <c r="CEH90"/>
      <c r="CEI90"/>
      <c r="CEJ90"/>
      <c r="CEK90"/>
      <c r="CEL90"/>
      <c r="CEM90"/>
      <c r="CEN90"/>
      <c r="CEO90"/>
      <c r="CEP90"/>
      <c r="CEQ90"/>
      <c r="CER90"/>
      <c r="CES90"/>
      <c r="CET90"/>
      <c r="CEU90"/>
      <c r="CEV90"/>
      <c r="CEW90"/>
      <c r="CEX90"/>
      <c r="CEY90"/>
      <c r="CEZ90"/>
      <c r="CFA90"/>
      <c r="CFB90"/>
      <c r="CFC90"/>
      <c r="CFD90"/>
      <c r="CFE90"/>
      <c r="CFF90"/>
      <c r="CFG90"/>
      <c r="CFH90"/>
      <c r="CFI90"/>
      <c r="CFJ90"/>
      <c r="CFK90"/>
      <c r="CFL90"/>
      <c r="CFM90"/>
      <c r="CFN90"/>
      <c r="CFO90"/>
      <c r="CFP90"/>
      <c r="CFQ90"/>
      <c r="CFR90"/>
      <c r="CFS90"/>
      <c r="CFT90"/>
      <c r="CFU90"/>
      <c r="CFV90"/>
      <c r="CFW90"/>
      <c r="CFX90"/>
      <c r="CFY90"/>
      <c r="CFZ90"/>
      <c r="CGA90"/>
      <c r="CGB90"/>
      <c r="CGC90"/>
      <c r="CGD90"/>
      <c r="CGE90"/>
      <c r="CGF90"/>
      <c r="CGG90"/>
      <c r="CGH90"/>
      <c r="CGI90"/>
      <c r="CGJ90"/>
      <c r="CGK90"/>
      <c r="CGL90"/>
      <c r="CGM90"/>
      <c r="CGN90"/>
      <c r="CGO90"/>
      <c r="CGP90"/>
      <c r="CGQ90"/>
      <c r="CGR90"/>
      <c r="CGS90"/>
      <c r="CGT90"/>
      <c r="CGU90"/>
      <c r="CGV90"/>
      <c r="CGW90"/>
      <c r="CGX90"/>
      <c r="CGY90"/>
      <c r="CGZ90"/>
      <c r="CHA90"/>
      <c r="CHB90"/>
      <c r="CHC90"/>
      <c r="CHD90"/>
      <c r="CHE90"/>
      <c r="CHF90"/>
      <c r="CHG90"/>
      <c r="CHH90"/>
      <c r="CHI90"/>
      <c r="CHJ90"/>
      <c r="CHK90"/>
      <c r="CHL90"/>
      <c r="CHM90"/>
      <c r="CHN90"/>
      <c r="CHO90"/>
      <c r="CHP90"/>
      <c r="CHQ90"/>
      <c r="CHR90"/>
      <c r="CHS90"/>
      <c r="CHT90"/>
      <c r="CHU90"/>
      <c r="CHV90"/>
      <c r="CHW90"/>
      <c r="CHX90"/>
      <c r="CHY90"/>
      <c r="CHZ90"/>
      <c r="CIA90"/>
      <c r="CIB90"/>
      <c r="CIC90"/>
      <c r="CID90"/>
      <c r="CIE90"/>
      <c r="CIF90"/>
      <c r="CIG90"/>
      <c r="CIH90"/>
      <c r="CII90"/>
      <c r="CIJ90"/>
      <c r="CIK90"/>
      <c r="CIL90"/>
      <c r="CIM90"/>
      <c r="CIN90"/>
      <c r="CIO90"/>
      <c r="CIP90"/>
      <c r="CIQ90"/>
      <c r="CIR90"/>
      <c r="CIS90"/>
      <c r="CIT90"/>
      <c r="CIU90"/>
      <c r="CIV90"/>
      <c r="CIW90"/>
      <c r="CIX90"/>
      <c r="CIY90"/>
      <c r="CIZ90"/>
      <c r="CJA90"/>
      <c r="CJB90"/>
      <c r="CJC90"/>
      <c r="CJD90"/>
      <c r="CJE90"/>
      <c r="CJF90"/>
      <c r="CJG90"/>
      <c r="CJH90"/>
      <c r="CJI90"/>
      <c r="CJJ90"/>
      <c r="CJK90"/>
      <c r="CJL90"/>
      <c r="CJM90"/>
      <c r="CJN90"/>
      <c r="CJO90"/>
      <c r="CJP90"/>
      <c r="CJQ90"/>
      <c r="CJR90"/>
      <c r="CJS90"/>
      <c r="CJT90"/>
      <c r="CJU90"/>
      <c r="CJV90"/>
      <c r="CJW90"/>
      <c r="CJX90"/>
      <c r="CJY90"/>
      <c r="CJZ90"/>
      <c r="CKA90"/>
      <c r="CKB90"/>
      <c r="CKC90"/>
      <c r="CKD90"/>
      <c r="CKE90"/>
      <c r="CKF90"/>
      <c r="CKG90"/>
      <c r="CKH90"/>
      <c r="CKI90"/>
      <c r="CKJ90"/>
      <c r="CKK90"/>
      <c r="CKL90"/>
      <c r="CKM90"/>
      <c r="CKN90"/>
      <c r="CKO90"/>
      <c r="CKP90"/>
      <c r="CKQ90"/>
      <c r="CKR90"/>
      <c r="CKS90"/>
      <c r="CKT90"/>
      <c r="CKU90"/>
      <c r="CKV90"/>
      <c r="CKW90"/>
      <c r="CKX90"/>
      <c r="CKY90"/>
      <c r="CKZ90"/>
      <c r="CLA90"/>
      <c r="CLB90"/>
      <c r="CLC90"/>
      <c r="CLD90"/>
      <c r="CLE90"/>
      <c r="CLF90"/>
      <c r="CLG90"/>
      <c r="CLH90"/>
      <c r="CLI90"/>
      <c r="CLJ90"/>
      <c r="CLK90"/>
      <c r="CLL90"/>
      <c r="CLM90"/>
      <c r="CLN90"/>
      <c r="CLO90"/>
      <c r="CLP90"/>
      <c r="CLQ90"/>
      <c r="CLR90"/>
      <c r="CLS90"/>
      <c r="CLT90"/>
      <c r="CLU90"/>
      <c r="CLV90"/>
      <c r="CLW90"/>
      <c r="CLX90"/>
      <c r="CLY90"/>
      <c r="CLZ90"/>
      <c r="CMA90"/>
      <c r="CMB90"/>
      <c r="CMC90"/>
      <c r="CMD90"/>
      <c r="CME90"/>
      <c r="CMF90"/>
      <c r="CMG90"/>
      <c r="CMH90"/>
      <c r="CMI90"/>
      <c r="CMJ90"/>
      <c r="CMK90"/>
      <c r="CML90"/>
      <c r="CMM90"/>
      <c r="CMN90"/>
      <c r="CMO90"/>
      <c r="CMP90"/>
      <c r="CMQ90"/>
      <c r="CMR90"/>
      <c r="CMS90"/>
      <c r="CMT90"/>
      <c r="CMU90"/>
      <c r="CMV90"/>
      <c r="CMW90"/>
      <c r="CMX90"/>
      <c r="CMY90"/>
      <c r="CMZ90"/>
      <c r="CNA90"/>
      <c r="CNB90"/>
      <c r="CNC90"/>
      <c r="CND90"/>
      <c r="CNE90"/>
      <c r="CNF90"/>
      <c r="CNG90"/>
      <c r="CNH90"/>
      <c r="CNI90"/>
      <c r="CNJ90"/>
      <c r="CNK90"/>
      <c r="CNL90"/>
      <c r="CNM90"/>
      <c r="CNN90"/>
      <c r="CNO90"/>
      <c r="CNP90"/>
      <c r="CNQ90"/>
      <c r="CNR90"/>
      <c r="CNS90"/>
      <c r="CNT90"/>
      <c r="CNU90"/>
      <c r="CNV90"/>
      <c r="CNW90"/>
      <c r="CNX90"/>
      <c r="CNY90"/>
      <c r="CNZ90"/>
      <c r="COA90"/>
      <c r="COB90"/>
      <c r="COC90"/>
      <c r="COD90"/>
      <c r="COE90"/>
      <c r="COF90"/>
      <c r="COG90"/>
      <c r="COH90"/>
      <c r="COI90"/>
      <c r="COJ90"/>
      <c r="COK90"/>
      <c r="COL90"/>
      <c r="COM90"/>
      <c r="CON90"/>
      <c r="COO90"/>
      <c r="COP90"/>
      <c r="COQ90"/>
      <c r="COR90"/>
      <c r="COS90"/>
      <c r="COT90"/>
      <c r="COU90"/>
      <c r="COV90"/>
      <c r="COW90"/>
      <c r="COX90"/>
      <c r="COY90"/>
      <c r="COZ90"/>
      <c r="CPA90"/>
      <c r="CPB90"/>
      <c r="CPC90"/>
      <c r="CPD90"/>
      <c r="CPE90"/>
      <c r="CPF90"/>
      <c r="CPG90"/>
      <c r="CPH90"/>
      <c r="CPI90"/>
      <c r="CPJ90"/>
      <c r="CPK90"/>
      <c r="CPL90"/>
      <c r="CPM90"/>
      <c r="CPN90"/>
      <c r="CPO90"/>
      <c r="CPP90"/>
      <c r="CPQ90"/>
      <c r="CPR90"/>
      <c r="CPS90"/>
      <c r="CPT90"/>
      <c r="CPU90"/>
      <c r="CPV90"/>
      <c r="CPW90"/>
      <c r="CPX90"/>
      <c r="CPY90"/>
      <c r="CPZ90"/>
      <c r="CQA90"/>
      <c r="CQB90"/>
      <c r="CQC90"/>
      <c r="CQD90"/>
      <c r="CQE90"/>
      <c r="CQF90"/>
      <c r="CQG90"/>
      <c r="CQH90"/>
      <c r="CQI90"/>
      <c r="CQJ90"/>
      <c r="CQK90"/>
      <c r="CQL90"/>
      <c r="CQM90"/>
      <c r="CQN90"/>
      <c r="CQO90"/>
      <c r="CQP90"/>
      <c r="CQQ90"/>
      <c r="CQR90"/>
      <c r="CQS90"/>
      <c r="CQT90"/>
      <c r="CQU90"/>
      <c r="CQV90"/>
      <c r="CQW90"/>
      <c r="CQX90"/>
      <c r="CQY90"/>
      <c r="CQZ90"/>
      <c r="CRA90"/>
      <c r="CRB90"/>
      <c r="CRC90"/>
      <c r="CRD90"/>
      <c r="CRE90"/>
      <c r="CRF90"/>
      <c r="CRG90"/>
      <c r="CRH90"/>
      <c r="CRI90"/>
      <c r="CRJ90"/>
      <c r="CRK90"/>
      <c r="CRL90"/>
      <c r="CRM90"/>
      <c r="CRN90"/>
      <c r="CRO90"/>
      <c r="CRP90"/>
      <c r="CRQ90"/>
      <c r="CRR90"/>
      <c r="CRS90"/>
      <c r="CRT90"/>
      <c r="CRU90"/>
      <c r="CRV90"/>
      <c r="CRW90"/>
      <c r="CRX90"/>
      <c r="CRY90"/>
      <c r="CRZ90"/>
      <c r="CSA90"/>
      <c r="CSB90"/>
      <c r="CSC90"/>
      <c r="CSD90"/>
      <c r="CSE90"/>
      <c r="CSF90"/>
      <c r="CSG90"/>
      <c r="CSH90"/>
      <c r="CSI90"/>
      <c r="CSJ90"/>
      <c r="CSK90"/>
      <c r="CSL90"/>
      <c r="CSM90"/>
      <c r="CSN90"/>
      <c r="CSO90"/>
      <c r="CSP90"/>
      <c r="CSQ90"/>
      <c r="CSR90"/>
      <c r="CSS90"/>
      <c r="CST90"/>
      <c r="CSU90"/>
      <c r="CSV90"/>
      <c r="CSW90"/>
      <c r="CSX90"/>
      <c r="CSY90"/>
      <c r="CSZ90"/>
      <c r="CTA90"/>
      <c r="CTB90"/>
      <c r="CTC90"/>
      <c r="CTD90"/>
      <c r="CTE90"/>
      <c r="CTF90"/>
      <c r="CTG90"/>
      <c r="CTH90"/>
      <c r="CTI90"/>
      <c r="CTJ90"/>
      <c r="CTK90"/>
      <c r="CTL90"/>
      <c r="CTM90"/>
      <c r="CTN90"/>
      <c r="CTO90"/>
      <c r="CTP90"/>
      <c r="CTQ90"/>
      <c r="CTR90"/>
      <c r="CTS90"/>
      <c r="CTT90"/>
      <c r="CTU90"/>
      <c r="CTV90"/>
      <c r="CTW90"/>
      <c r="CTX90"/>
      <c r="CTY90"/>
      <c r="CTZ90"/>
      <c r="CUA90"/>
      <c r="CUB90"/>
      <c r="CUC90"/>
      <c r="CUD90"/>
      <c r="CUE90"/>
      <c r="CUF90"/>
      <c r="CUG90"/>
      <c r="CUH90"/>
      <c r="CUI90"/>
      <c r="CUJ90"/>
      <c r="CUK90"/>
      <c r="CUL90"/>
      <c r="CUM90"/>
      <c r="CUN90"/>
      <c r="CUO90"/>
      <c r="CUP90"/>
      <c r="CUQ90"/>
      <c r="CUR90"/>
      <c r="CUS90"/>
      <c r="CUT90"/>
      <c r="CUU90"/>
      <c r="CUV90"/>
      <c r="CUW90"/>
      <c r="CUX90"/>
      <c r="CUY90"/>
      <c r="CUZ90"/>
      <c r="CVA90"/>
      <c r="CVB90"/>
      <c r="CVC90"/>
      <c r="CVD90"/>
      <c r="CVE90"/>
      <c r="CVF90"/>
      <c r="CVG90"/>
      <c r="CVH90"/>
      <c r="CVI90"/>
      <c r="CVJ90"/>
      <c r="CVK90"/>
      <c r="CVL90"/>
      <c r="CVM90"/>
      <c r="CVN90"/>
      <c r="CVO90"/>
      <c r="CVP90"/>
      <c r="CVQ90"/>
      <c r="CVR90"/>
      <c r="CVS90"/>
      <c r="CVT90"/>
      <c r="CVU90"/>
      <c r="CVV90"/>
      <c r="CVW90"/>
      <c r="CVX90"/>
      <c r="CVY90"/>
      <c r="CVZ90"/>
      <c r="CWA90"/>
      <c r="CWB90"/>
      <c r="CWC90"/>
      <c r="CWD90"/>
      <c r="CWE90"/>
      <c r="CWF90"/>
      <c r="CWG90"/>
      <c r="CWH90"/>
      <c r="CWI90"/>
      <c r="CWJ90"/>
      <c r="CWK90"/>
      <c r="CWL90"/>
      <c r="CWM90"/>
      <c r="CWN90"/>
      <c r="CWO90"/>
      <c r="CWP90"/>
      <c r="CWQ90"/>
      <c r="CWR90"/>
      <c r="CWS90"/>
      <c r="CWT90"/>
      <c r="CWU90"/>
      <c r="CWV90"/>
      <c r="CWW90"/>
      <c r="CWX90"/>
      <c r="CWY90"/>
      <c r="CWZ90"/>
      <c r="CXA90"/>
      <c r="CXB90"/>
      <c r="CXC90"/>
      <c r="CXD90"/>
      <c r="CXE90"/>
      <c r="CXF90"/>
      <c r="CXG90"/>
      <c r="CXH90"/>
      <c r="CXI90"/>
      <c r="CXJ90"/>
      <c r="CXK90"/>
      <c r="CXL90"/>
      <c r="CXM90"/>
      <c r="CXN90"/>
      <c r="CXO90"/>
      <c r="CXP90"/>
      <c r="CXQ90"/>
      <c r="CXR90"/>
      <c r="CXS90"/>
      <c r="CXT90"/>
      <c r="CXU90"/>
      <c r="CXV90"/>
      <c r="CXW90"/>
      <c r="CXX90"/>
      <c r="CXY90"/>
      <c r="CXZ90"/>
      <c r="CYA90"/>
      <c r="CYB90"/>
      <c r="CYC90"/>
      <c r="CYD90"/>
      <c r="CYE90"/>
      <c r="CYF90"/>
      <c r="CYG90"/>
      <c r="CYH90"/>
      <c r="CYI90"/>
      <c r="CYJ90"/>
      <c r="CYK90"/>
      <c r="CYL90"/>
      <c r="CYM90"/>
      <c r="CYN90"/>
      <c r="CYO90"/>
      <c r="CYP90"/>
      <c r="CYQ90"/>
      <c r="CYR90"/>
      <c r="CYS90"/>
      <c r="CYT90"/>
      <c r="CYU90"/>
      <c r="CYV90"/>
      <c r="CYW90"/>
      <c r="CYX90"/>
      <c r="CYY90"/>
      <c r="CYZ90"/>
      <c r="CZA90"/>
      <c r="CZB90"/>
      <c r="CZC90"/>
      <c r="CZD90"/>
      <c r="CZE90"/>
      <c r="CZF90"/>
      <c r="CZG90"/>
      <c r="CZH90"/>
      <c r="CZI90"/>
      <c r="CZJ90"/>
      <c r="CZK90"/>
      <c r="CZL90"/>
      <c r="CZM90"/>
      <c r="CZN90"/>
      <c r="CZO90"/>
      <c r="CZP90"/>
      <c r="CZQ90"/>
      <c r="CZR90"/>
      <c r="CZS90"/>
      <c r="CZT90"/>
      <c r="CZU90"/>
      <c r="CZV90"/>
      <c r="CZW90"/>
      <c r="CZX90"/>
      <c r="CZY90"/>
      <c r="CZZ90"/>
      <c r="DAA90"/>
      <c r="DAB90"/>
      <c r="DAC90"/>
      <c r="DAD90"/>
      <c r="DAE90"/>
      <c r="DAF90"/>
      <c r="DAG90"/>
      <c r="DAH90"/>
      <c r="DAI90"/>
      <c r="DAJ90"/>
      <c r="DAK90"/>
      <c r="DAL90"/>
      <c r="DAM90"/>
      <c r="DAN90"/>
      <c r="DAO90"/>
      <c r="DAP90"/>
      <c r="DAQ90"/>
      <c r="DAR90"/>
      <c r="DAS90"/>
      <c r="DAT90"/>
      <c r="DAU90"/>
      <c r="DAV90"/>
      <c r="DAW90"/>
      <c r="DAX90"/>
      <c r="DAY90"/>
      <c r="DAZ90"/>
      <c r="DBA90"/>
      <c r="DBB90"/>
      <c r="DBC90"/>
      <c r="DBD90"/>
      <c r="DBE90"/>
      <c r="DBF90"/>
      <c r="DBG90"/>
      <c r="DBH90"/>
      <c r="DBI90"/>
      <c r="DBJ90"/>
      <c r="DBK90"/>
      <c r="DBL90"/>
      <c r="DBM90"/>
      <c r="DBN90"/>
      <c r="DBO90"/>
      <c r="DBP90"/>
      <c r="DBQ90"/>
      <c r="DBR90"/>
      <c r="DBS90"/>
      <c r="DBT90"/>
      <c r="DBU90"/>
      <c r="DBV90"/>
      <c r="DBW90"/>
      <c r="DBX90"/>
      <c r="DBY90"/>
      <c r="DBZ90"/>
      <c r="DCA90"/>
      <c r="DCB90"/>
      <c r="DCC90"/>
      <c r="DCD90"/>
      <c r="DCE90"/>
      <c r="DCF90"/>
      <c r="DCG90"/>
      <c r="DCH90"/>
      <c r="DCI90"/>
      <c r="DCJ90"/>
      <c r="DCK90"/>
      <c r="DCL90"/>
      <c r="DCM90"/>
      <c r="DCN90"/>
      <c r="DCO90"/>
      <c r="DCP90"/>
      <c r="DCQ90"/>
      <c r="DCR90"/>
      <c r="DCS90"/>
      <c r="DCT90"/>
      <c r="DCU90"/>
      <c r="DCV90"/>
      <c r="DCW90"/>
      <c r="DCX90"/>
      <c r="DCY90"/>
      <c r="DCZ90"/>
      <c r="DDA90"/>
      <c r="DDB90"/>
      <c r="DDC90"/>
      <c r="DDD90"/>
      <c r="DDE90"/>
      <c r="DDF90"/>
      <c r="DDG90"/>
      <c r="DDH90"/>
      <c r="DDI90"/>
      <c r="DDJ90"/>
      <c r="DDK90"/>
      <c r="DDL90"/>
      <c r="DDM90"/>
      <c r="DDN90"/>
      <c r="DDO90"/>
      <c r="DDP90"/>
      <c r="DDQ90"/>
      <c r="DDR90"/>
      <c r="DDS90"/>
      <c r="DDT90"/>
      <c r="DDU90"/>
      <c r="DDV90"/>
      <c r="DDW90"/>
      <c r="DDX90"/>
      <c r="DDY90"/>
      <c r="DDZ90"/>
      <c r="DEA90"/>
      <c r="DEB90"/>
      <c r="DEC90"/>
      <c r="DED90"/>
      <c r="DEE90"/>
      <c r="DEF90"/>
      <c r="DEG90"/>
      <c r="DEH90"/>
      <c r="DEI90"/>
      <c r="DEJ90"/>
      <c r="DEK90"/>
      <c r="DEL90"/>
      <c r="DEM90"/>
      <c r="DEN90"/>
      <c r="DEO90"/>
      <c r="DEP90"/>
      <c r="DEQ90"/>
      <c r="DER90"/>
      <c r="DES90"/>
      <c r="DET90"/>
      <c r="DEU90"/>
      <c r="DEV90"/>
      <c r="DEW90"/>
      <c r="DEX90"/>
      <c r="DEY90"/>
      <c r="DEZ90"/>
      <c r="DFA90"/>
      <c r="DFB90"/>
      <c r="DFC90"/>
      <c r="DFD90"/>
      <c r="DFE90"/>
      <c r="DFF90"/>
      <c r="DFG90"/>
      <c r="DFH90"/>
      <c r="DFI90"/>
      <c r="DFJ90"/>
      <c r="DFK90"/>
      <c r="DFL90"/>
      <c r="DFM90"/>
      <c r="DFN90"/>
      <c r="DFO90"/>
      <c r="DFP90"/>
      <c r="DFQ90"/>
      <c r="DFR90"/>
      <c r="DFS90"/>
      <c r="DFT90"/>
      <c r="DFU90"/>
      <c r="DFV90"/>
      <c r="DFW90"/>
      <c r="DFX90"/>
      <c r="DFY90"/>
      <c r="DFZ90"/>
      <c r="DGA90"/>
      <c r="DGB90"/>
      <c r="DGC90"/>
      <c r="DGD90"/>
      <c r="DGE90"/>
      <c r="DGF90"/>
      <c r="DGG90"/>
      <c r="DGH90"/>
      <c r="DGI90"/>
      <c r="DGJ90"/>
      <c r="DGK90"/>
      <c r="DGL90"/>
      <c r="DGM90"/>
      <c r="DGN90"/>
      <c r="DGO90"/>
      <c r="DGP90"/>
      <c r="DGQ90"/>
      <c r="DGR90"/>
      <c r="DGS90"/>
      <c r="DGT90"/>
      <c r="DGU90"/>
      <c r="DGV90"/>
      <c r="DGW90"/>
      <c r="DGX90"/>
      <c r="DGY90"/>
      <c r="DGZ90"/>
      <c r="DHA90"/>
      <c r="DHB90"/>
      <c r="DHC90"/>
      <c r="DHD90"/>
      <c r="DHE90"/>
      <c r="DHF90"/>
      <c r="DHG90"/>
      <c r="DHH90"/>
      <c r="DHI90"/>
      <c r="DHJ90"/>
      <c r="DHK90"/>
      <c r="DHL90"/>
      <c r="DHM90"/>
      <c r="DHN90"/>
      <c r="DHO90"/>
      <c r="DHP90"/>
      <c r="DHQ90"/>
      <c r="DHR90"/>
      <c r="DHS90"/>
      <c r="DHT90"/>
      <c r="DHU90"/>
      <c r="DHV90"/>
      <c r="DHW90"/>
      <c r="DHX90"/>
      <c r="DHY90"/>
      <c r="DHZ90"/>
      <c r="DIA90"/>
      <c r="DIB90"/>
      <c r="DIC90"/>
      <c r="DID90"/>
      <c r="DIE90"/>
      <c r="DIF90"/>
      <c r="DIG90"/>
      <c r="DIH90"/>
      <c r="DII90"/>
      <c r="DIJ90"/>
      <c r="DIK90"/>
      <c r="DIL90"/>
      <c r="DIM90"/>
      <c r="DIN90"/>
      <c r="DIO90"/>
      <c r="DIP90"/>
      <c r="DIQ90"/>
      <c r="DIR90"/>
      <c r="DIS90"/>
      <c r="DIT90"/>
      <c r="DIU90"/>
      <c r="DIV90"/>
      <c r="DIW90"/>
      <c r="DIX90"/>
      <c r="DIY90"/>
      <c r="DIZ90"/>
      <c r="DJA90"/>
      <c r="DJB90"/>
      <c r="DJC90"/>
      <c r="DJD90"/>
      <c r="DJE90"/>
      <c r="DJF90"/>
      <c r="DJG90"/>
      <c r="DJH90"/>
      <c r="DJI90"/>
      <c r="DJJ90"/>
      <c r="DJK90"/>
      <c r="DJL90"/>
      <c r="DJM90"/>
      <c r="DJN90"/>
      <c r="DJO90"/>
      <c r="DJP90"/>
      <c r="DJQ90"/>
      <c r="DJR90"/>
      <c r="DJS90"/>
      <c r="DJT90"/>
      <c r="DJU90"/>
      <c r="DJV90"/>
      <c r="DJW90"/>
      <c r="DJX90"/>
      <c r="DJY90"/>
      <c r="DJZ90"/>
      <c r="DKA90"/>
      <c r="DKB90"/>
      <c r="DKC90"/>
      <c r="DKD90"/>
      <c r="DKE90"/>
      <c r="DKF90"/>
      <c r="DKG90"/>
      <c r="DKH90"/>
      <c r="DKI90"/>
      <c r="DKJ90"/>
      <c r="DKK90"/>
      <c r="DKL90"/>
      <c r="DKM90"/>
      <c r="DKN90"/>
      <c r="DKO90"/>
      <c r="DKP90"/>
      <c r="DKQ90"/>
      <c r="DKR90"/>
      <c r="DKS90"/>
      <c r="DKT90"/>
      <c r="DKU90"/>
      <c r="DKV90"/>
      <c r="DKW90"/>
      <c r="DKX90"/>
      <c r="DKY90"/>
      <c r="DKZ90"/>
      <c r="DLA90"/>
      <c r="DLB90"/>
      <c r="DLC90"/>
      <c r="DLD90"/>
      <c r="DLE90"/>
      <c r="DLF90"/>
      <c r="DLG90"/>
      <c r="DLH90"/>
      <c r="DLI90"/>
      <c r="DLJ90"/>
      <c r="DLK90"/>
      <c r="DLL90"/>
      <c r="DLM90"/>
      <c r="DLN90"/>
      <c r="DLO90"/>
      <c r="DLP90"/>
      <c r="DLQ90"/>
      <c r="DLR90"/>
      <c r="DLS90"/>
      <c r="DLT90"/>
      <c r="DLU90"/>
      <c r="DLV90"/>
      <c r="DLW90"/>
      <c r="DLX90"/>
      <c r="DLY90"/>
      <c r="DLZ90"/>
      <c r="DMA90"/>
      <c r="DMB90"/>
      <c r="DMC90"/>
      <c r="DMD90"/>
      <c r="DME90"/>
      <c r="DMF90"/>
      <c r="DMG90"/>
      <c r="DMH90"/>
      <c r="DMI90"/>
      <c r="DMJ90"/>
      <c r="DMK90"/>
      <c r="DML90"/>
      <c r="DMM90"/>
      <c r="DMN90"/>
      <c r="DMO90"/>
      <c r="DMP90"/>
      <c r="DMQ90"/>
      <c r="DMR90"/>
      <c r="DMS90"/>
      <c r="DMT90"/>
      <c r="DMU90"/>
      <c r="DMV90"/>
      <c r="DMW90"/>
      <c r="DMX90"/>
      <c r="DMY90"/>
      <c r="DMZ90"/>
      <c r="DNA90"/>
      <c r="DNB90"/>
      <c r="DNC90"/>
      <c r="DND90"/>
      <c r="DNE90"/>
      <c r="DNF90"/>
      <c r="DNG90"/>
      <c r="DNH90"/>
      <c r="DNI90"/>
      <c r="DNJ90"/>
      <c r="DNK90"/>
      <c r="DNL90"/>
      <c r="DNM90"/>
      <c r="DNN90"/>
      <c r="DNO90"/>
      <c r="DNP90"/>
      <c r="DNQ90"/>
      <c r="DNR90"/>
      <c r="DNS90"/>
      <c r="DNT90"/>
      <c r="DNU90"/>
      <c r="DNV90"/>
      <c r="DNW90"/>
      <c r="DNX90"/>
      <c r="DNY90"/>
      <c r="DNZ90"/>
      <c r="DOA90"/>
      <c r="DOB90"/>
      <c r="DOC90"/>
      <c r="DOD90"/>
      <c r="DOE90"/>
      <c r="DOF90"/>
      <c r="DOG90"/>
      <c r="DOH90"/>
      <c r="DOI90"/>
      <c r="DOJ90"/>
      <c r="DOK90"/>
      <c r="DOL90"/>
      <c r="DOM90"/>
      <c r="DON90"/>
      <c r="DOO90"/>
      <c r="DOP90"/>
      <c r="DOQ90"/>
      <c r="DOR90"/>
      <c r="DOS90"/>
      <c r="DOT90"/>
      <c r="DOU90"/>
      <c r="DOV90"/>
      <c r="DOW90"/>
      <c r="DOX90"/>
      <c r="DOY90"/>
      <c r="DOZ90"/>
      <c r="DPA90"/>
      <c r="DPB90"/>
      <c r="DPC90"/>
      <c r="DPD90"/>
      <c r="DPE90"/>
      <c r="DPF90"/>
      <c r="DPG90"/>
      <c r="DPH90"/>
      <c r="DPI90"/>
      <c r="DPJ90"/>
      <c r="DPK90"/>
      <c r="DPL90"/>
      <c r="DPM90"/>
      <c r="DPN90"/>
      <c r="DPO90"/>
      <c r="DPP90"/>
      <c r="DPQ90"/>
      <c r="DPR90"/>
      <c r="DPS90"/>
      <c r="DPT90"/>
      <c r="DPU90"/>
      <c r="DPV90"/>
      <c r="DPW90"/>
      <c r="DPX90"/>
      <c r="DPY90"/>
      <c r="DPZ90"/>
      <c r="DQA90"/>
      <c r="DQB90"/>
      <c r="DQC90"/>
      <c r="DQD90"/>
      <c r="DQE90"/>
      <c r="DQF90"/>
      <c r="DQG90"/>
      <c r="DQH90"/>
      <c r="DQI90"/>
      <c r="DQJ90"/>
      <c r="DQK90"/>
      <c r="DQL90"/>
      <c r="DQM90"/>
      <c r="DQN90"/>
      <c r="DQO90"/>
      <c r="DQP90"/>
      <c r="DQQ90"/>
      <c r="DQR90"/>
      <c r="DQS90"/>
      <c r="DQT90"/>
      <c r="DQU90"/>
      <c r="DQV90"/>
      <c r="DQW90"/>
      <c r="DQX90"/>
      <c r="DQY90"/>
      <c r="DQZ90"/>
      <c r="DRA90"/>
      <c r="DRB90"/>
      <c r="DRC90"/>
      <c r="DRD90"/>
      <c r="DRE90"/>
      <c r="DRF90"/>
      <c r="DRG90"/>
      <c r="DRH90"/>
      <c r="DRI90"/>
      <c r="DRJ90"/>
      <c r="DRK90"/>
      <c r="DRL90"/>
      <c r="DRM90"/>
      <c r="DRN90"/>
      <c r="DRO90"/>
      <c r="DRP90"/>
      <c r="DRQ90"/>
      <c r="DRR90"/>
      <c r="DRS90"/>
      <c r="DRT90"/>
      <c r="DRU90"/>
      <c r="DRV90"/>
      <c r="DRW90"/>
      <c r="DRX90"/>
      <c r="DRY90"/>
      <c r="DRZ90"/>
      <c r="DSA90"/>
      <c r="DSB90"/>
      <c r="DSC90"/>
      <c r="DSD90"/>
      <c r="DSE90"/>
      <c r="DSF90"/>
      <c r="DSG90"/>
      <c r="DSH90"/>
      <c r="DSI90"/>
      <c r="DSJ90"/>
      <c r="DSK90"/>
      <c r="DSL90"/>
      <c r="DSM90"/>
      <c r="DSN90"/>
      <c r="DSO90"/>
      <c r="DSP90"/>
      <c r="DSQ90"/>
      <c r="DSR90"/>
      <c r="DSS90"/>
      <c r="DST90"/>
      <c r="DSU90"/>
      <c r="DSV90"/>
      <c r="DSW90"/>
      <c r="DSX90"/>
      <c r="DSY90"/>
      <c r="DSZ90"/>
      <c r="DTA90"/>
      <c r="DTB90"/>
      <c r="DTC90"/>
      <c r="DTD90"/>
      <c r="DTE90"/>
      <c r="DTF90"/>
      <c r="DTG90"/>
      <c r="DTH90"/>
      <c r="DTI90"/>
      <c r="DTJ90"/>
      <c r="DTK90"/>
      <c r="DTL90"/>
      <c r="DTM90"/>
      <c r="DTN90"/>
      <c r="DTO90"/>
      <c r="DTP90"/>
      <c r="DTQ90"/>
      <c r="DTR90"/>
      <c r="DTS90"/>
      <c r="DTT90"/>
      <c r="DTU90"/>
      <c r="DTV90"/>
      <c r="DTW90"/>
      <c r="DTX90"/>
      <c r="DTY90"/>
      <c r="DTZ90"/>
      <c r="DUA90"/>
      <c r="DUB90"/>
      <c r="DUC90"/>
      <c r="DUD90"/>
      <c r="DUE90"/>
      <c r="DUF90"/>
      <c r="DUG90"/>
      <c r="DUH90"/>
      <c r="DUI90"/>
      <c r="DUJ90"/>
      <c r="DUK90"/>
      <c r="DUL90"/>
      <c r="DUM90"/>
      <c r="DUN90"/>
      <c r="DUO90"/>
      <c r="DUP90"/>
      <c r="DUQ90"/>
      <c r="DUR90"/>
      <c r="DUS90"/>
      <c r="DUT90"/>
      <c r="DUU90"/>
      <c r="DUV90"/>
      <c r="DUW90"/>
      <c r="DUX90"/>
      <c r="DUY90"/>
      <c r="DUZ90"/>
      <c r="DVA90"/>
      <c r="DVB90"/>
      <c r="DVC90"/>
      <c r="DVD90"/>
      <c r="DVE90"/>
      <c r="DVF90"/>
      <c r="DVG90"/>
      <c r="DVH90"/>
      <c r="DVI90"/>
      <c r="DVJ90"/>
      <c r="DVK90"/>
      <c r="DVL90"/>
      <c r="DVM90"/>
      <c r="DVN90"/>
      <c r="DVO90"/>
      <c r="DVP90"/>
      <c r="DVQ90"/>
      <c r="DVR90"/>
      <c r="DVS90"/>
      <c r="DVT90"/>
      <c r="DVU90"/>
      <c r="DVV90"/>
      <c r="DVW90"/>
      <c r="DVX90"/>
      <c r="DVY90"/>
      <c r="DVZ90"/>
      <c r="DWA90"/>
      <c r="DWB90"/>
      <c r="DWC90"/>
      <c r="DWD90"/>
      <c r="DWE90"/>
      <c r="DWF90"/>
      <c r="DWG90"/>
      <c r="DWH90"/>
      <c r="DWI90"/>
      <c r="DWJ90"/>
      <c r="DWK90"/>
      <c r="DWL90"/>
      <c r="DWM90"/>
      <c r="DWN90"/>
      <c r="DWO90"/>
      <c r="DWP90"/>
      <c r="DWQ90"/>
      <c r="DWR90"/>
      <c r="DWS90"/>
      <c r="DWT90"/>
      <c r="DWU90"/>
      <c r="DWV90"/>
      <c r="DWW90"/>
      <c r="DWX90"/>
      <c r="DWY90"/>
      <c r="DWZ90"/>
      <c r="DXA90"/>
      <c r="DXB90"/>
      <c r="DXC90"/>
      <c r="DXD90"/>
      <c r="DXE90"/>
      <c r="DXF90"/>
      <c r="DXG90"/>
      <c r="DXH90"/>
      <c r="DXI90"/>
      <c r="DXJ90"/>
      <c r="DXK90"/>
      <c r="DXL90"/>
      <c r="DXM90"/>
      <c r="DXN90"/>
      <c r="DXO90"/>
      <c r="DXP90"/>
      <c r="DXQ90"/>
      <c r="DXR90"/>
      <c r="DXS90"/>
      <c r="DXT90"/>
      <c r="DXU90"/>
      <c r="DXV90"/>
      <c r="DXW90"/>
      <c r="DXX90"/>
      <c r="DXY90"/>
      <c r="DXZ90"/>
      <c r="DYA90"/>
      <c r="DYB90"/>
      <c r="DYC90"/>
      <c r="DYD90"/>
      <c r="DYE90"/>
      <c r="DYF90"/>
      <c r="DYG90"/>
      <c r="DYH90"/>
      <c r="DYI90"/>
      <c r="DYJ90"/>
      <c r="DYK90"/>
      <c r="DYL90"/>
      <c r="DYM90"/>
      <c r="DYN90"/>
      <c r="DYO90"/>
      <c r="DYP90"/>
      <c r="DYQ90"/>
      <c r="DYR90"/>
      <c r="DYS90"/>
      <c r="DYT90"/>
      <c r="DYU90"/>
      <c r="DYV90"/>
      <c r="DYW90"/>
      <c r="DYX90"/>
      <c r="DYY90"/>
      <c r="DYZ90"/>
      <c r="DZA90"/>
      <c r="DZB90"/>
      <c r="DZC90"/>
      <c r="DZD90"/>
      <c r="DZE90"/>
      <c r="DZF90"/>
      <c r="DZG90"/>
      <c r="DZH90"/>
      <c r="DZI90"/>
      <c r="DZJ90"/>
      <c r="DZK90"/>
      <c r="DZL90"/>
      <c r="DZM90"/>
      <c r="DZN90"/>
      <c r="DZO90"/>
      <c r="DZP90"/>
      <c r="DZQ90"/>
      <c r="DZR90"/>
      <c r="DZS90"/>
      <c r="DZT90"/>
      <c r="DZU90"/>
      <c r="DZV90"/>
      <c r="DZW90"/>
      <c r="DZX90"/>
      <c r="DZY90"/>
      <c r="DZZ90"/>
      <c r="EAA90"/>
      <c r="EAB90"/>
      <c r="EAC90"/>
      <c r="EAD90"/>
      <c r="EAE90"/>
      <c r="EAF90"/>
      <c r="EAG90"/>
      <c r="EAH90"/>
      <c r="EAI90"/>
      <c r="EAJ90"/>
      <c r="EAK90"/>
      <c r="EAL90"/>
      <c r="EAM90"/>
      <c r="EAN90"/>
      <c r="EAO90"/>
      <c r="EAP90"/>
      <c r="EAQ90"/>
      <c r="EAR90"/>
      <c r="EAS90"/>
      <c r="EAT90"/>
      <c r="EAU90"/>
      <c r="EAV90"/>
      <c r="EAW90"/>
      <c r="EAX90"/>
      <c r="EAY90"/>
      <c r="EAZ90"/>
      <c r="EBA90"/>
      <c r="EBB90"/>
      <c r="EBC90"/>
      <c r="EBD90"/>
      <c r="EBE90"/>
      <c r="EBF90"/>
      <c r="EBG90"/>
      <c r="EBH90"/>
      <c r="EBI90"/>
      <c r="EBJ90"/>
      <c r="EBK90"/>
      <c r="EBL90"/>
      <c r="EBM90"/>
      <c r="EBN90"/>
      <c r="EBO90"/>
      <c r="EBP90"/>
      <c r="EBQ90"/>
      <c r="EBR90"/>
      <c r="EBS90"/>
      <c r="EBT90"/>
      <c r="EBU90"/>
      <c r="EBV90"/>
      <c r="EBW90"/>
      <c r="EBX90"/>
      <c r="EBY90"/>
      <c r="EBZ90"/>
      <c r="ECA90"/>
      <c r="ECB90"/>
      <c r="ECC90"/>
      <c r="ECD90"/>
      <c r="ECE90"/>
      <c r="ECF90"/>
      <c r="ECG90"/>
      <c r="ECH90"/>
      <c r="ECI90"/>
      <c r="ECJ90"/>
      <c r="ECK90"/>
      <c r="ECL90"/>
      <c r="ECM90"/>
      <c r="ECN90"/>
      <c r="ECO90"/>
      <c r="ECP90"/>
      <c r="ECQ90"/>
      <c r="ECR90"/>
      <c r="ECS90"/>
      <c r="ECT90"/>
      <c r="ECU90"/>
      <c r="ECV90"/>
      <c r="ECW90"/>
      <c r="ECX90"/>
      <c r="ECY90"/>
      <c r="ECZ90"/>
      <c r="EDA90"/>
      <c r="EDB90"/>
      <c r="EDC90"/>
      <c r="EDD90"/>
      <c r="EDE90"/>
      <c r="EDF90"/>
      <c r="EDG90"/>
      <c r="EDH90"/>
      <c r="EDI90"/>
      <c r="EDJ90"/>
      <c r="EDK90"/>
      <c r="EDL90"/>
      <c r="EDM90"/>
      <c r="EDN90"/>
      <c r="EDO90"/>
      <c r="EDP90"/>
      <c r="EDQ90"/>
      <c r="EDR90"/>
      <c r="EDS90"/>
      <c r="EDT90"/>
      <c r="EDU90"/>
      <c r="EDV90"/>
      <c r="EDW90"/>
      <c r="EDX90"/>
      <c r="EDY90"/>
      <c r="EDZ90"/>
      <c r="EEA90"/>
      <c r="EEB90"/>
      <c r="EEC90"/>
      <c r="EED90"/>
      <c r="EEE90"/>
      <c r="EEF90"/>
      <c r="EEG90"/>
      <c r="EEH90"/>
      <c r="EEI90"/>
      <c r="EEJ90"/>
      <c r="EEK90"/>
      <c r="EEL90"/>
      <c r="EEM90"/>
      <c r="EEN90"/>
      <c r="EEO90"/>
      <c r="EEP90"/>
      <c r="EEQ90"/>
      <c r="EER90"/>
      <c r="EES90"/>
      <c r="EET90"/>
      <c r="EEU90"/>
      <c r="EEV90"/>
      <c r="EEW90"/>
      <c r="EEX90"/>
      <c r="EEY90"/>
      <c r="EEZ90"/>
      <c r="EFA90"/>
      <c r="EFB90"/>
      <c r="EFC90"/>
      <c r="EFD90"/>
      <c r="EFE90"/>
      <c r="EFF90"/>
      <c r="EFG90"/>
      <c r="EFH90"/>
      <c r="EFI90"/>
      <c r="EFJ90"/>
      <c r="EFK90"/>
      <c r="EFL90"/>
      <c r="EFM90"/>
      <c r="EFN90"/>
      <c r="EFO90"/>
      <c r="EFP90"/>
      <c r="EFQ90"/>
      <c r="EFR90"/>
      <c r="EFS90"/>
      <c r="EFT90"/>
      <c r="EFU90"/>
      <c r="EFV90"/>
      <c r="EFW90"/>
      <c r="EFX90"/>
      <c r="EFY90"/>
      <c r="EFZ90"/>
      <c r="EGA90"/>
      <c r="EGB90"/>
      <c r="EGC90"/>
      <c r="EGD90"/>
      <c r="EGE90"/>
      <c r="EGF90"/>
      <c r="EGG90"/>
      <c r="EGH90"/>
      <c r="EGI90"/>
      <c r="EGJ90"/>
      <c r="EGK90"/>
      <c r="EGL90"/>
      <c r="EGM90"/>
      <c r="EGN90"/>
      <c r="EGO90"/>
      <c r="EGP90"/>
      <c r="EGQ90"/>
      <c r="EGR90"/>
      <c r="EGS90"/>
      <c r="EGT90"/>
      <c r="EGU90"/>
      <c r="EGV90"/>
      <c r="EGW90"/>
      <c r="EGX90"/>
      <c r="EGY90"/>
      <c r="EGZ90"/>
      <c r="EHA90"/>
      <c r="EHB90"/>
      <c r="EHC90"/>
      <c r="EHD90"/>
      <c r="EHE90"/>
      <c r="EHF90"/>
      <c r="EHG90"/>
      <c r="EHH90"/>
      <c r="EHI90"/>
      <c r="EHJ90"/>
      <c r="EHK90"/>
      <c r="EHL90"/>
      <c r="EHM90"/>
      <c r="EHN90"/>
      <c r="EHO90"/>
      <c r="EHP90"/>
      <c r="EHQ90"/>
      <c r="EHR90"/>
      <c r="EHS90"/>
      <c r="EHT90"/>
      <c r="EHU90"/>
      <c r="EHV90"/>
      <c r="EHW90"/>
      <c r="EHX90"/>
      <c r="EHY90"/>
      <c r="EHZ90"/>
      <c r="EIA90"/>
      <c r="EIB90"/>
      <c r="EIC90"/>
      <c r="EID90"/>
      <c r="EIE90"/>
      <c r="EIF90"/>
      <c r="EIG90"/>
      <c r="EIH90"/>
      <c r="EII90"/>
      <c r="EIJ90"/>
      <c r="EIK90"/>
      <c r="EIL90"/>
      <c r="EIM90"/>
      <c r="EIN90"/>
      <c r="EIO90"/>
      <c r="EIP90"/>
      <c r="EIQ90"/>
      <c r="EIR90"/>
      <c r="EIS90"/>
      <c r="EIT90"/>
      <c r="EIU90"/>
      <c r="EIV90"/>
      <c r="EIW90"/>
      <c r="EIX90"/>
      <c r="EIY90"/>
      <c r="EIZ90"/>
      <c r="EJA90"/>
      <c r="EJB90"/>
      <c r="EJC90"/>
      <c r="EJD90"/>
      <c r="EJE90"/>
      <c r="EJF90"/>
      <c r="EJG90"/>
      <c r="EJH90"/>
      <c r="EJI90"/>
      <c r="EJJ90"/>
      <c r="EJK90"/>
      <c r="EJL90"/>
      <c r="EJM90"/>
      <c r="EJN90"/>
      <c r="EJO90"/>
      <c r="EJP90"/>
      <c r="EJQ90"/>
      <c r="EJR90"/>
      <c r="EJS90"/>
      <c r="EJT90"/>
      <c r="EJU90"/>
      <c r="EJV90"/>
      <c r="EJW90"/>
      <c r="EJX90"/>
      <c r="EJY90"/>
      <c r="EJZ90"/>
      <c r="EKA90"/>
      <c r="EKB90"/>
      <c r="EKC90"/>
      <c r="EKD90"/>
      <c r="EKE90"/>
      <c r="EKF90"/>
      <c r="EKG90"/>
      <c r="EKH90"/>
      <c r="EKI90"/>
      <c r="EKJ90"/>
      <c r="EKK90"/>
      <c r="EKL90"/>
      <c r="EKM90"/>
      <c r="EKN90"/>
      <c r="EKO90"/>
      <c r="EKP90"/>
      <c r="EKQ90"/>
      <c r="EKR90"/>
      <c r="EKS90"/>
      <c r="EKT90"/>
      <c r="EKU90"/>
      <c r="EKV90"/>
      <c r="EKW90"/>
      <c r="EKX90"/>
      <c r="EKY90"/>
      <c r="EKZ90"/>
      <c r="ELA90"/>
      <c r="ELB90"/>
      <c r="ELC90"/>
      <c r="ELD90"/>
      <c r="ELE90"/>
      <c r="ELF90"/>
      <c r="ELG90"/>
      <c r="ELH90"/>
      <c r="ELI90"/>
      <c r="ELJ90"/>
      <c r="ELK90"/>
      <c r="ELL90"/>
      <c r="ELM90"/>
      <c r="ELN90"/>
      <c r="ELO90"/>
      <c r="ELP90"/>
      <c r="ELQ90"/>
      <c r="ELR90"/>
      <c r="ELS90"/>
      <c r="ELT90"/>
      <c r="ELU90"/>
      <c r="ELV90"/>
      <c r="ELW90"/>
      <c r="ELX90"/>
      <c r="ELY90"/>
      <c r="ELZ90"/>
      <c r="EMA90"/>
      <c r="EMB90"/>
      <c r="EMC90"/>
      <c r="EMD90"/>
      <c r="EME90"/>
      <c r="EMF90"/>
      <c r="EMG90"/>
      <c r="EMH90"/>
      <c r="EMI90"/>
      <c r="EMJ90"/>
      <c r="EMK90"/>
      <c r="EML90"/>
      <c r="EMM90"/>
      <c r="EMN90"/>
      <c r="EMO90"/>
      <c r="EMP90"/>
      <c r="EMQ90"/>
      <c r="EMR90"/>
      <c r="EMS90"/>
      <c r="EMT90"/>
      <c r="EMU90"/>
      <c r="EMV90"/>
      <c r="EMW90"/>
      <c r="EMX90"/>
      <c r="EMY90"/>
      <c r="EMZ90"/>
      <c r="ENA90"/>
      <c r="ENB90"/>
      <c r="ENC90"/>
      <c r="END90"/>
      <c r="ENE90"/>
      <c r="ENF90"/>
      <c r="ENG90"/>
      <c r="ENH90"/>
      <c r="ENI90"/>
      <c r="ENJ90"/>
      <c r="ENK90"/>
      <c r="ENL90"/>
      <c r="ENM90"/>
      <c r="ENN90"/>
      <c r="ENO90"/>
      <c r="ENP90"/>
      <c r="ENQ90"/>
      <c r="ENR90"/>
      <c r="ENS90"/>
      <c r="ENT90"/>
      <c r="ENU90"/>
      <c r="ENV90"/>
      <c r="ENW90"/>
      <c r="ENX90"/>
      <c r="ENY90"/>
      <c r="ENZ90"/>
      <c r="EOA90"/>
      <c r="EOB90"/>
      <c r="EOC90"/>
      <c r="EOD90"/>
      <c r="EOE90"/>
      <c r="EOF90"/>
      <c r="EOG90"/>
      <c r="EOH90"/>
      <c r="EOI90"/>
      <c r="EOJ90"/>
      <c r="EOK90"/>
      <c r="EOL90"/>
      <c r="EOM90"/>
      <c r="EON90"/>
      <c r="EOO90"/>
      <c r="EOP90"/>
      <c r="EOQ90"/>
      <c r="EOR90"/>
      <c r="EOS90"/>
      <c r="EOT90"/>
      <c r="EOU90"/>
      <c r="EOV90"/>
      <c r="EOW90"/>
      <c r="EOX90"/>
      <c r="EOY90"/>
      <c r="EOZ90"/>
      <c r="EPA90"/>
      <c r="EPB90"/>
      <c r="EPC90"/>
      <c r="EPD90"/>
      <c r="EPE90"/>
      <c r="EPF90"/>
      <c r="EPG90"/>
      <c r="EPH90"/>
      <c r="EPI90"/>
      <c r="EPJ90"/>
      <c r="EPK90"/>
      <c r="EPL90"/>
      <c r="EPM90"/>
      <c r="EPN90"/>
      <c r="EPO90"/>
      <c r="EPP90"/>
      <c r="EPQ90"/>
      <c r="EPR90"/>
      <c r="EPS90"/>
      <c r="EPT90"/>
      <c r="EPU90"/>
      <c r="EPV90"/>
      <c r="EPW90"/>
      <c r="EPX90"/>
      <c r="EPY90"/>
      <c r="EPZ90"/>
      <c r="EQA90"/>
      <c r="EQB90"/>
      <c r="EQC90"/>
      <c r="EQD90"/>
      <c r="EQE90"/>
      <c r="EQF90"/>
      <c r="EQG90"/>
      <c r="EQH90"/>
      <c r="EQI90"/>
      <c r="EQJ90"/>
      <c r="EQK90"/>
      <c r="EQL90"/>
      <c r="EQM90"/>
      <c r="EQN90"/>
      <c r="EQO90"/>
      <c r="EQP90"/>
      <c r="EQQ90"/>
      <c r="EQR90"/>
      <c r="EQS90"/>
      <c r="EQT90"/>
      <c r="EQU90"/>
      <c r="EQV90"/>
      <c r="EQW90"/>
      <c r="EQX90"/>
      <c r="EQY90"/>
      <c r="EQZ90"/>
      <c r="ERA90"/>
      <c r="ERB90"/>
      <c r="ERC90"/>
      <c r="ERD90"/>
      <c r="ERE90"/>
      <c r="ERF90"/>
      <c r="ERG90"/>
      <c r="ERH90"/>
      <c r="ERI90"/>
      <c r="ERJ90"/>
      <c r="ERK90"/>
      <c r="ERL90"/>
      <c r="ERM90"/>
      <c r="ERN90"/>
      <c r="ERO90"/>
      <c r="ERP90"/>
      <c r="ERQ90"/>
      <c r="ERR90"/>
      <c r="ERS90"/>
      <c r="ERT90"/>
      <c r="ERU90"/>
      <c r="ERV90"/>
      <c r="ERW90"/>
      <c r="ERX90"/>
      <c r="ERY90"/>
      <c r="ERZ90"/>
      <c r="ESA90"/>
      <c r="ESB90"/>
      <c r="ESC90"/>
      <c r="ESD90"/>
      <c r="ESE90"/>
      <c r="ESF90"/>
      <c r="ESG90"/>
      <c r="ESH90"/>
      <c r="ESI90"/>
      <c r="ESJ90"/>
      <c r="ESK90"/>
      <c r="ESL90"/>
      <c r="ESM90"/>
      <c r="ESN90"/>
      <c r="ESO90"/>
      <c r="ESP90"/>
      <c r="ESQ90"/>
      <c r="ESR90"/>
      <c r="ESS90"/>
      <c r="EST90"/>
      <c r="ESU90"/>
      <c r="ESV90"/>
      <c r="ESW90"/>
      <c r="ESX90"/>
      <c r="ESY90"/>
      <c r="ESZ90"/>
      <c r="ETA90"/>
      <c r="ETB90"/>
      <c r="ETC90"/>
      <c r="ETD90"/>
      <c r="ETE90"/>
      <c r="ETF90"/>
      <c r="ETG90"/>
      <c r="ETH90"/>
      <c r="ETI90"/>
      <c r="ETJ90"/>
      <c r="ETK90"/>
      <c r="ETL90"/>
      <c r="ETM90"/>
      <c r="ETN90"/>
      <c r="ETO90"/>
      <c r="ETP90"/>
      <c r="ETQ90"/>
      <c r="ETR90"/>
      <c r="ETS90"/>
      <c r="ETT90"/>
      <c r="ETU90"/>
      <c r="ETV90"/>
      <c r="ETW90"/>
      <c r="ETX90"/>
      <c r="ETY90"/>
      <c r="ETZ90"/>
      <c r="EUA90"/>
      <c r="EUB90"/>
      <c r="EUC90"/>
      <c r="EUD90"/>
      <c r="EUE90"/>
      <c r="EUF90"/>
      <c r="EUG90"/>
      <c r="EUH90"/>
      <c r="EUI90"/>
      <c r="EUJ90"/>
      <c r="EUK90"/>
      <c r="EUL90"/>
      <c r="EUM90"/>
      <c r="EUN90"/>
      <c r="EUO90"/>
      <c r="EUP90"/>
      <c r="EUQ90"/>
      <c r="EUR90"/>
      <c r="EUS90"/>
      <c r="EUT90"/>
      <c r="EUU90"/>
      <c r="EUV90"/>
      <c r="EUW90"/>
      <c r="EUX90"/>
      <c r="EUY90"/>
      <c r="EUZ90"/>
      <c r="EVA90"/>
      <c r="EVB90"/>
      <c r="EVC90"/>
      <c r="EVD90"/>
      <c r="EVE90"/>
      <c r="EVF90"/>
      <c r="EVG90"/>
      <c r="EVH90"/>
      <c r="EVI90"/>
      <c r="EVJ90"/>
      <c r="EVK90"/>
      <c r="EVL90"/>
      <c r="EVM90"/>
      <c r="EVN90"/>
      <c r="EVO90"/>
      <c r="EVP90"/>
      <c r="EVQ90"/>
      <c r="EVR90"/>
      <c r="EVS90"/>
      <c r="EVT90"/>
      <c r="EVU90"/>
      <c r="EVV90"/>
      <c r="EVW90"/>
      <c r="EVX90"/>
      <c r="EVY90"/>
      <c r="EVZ90"/>
      <c r="EWA90"/>
      <c r="EWB90"/>
      <c r="EWC90"/>
      <c r="EWD90"/>
      <c r="EWE90"/>
      <c r="EWF90"/>
      <c r="EWG90"/>
      <c r="EWH90"/>
      <c r="EWI90"/>
      <c r="EWJ90"/>
      <c r="EWK90"/>
      <c r="EWL90"/>
      <c r="EWM90"/>
      <c r="EWN90"/>
      <c r="EWO90"/>
      <c r="EWP90"/>
      <c r="EWQ90"/>
      <c r="EWR90"/>
      <c r="EWS90"/>
      <c r="EWT90"/>
      <c r="EWU90"/>
      <c r="EWV90"/>
      <c r="EWW90"/>
      <c r="EWX90"/>
      <c r="EWY90"/>
      <c r="EWZ90"/>
      <c r="EXA90"/>
      <c r="EXB90"/>
      <c r="EXC90"/>
      <c r="EXD90"/>
      <c r="EXE90"/>
      <c r="EXF90"/>
      <c r="EXG90"/>
      <c r="EXH90"/>
      <c r="EXI90"/>
      <c r="EXJ90"/>
      <c r="EXK90"/>
      <c r="EXL90"/>
      <c r="EXM90"/>
      <c r="EXN90"/>
      <c r="EXO90"/>
      <c r="EXP90"/>
      <c r="EXQ90"/>
      <c r="EXR90"/>
      <c r="EXS90"/>
      <c r="EXT90"/>
      <c r="EXU90"/>
      <c r="EXV90"/>
      <c r="EXW90"/>
      <c r="EXX90"/>
      <c r="EXY90"/>
      <c r="EXZ90"/>
      <c r="EYA90"/>
      <c r="EYB90"/>
      <c r="EYC90"/>
      <c r="EYD90"/>
      <c r="EYE90"/>
      <c r="EYF90"/>
      <c r="EYG90"/>
      <c r="EYH90"/>
      <c r="EYI90"/>
      <c r="EYJ90"/>
      <c r="EYK90"/>
      <c r="EYL90"/>
      <c r="EYM90"/>
      <c r="EYN90"/>
      <c r="EYO90"/>
      <c r="EYP90"/>
      <c r="EYQ90"/>
      <c r="EYR90"/>
      <c r="EYS90"/>
      <c r="EYT90"/>
      <c r="EYU90"/>
      <c r="EYV90"/>
      <c r="EYW90"/>
      <c r="EYX90"/>
      <c r="EYY90"/>
      <c r="EYZ90"/>
      <c r="EZA90"/>
      <c r="EZB90"/>
      <c r="EZC90"/>
      <c r="EZD90"/>
      <c r="EZE90"/>
      <c r="EZF90"/>
      <c r="EZG90"/>
      <c r="EZH90"/>
      <c r="EZI90"/>
      <c r="EZJ90"/>
      <c r="EZK90"/>
      <c r="EZL90"/>
      <c r="EZM90"/>
      <c r="EZN90"/>
      <c r="EZO90"/>
      <c r="EZP90"/>
      <c r="EZQ90"/>
      <c r="EZR90"/>
      <c r="EZS90"/>
      <c r="EZT90"/>
      <c r="EZU90"/>
      <c r="EZV90"/>
      <c r="EZW90"/>
      <c r="EZX90"/>
      <c r="EZY90"/>
      <c r="EZZ90"/>
      <c r="FAA90"/>
      <c r="FAB90"/>
      <c r="FAC90"/>
      <c r="FAD90"/>
      <c r="FAE90"/>
      <c r="FAF90"/>
      <c r="FAG90"/>
      <c r="FAH90"/>
      <c r="FAI90"/>
      <c r="FAJ90"/>
      <c r="FAK90"/>
      <c r="FAL90"/>
      <c r="FAM90"/>
      <c r="FAN90"/>
      <c r="FAO90"/>
      <c r="FAP90"/>
      <c r="FAQ90"/>
      <c r="FAR90"/>
      <c r="FAS90"/>
      <c r="FAT90"/>
      <c r="FAU90"/>
      <c r="FAV90"/>
      <c r="FAW90"/>
      <c r="FAX90"/>
      <c r="FAY90"/>
      <c r="FAZ90"/>
      <c r="FBA90"/>
      <c r="FBB90"/>
      <c r="FBC90"/>
      <c r="FBD90"/>
      <c r="FBE90"/>
      <c r="FBF90"/>
      <c r="FBG90"/>
      <c r="FBH90"/>
      <c r="FBI90"/>
      <c r="FBJ90"/>
      <c r="FBK90"/>
      <c r="FBL90"/>
      <c r="FBM90"/>
      <c r="FBN90"/>
      <c r="FBO90"/>
      <c r="FBP90"/>
      <c r="FBQ90"/>
      <c r="FBR90"/>
      <c r="FBS90"/>
      <c r="FBT90"/>
      <c r="FBU90"/>
      <c r="FBV90"/>
      <c r="FBW90"/>
      <c r="FBX90"/>
      <c r="FBY90"/>
      <c r="FBZ90"/>
      <c r="FCA90"/>
      <c r="FCB90"/>
      <c r="FCC90"/>
      <c r="FCD90"/>
      <c r="FCE90"/>
      <c r="FCF90"/>
      <c r="FCG90"/>
      <c r="FCH90"/>
      <c r="FCI90"/>
      <c r="FCJ90"/>
      <c r="FCK90"/>
      <c r="FCL90"/>
      <c r="FCM90"/>
      <c r="FCN90"/>
      <c r="FCO90"/>
      <c r="FCP90"/>
      <c r="FCQ90"/>
      <c r="FCR90"/>
      <c r="FCS90"/>
      <c r="FCT90"/>
      <c r="FCU90"/>
      <c r="FCV90"/>
      <c r="FCW90"/>
      <c r="FCX90"/>
      <c r="FCY90"/>
      <c r="FCZ90"/>
      <c r="FDA90"/>
      <c r="FDB90"/>
      <c r="FDC90"/>
      <c r="FDD90"/>
      <c r="FDE90"/>
      <c r="FDF90"/>
      <c r="FDG90"/>
      <c r="FDH90"/>
      <c r="FDI90"/>
      <c r="FDJ90"/>
      <c r="FDK90"/>
      <c r="FDL90"/>
      <c r="FDM90"/>
      <c r="FDN90"/>
      <c r="FDO90"/>
      <c r="FDP90"/>
      <c r="FDQ90"/>
      <c r="FDR90"/>
      <c r="FDS90"/>
      <c r="FDT90"/>
      <c r="FDU90"/>
      <c r="FDV90"/>
      <c r="FDW90"/>
      <c r="FDX90"/>
      <c r="FDY90"/>
      <c r="FDZ90"/>
      <c r="FEA90"/>
      <c r="FEB90"/>
      <c r="FEC90"/>
      <c r="FED90"/>
      <c r="FEE90"/>
      <c r="FEF90"/>
      <c r="FEG90"/>
      <c r="FEH90"/>
      <c r="FEI90"/>
      <c r="FEJ90"/>
      <c r="FEK90"/>
      <c r="FEL90"/>
      <c r="FEM90"/>
      <c r="FEN90"/>
      <c r="FEO90"/>
      <c r="FEP90"/>
      <c r="FEQ90"/>
      <c r="FER90"/>
      <c r="FES90"/>
      <c r="FET90"/>
      <c r="FEU90"/>
      <c r="FEV90"/>
      <c r="FEW90"/>
      <c r="FEX90"/>
      <c r="FEY90"/>
      <c r="FEZ90"/>
      <c r="FFA90"/>
      <c r="FFB90"/>
      <c r="FFC90"/>
      <c r="FFD90"/>
      <c r="FFE90"/>
      <c r="FFF90"/>
      <c r="FFG90"/>
      <c r="FFH90"/>
      <c r="FFI90"/>
      <c r="FFJ90"/>
      <c r="FFK90"/>
      <c r="FFL90"/>
      <c r="FFM90"/>
      <c r="FFN90"/>
      <c r="FFO90"/>
      <c r="FFP90"/>
      <c r="FFQ90"/>
      <c r="FFR90"/>
      <c r="FFS90"/>
      <c r="FFT90"/>
      <c r="FFU90"/>
      <c r="FFV90"/>
      <c r="FFW90"/>
      <c r="FFX90"/>
      <c r="FFY90"/>
      <c r="FFZ90"/>
      <c r="FGA90"/>
      <c r="FGB90"/>
      <c r="FGC90"/>
      <c r="FGD90"/>
      <c r="FGE90"/>
      <c r="FGF90"/>
      <c r="FGG90"/>
      <c r="FGH90"/>
      <c r="FGI90"/>
      <c r="FGJ90"/>
      <c r="FGK90"/>
      <c r="FGL90"/>
      <c r="FGM90"/>
      <c r="FGN90"/>
      <c r="FGO90"/>
      <c r="FGP90"/>
      <c r="FGQ90"/>
      <c r="FGR90"/>
      <c r="FGS90"/>
      <c r="FGT90"/>
      <c r="FGU90"/>
      <c r="FGV90"/>
      <c r="FGW90"/>
      <c r="FGX90"/>
      <c r="FGY90"/>
      <c r="FGZ90"/>
      <c r="FHA90"/>
      <c r="FHB90"/>
      <c r="FHC90"/>
      <c r="FHD90"/>
      <c r="FHE90"/>
      <c r="FHF90"/>
      <c r="FHG90"/>
      <c r="FHH90"/>
      <c r="FHI90"/>
      <c r="FHJ90"/>
      <c r="FHK90"/>
      <c r="FHL90"/>
      <c r="FHM90"/>
      <c r="FHN90"/>
      <c r="FHO90"/>
      <c r="FHP90"/>
      <c r="FHQ90"/>
      <c r="FHR90"/>
      <c r="FHS90"/>
      <c r="FHT90"/>
      <c r="FHU90"/>
      <c r="FHV90"/>
      <c r="FHW90"/>
      <c r="FHX90"/>
      <c r="FHY90"/>
      <c r="FHZ90"/>
      <c r="FIA90"/>
      <c r="FIB90"/>
      <c r="FIC90"/>
      <c r="FID90"/>
      <c r="FIE90"/>
      <c r="FIF90"/>
      <c r="FIG90"/>
      <c r="FIH90"/>
      <c r="FII90"/>
      <c r="FIJ90"/>
      <c r="FIK90"/>
      <c r="FIL90"/>
      <c r="FIM90"/>
      <c r="FIN90"/>
      <c r="FIO90"/>
      <c r="FIP90"/>
      <c r="FIQ90"/>
      <c r="FIR90"/>
      <c r="FIS90"/>
      <c r="FIT90"/>
      <c r="FIU90"/>
      <c r="FIV90"/>
      <c r="FIW90"/>
      <c r="FIX90"/>
      <c r="FIY90"/>
      <c r="FIZ90"/>
      <c r="FJA90"/>
      <c r="FJB90"/>
      <c r="FJC90"/>
      <c r="FJD90"/>
      <c r="FJE90"/>
      <c r="FJF90"/>
      <c r="FJG90"/>
      <c r="FJH90"/>
      <c r="FJI90"/>
      <c r="FJJ90"/>
      <c r="FJK90"/>
      <c r="FJL90"/>
      <c r="FJM90"/>
      <c r="FJN90"/>
      <c r="FJO90"/>
      <c r="FJP90"/>
      <c r="FJQ90"/>
      <c r="FJR90"/>
      <c r="FJS90"/>
      <c r="FJT90"/>
      <c r="FJU90"/>
      <c r="FJV90"/>
      <c r="FJW90"/>
      <c r="FJX90"/>
      <c r="FJY90"/>
      <c r="FJZ90"/>
      <c r="FKA90"/>
      <c r="FKB90"/>
      <c r="FKC90"/>
      <c r="FKD90"/>
      <c r="FKE90"/>
      <c r="FKF90"/>
      <c r="FKG90"/>
      <c r="FKH90"/>
      <c r="FKI90"/>
      <c r="FKJ90"/>
      <c r="FKK90"/>
      <c r="FKL90"/>
      <c r="FKM90"/>
      <c r="FKN90"/>
      <c r="FKO90"/>
      <c r="FKP90"/>
      <c r="FKQ90"/>
      <c r="FKR90"/>
      <c r="FKS90"/>
      <c r="FKT90"/>
      <c r="FKU90"/>
      <c r="FKV90"/>
      <c r="FKW90"/>
      <c r="FKX90"/>
      <c r="FKY90"/>
      <c r="FKZ90"/>
      <c r="FLA90"/>
      <c r="FLB90"/>
      <c r="FLC90"/>
      <c r="FLD90"/>
      <c r="FLE90"/>
      <c r="FLF90"/>
      <c r="FLG90"/>
      <c r="FLH90"/>
      <c r="FLI90"/>
      <c r="FLJ90"/>
      <c r="FLK90"/>
      <c r="FLL90"/>
      <c r="FLM90"/>
      <c r="FLN90"/>
      <c r="FLO90"/>
      <c r="FLP90"/>
      <c r="FLQ90"/>
      <c r="FLR90"/>
      <c r="FLS90"/>
      <c r="FLT90"/>
      <c r="FLU90"/>
      <c r="FLV90"/>
      <c r="FLW90"/>
      <c r="FLX90"/>
      <c r="FLY90"/>
      <c r="FLZ90"/>
      <c r="FMA90"/>
      <c r="FMB90"/>
      <c r="FMC90"/>
      <c r="FMD90"/>
      <c r="FME90"/>
      <c r="FMF90"/>
      <c r="FMG90"/>
      <c r="FMH90"/>
      <c r="FMI90"/>
      <c r="FMJ90"/>
      <c r="FMK90"/>
      <c r="FML90"/>
      <c r="FMM90"/>
      <c r="FMN90"/>
      <c r="FMO90"/>
      <c r="FMP90"/>
      <c r="FMQ90"/>
      <c r="FMR90"/>
      <c r="FMS90"/>
      <c r="FMT90"/>
      <c r="FMU90"/>
      <c r="FMV90"/>
      <c r="FMW90"/>
      <c r="FMX90"/>
      <c r="FMY90"/>
      <c r="FMZ90"/>
      <c r="FNA90"/>
      <c r="FNB90"/>
      <c r="FNC90"/>
      <c r="FND90"/>
      <c r="FNE90"/>
      <c r="FNF90"/>
      <c r="FNG90"/>
      <c r="FNH90"/>
      <c r="FNI90"/>
      <c r="FNJ90"/>
      <c r="FNK90"/>
      <c r="FNL90"/>
      <c r="FNM90"/>
      <c r="FNN90"/>
      <c r="FNO90"/>
      <c r="FNP90"/>
      <c r="FNQ90"/>
      <c r="FNR90"/>
      <c r="FNS90"/>
      <c r="FNT90"/>
      <c r="FNU90"/>
      <c r="FNV90"/>
      <c r="FNW90"/>
      <c r="FNX90"/>
      <c r="FNY90"/>
      <c r="FNZ90"/>
      <c r="FOA90"/>
      <c r="FOB90"/>
      <c r="FOC90"/>
      <c r="FOD90"/>
      <c r="FOE90"/>
      <c r="FOF90"/>
      <c r="FOG90"/>
      <c r="FOH90"/>
      <c r="FOI90"/>
      <c r="FOJ90"/>
      <c r="FOK90"/>
      <c r="FOL90"/>
      <c r="FOM90"/>
      <c r="FON90"/>
      <c r="FOO90"/>
      <c r="FOP90"/>
      <c r="FOQ90"/>
      <c r="FOR90"/>
      <c r="FOS90"/>
      <c r="FOT90"/>
      <c r="FOU90"/>
      <c r="FOV90"/>
      <c r="FOW90"/>
      <c r="FOX90"/>
      <c r="FOY90"/>
      <c r="FOZ90"/>
      <c r="FPA90"/>
      <c r="FPB90"/>
      <c r="FPC90"/>
      <c r="FPD90"/>
      <c r="FPE90"/>
      <c r="FPF90"/>
      <c r="FPG90"/>
      <c r="FPH90"/>
      <c r="FPI90"/>
      <c r="FPJ90"/>
      <c r="FPK90"/>
      <c r="FPL90"/>
      <c r="FPM90"/>
      <c r="FPN90"/>
      <c r="FPO90"/>
      <c r="FPP90"/>
      <c r="FPQ90"/>
      <c r="FPR90"/>
      <c r="FPS90"/>
      <c r="FPT90"/>
      <c r="FPU90"/>
      <c r="FPV90"/>
      <c r="FPW90"/>
      <c r="FPX90"/>
      <c r="FPY90"/>
      <c r="FPZ90"/>
      <c r="FQA90"/>
      <c r="FQB90"/>
      <c r="FQC90"/>
      <c r="FQD90"/>
      <c r="FQE90"/>
      <c r="FQF90"/>
      <c r="FQG90"/>
      <c r="FQH90"/>
      <c r="FQI90"/>
      <c r="FQJ90"/>
      <c r="FQK90"/>
      <c r="FQL90"/>
      <c r="FQM90"/>
      <c r="FQN90"/>
      <c r="FQO90"/>
      <c r="FQP90"/>
      <c r="FQQ90"/>
      <c r="FQR90"/>
      <c r="FQS90"/>
      <c r="FQT90"/>
      <c r="FQU90"/>
      <c r="FQV90"/>
      <c r="FQW90"/>
      <c r="FQX90"/>
      <c r="FQY90"/>
      <c r="FQZ90"/>
      <c r="FRA90"/>
      <c r="FRB90"/>
      <c r="FRC90"/>
      <c r="FRD90"/>
      <c r="FRE90"/>
      <c r="FRF90"/>
      <c r="FRG90"/>
      <c r="FRH90"/>
      <c r="FRI90"/>
      <c r="FRJ90"/>
      <c r="FRK90"/>
      <c r="FRL90"/>
      <c r="FRM90"/>
      <c r="FRN90"/>
      <c r="FRO90"/>
      <c r="FRP90"/>
      <c r="FRQ90"/>
      <c r="FRR90"/>
      <c r="FRS90"/>
      <c r="FRT90"/>
      <c r="FRU90"/>
      <c r="FRV90"/>
      <c r="FRW90"/>
      <c r="FRX90"/>
      <c r="FRY90"/>
      <c r="FRZ90"/>
      <c r="FSA90"/>
      <c r="FSB90"/>
      <c r="FSC90"/>
      <c r="FSD90"/>
      <c r="FSE90"/>
      <c r="FSF90"/>
      <c r="FSG90"/>
      <c r="FSH90"/>
      <c r="FSI90"/>
      <c r="FSJ90"/>
      <c r="FSK90"/>
      <c r="FSL90"/>
      <c r="FSM90"/>
      <c r="FSN90"/>
      <c r="FSO90"/>
      <c r="FSP90"/>
      <c r="FSQ90"/>
      <c r="FSR90"/>
      <c r="FSS90"/>
      <c r="FST90"/>
      <c r="FSU90"/>
      <c r="FSV90"/>
      <c r="FSW90"/>
      <c r="FSX90"/>
      <c r="FSY90"/>
      <c r="FSZ90"/>
      <c r="FTA90"/>
      <c r="FTB90"/>
      <c r="FTC90"/>
      <c r="FTD90"/>
      <c r="FTE90"/>
      <c r="FTF90"/>
      <c r="FTG90"/>
      <c r="FTH90"/>
      <c r="FTI90"/>
      <c r="FTJ90"/>
      <c r="FTK90"/>
      <c r="FTL90"/>
      <c r="FTM90"/>
      <c r="FTN90"/>
      <c r="FTO90"/>
      <c r="FTP90"/>
      <c r="FTQ90"/>
      <c r="FTR90"/>
      <c r="FTS90"/>
      <c r="FTT90"/>
      <c r="FTU90"/>
      <c r="FTV90"/>
      <c r="FTW90"/>
      <c r="FTX90"/>
      <c r="FTY90"/>
      <c r="FTZ90"/>
      <c r="FUA90"/>
      <c r="FUB90"/>
      <c r="FUC90"/>
      <c r="FUD90"/>
      <c r="FUE90"/>
      <c r="FUF90"/>
      <c r="FUG90"/>
      <c r="FUH90"/>
      <c r="FUI90"/>
      <c r="FUJ90"/>
      <c r="FUK90"/>
      <c r="FUL90"/>
      <c r="FUM90"/>
      <c r="FUN90"/>
      <c r="FUO90"/>
      <c r="FUP90"/>
      <c r="FUQ90"/>
      <c r="FUR90"/>
      <c r="FUS90"/>
      <c r="FUT90"/>
      <c r="FUU90"/>
      <c r="FUV90"/>
      <c r="FUW90"/>
      <c r="FUX90"/>
      <c r="FUY90"/>
      <c r="FUZ90"/>
      <c r="FVA90"/>
      <c r="FVB90"/>
      <c r="FVC90"/>
      <c r="FVD90"/>
      <c r="FVE90"/>
      <c r="FVF90"/>
      <c r="FVG90"/>
      <c r="FVH90"/>
      <c r="FVI90"/>
      <c r="FVJ90"/>
      <c r="FVK90"/>
      <c r="FVL90"/>
      <c r="FVM90"/>
      <c r="FVN90"/>
      <c r="FVO90"/>
      <c r="FVP90"/>
      <c r="FVQ90"/>
      <c r="FVR90"/>
      <c r="FVS90"/>
      <c r="FVT90"/>
      <c r="FVU90"/>
      <c r="FVV90"/>
      <c r="FVW90"/>
      <c r="FVX90"/>
      <c r="FVY90"/>
      <c r="FVZ90"/>
      <c r="FWA90"/>
      <c r="FWB90"/>
      <c r="FWC90"/>
      <c r="FWD90"/>
      <c r="FWE90"/>
      <c r="FWF90"/>
      <c r="FWG90"/>
      <c r="FWH90"/>
      <c r="FWI90"/>
      <c r="FWJ90"/>
      <c r="FWK90"/>
      <c r="FWL90"/>
      <c r="FWM90"/>
      <c r="FWN90"/>
      <c r="FWO90"/>
      <c r="FWP90"/>
      <c r="FWQ90"/>
      <c r="FWR90"/>
      <c r="FWS90"/>
      <c r="FWT90"/>
      <c r="FWU90"/>
      <c r="FWV90"/>
      <c r="FWW90"/>
      <c r="FWX90"/>
      <c r="FWY90"/>
      <c r="FWZ90"/>
      <c r="FXA90"/>
      <c r="FXB90"/>
      <c r="FXC90"/>
      <c r="FXD90"/>
      <c r="FXE90"/>
      <c r="FXF90"/>
      <c r="FXG90"/>
      <c r="FXH90"/>
      <c r="FXI90"/>
      <c r="FXJ90"/>
      <c r="FXK90"/>
      <c r="FXL90"/>
      <c r="FXM90"/>
      <c r="FXN90"/>
      <c r="FXO90"/>
      <c r="FXP90"/>
      <c r="FXQ90"/>
      <c r="FXR90"/>
      <c r="FXS90"/>
      <c r="FXT90"/>
      <c r="FXU90"/>
      <c r="FXV90"/>
      <c r="FXW90"/>
      <c r="FXX90"/>
      <c r="FXY90"/>
      <c r="FXZ90"/>
      <c r="FYA90"/>
      <c r="FYB90"/>
      <c r="FYC90"/>
      <c r="FYD90"/>
      <c r="FYE90"/>
      <c r="FYF90"/>
      <c r="FYG90"/>
      <c r="FYH90"/>
      <c r="FYI90"/>
      <c r="FYJ90"/>
      <c r="FYK90"/>
      <c r="FYL90"/>
      <c r="FYM90"/>
      <c r="FYN90"/>
      <c r="FYO90"/>
      <c r="FYP90"/>
      <c r="FYQ90"/>
      <c r="FYR90"/>
      <c r="FYS90"/>
      <c r="FYT90"/>
      <c r="FYU90"/>
      <c r="FYV90"/>
      <c r="FYW90"/>
      <c r="FYX90"/>
      <c r="FYY90"/>
      <c r="FYZ90"/>
      <c r="FZA90"/>
      <c r="FZB90"/>
      <c r="FZC90"/>
      <c r="FZD90"/>
      <c r="FZE90"/>
      <c r="FZF90"/>
      <c r="FZG90"/>
      <c r="FZH90"/>
      <c r="FZI90"/>
      <c r="FZJ90"/>
      <c r="FZK90"/>
      <c r="FZL90"/>
      <c r="FZM90"/>
      <c r="FZN90"/>
      <c r="FZO90"/>
      <c r="FZP90"/>
      <c r="FZQ90"/>
      <c r="FZR90"/>
      <c r="FZS90"/>
      <c r="FZT90"/>
      <c r="FZU90"/>
      <c r="FZV90"/>
      <c r="FZW90"/>
      <c r="FZX90"/>
      <c r="FZY90"/>
      <c r="FZZ90"/>
      <c r="GAA90"/>
      <c r="GAB90"/>
      <c r="GAC90"/>
      <c r="GAD90"/>
      <c r="GAE90"/>
      <c r="GAF90"/>
      <c r="GAG90"/>
      <c r="GAH90"/>
      <c r="GAI90"/>
      <c r="GAJ90"/>
      <c r="GAK90"/>
      <c r="GAL90"/>
      <c r="GAM90"/>
      <c r="GAN90"/>
      <c r="GAO90"/>
      <c r="GAP90"/>
      <c r="GAQ90"/>
      <c r="GAR90"/>
      <c r="GAS90"/>
      <c r="GAT90"/>
      <c r="GAU90"/>
      <c r="GAV90"/>
      <c r="GAW90"/>
      <c r="GAX90"/>
      <c r="GAY90"/>
      <c r="GAZ90"/>
      <c r="GBA90"/>
      <c r="GBB90"/>
      <c r="GBC90"/>
      <c r="GBD90"/>
      <c r="GBE90"/>
      <c r="GBF90"/>
      <c r="GBG90"/>
      <c r="GBH90"/>
      <c r="GBI90"/>
      <c r="GBJ90"/>
      <c r="GBK90"/>
      <c r="GBL90"/>
      <c r="GBM90"/>
      <c r="GBN90"/>
      <c r="GBO90"/>
      <c r="GBP90"/>
      <c r="GBQ90"/>
      <c r="GBR90"/>
      <c r="GBS90"/>
      <c r="GBT90"/>
      <c r="GBU90"/>
      <c r="GBV90"/>
      <c r="GBW90"/>
      <c r="GBX90"/>
      <c r="GBY90"/>
      <c r="GBZ90"/>
      <c r="GCA90"/>
      <c r="GCB90"/>
      <c r="GCC90"/>
      <c r="GCD90"/>
      <c r="GCE90"/>
      <c r="GCF90"/>
      <c r="GCG90"/>
      <c r="GCH90"/>
      <c r="GCI90"/>
      <c r="GCJ90"/>
      <c r="GCK90"/>
      <c r="GCL90"/>
      <c r="GCM90"/>
      <c r="GCN90"/>
      <c r="GCO90"/>
      <c r="GCP90"/>
      <c r="GCQ90"/>
      <c r="GCR90"/>
      <c r="GCS90"/>
      <c r="GCT90"/>
      <c r="GCU90"/>
      <c r="GCV90"/>
      <c r="GCW90"/>
      <c r="GCX90"/>
      <c r="GCY90"/>
      <c r="GCZ90"/>
      <c r="GDA90"/>
      <c r="GDB90"/>
      <c r="GDC90"/>
      <c r="GDD90"/>
      <c r="GDE90"/>
      <c r="GDF90"/>
      <c r="GDG90"/>
      <c r="GDH90"/>
      <c r="GDI90"/>
      <c r="GDJ90"/>
      <c r="GDK90"/>
      <c r="GDL90"/>
      <c r="GDM90"/>
      <c r="GDN90"/>
      <c r="GDO90"/>
      <c r="GDP90"/>
      <c r="GDQ90"/>
      <c r="GDR90"/>
      <c r="GDS90"/>
      <c r="GDT90"/>
      <c r="GDU90"/>
      <c r="GDV90"/>
      <c r="GDW90"/>
      <c r="GDX90"/>
      <c r="GDY90"/>
      <c r="GDZ90"/>
      <c r="GEA90"/>
      <c r="GEB90"/>
      <c r="GEC90"/>
      <c r="GED90"/>
      <c r="GEE90"/>
      <c r="GEF90"/>
      <c r="GEG90"/>
      <c r="GEH90"/>
      <c r="GEI90"/>
      <c r="GEJ90"/>
      <c r="GEK90"/>
      <c r="GEL90"/>
      <c r="GEM90"/>
      <c r="GEN90"/>
      <c r="GEO90"/>
      <c r="GEP90"/>
      <c r="GEQ90"/>
      <c r="GER90"/>
      <c r="GES90"/>
      <c r="GET90"/>
      <c r="GEU90"/>
      <c r="GEV90"/>
      <c r="GEW90"/>
      <c r="GEX90"/>
      <c r="GEY90"/>
      <c r="GEZ90"/>
      <c r="GFA90"/>
      <c r="GFB90"/>
      <c r="GFC90"/>
      <c r="GFD90"/>
      <c r="GFE90"/>
      <c r="GFF90"/>
      <c r="GFG90"/>
      <c r="GFH90"/>
      <c r="GFI90"/>
      <c r="GFJ90"/>
      <c r="GFK90"/>
      <c r="GFL90"/>
      <c r="GFM90"/>
      <c r="GFN90"/>
      <c r="GFO90"/>
      <c r="GFP90"/>
      <c r="GFQ90"/>
      <c r="GFR90"/>
      <c r="GFS90"/>
      <c r="GFT90"/>
      <c r="GFU90"/>
      <c r="GFV90"/>
      <c r="GFW90"/>
      <c r="GFX90"/>
      <c r="GFY90"/>
      <c r="GFZ90"/>
      <c r="GGA90"/>
      <c r="GGB90"/>
      <c r="GGC90"/>
      <c r="GGD90"/>
      <c r="GGE90"/>
      <c r="GGF90"/>
      <c r="GGG90"/>
      <c r="GGH90"/>
      <c r="GGI90"/>
      <c r="GGJ90"/>
      <c r="GGK90"/>
      <c r="GGL90"/>
      <c r="GGM90"/>
      <c r="GGN90"/>
      <c r="GGO90"/>
      <c r="GGP90"/>
      <c r="GGQ90"/>
      <c r="GGR90"/>
      <c r="GGS90"/>
      <c r="GGT90"/>
      <c r="GGU90"/>
      <c r="GGV90"/>
      <c r="GGW90"/>
      <c r="GGX90"/>
      <c r="GGY90"/>
      <c r="GGZ90"/>
      <c r="GHA90"/>
      <c r="GHB90"/>
      <c r="GHC90"/>
      <c r="GHD90"/>
      <c r="GHE90"/>
      <c r="GHF90"/>
      <c r="GHG90"/>
      <c r="GHH90"/>
      <c r="GHI90"/>
      <c r="GHJ90"/>
      <c r="GHK90"/>
      <c r="GHL90"/>
      <c r="GHM90"/>
      <c r="GHN90"/>
      <c r="GHO90"/>
      <c r="GHP90"/>
      <c r="GHQ90"/>
      <c r="GHR90"/>
      <c r="GHS90"/>
      <c r="GHT90"/>
      <c r="GHU90"/>
      <c r="GHV90"/>
      <c r="GHW90"/>
      <c r="GHX90"/>
      <c r="GHY90"/>
      <c r="GHZ90"/>
      <c r="GIA90"/>
      <c r="GIB90"/>
      <c r="GIC90"/>
      <c r="GID90"/>
      <c r="GIE90"/>
      <c r="GIF90"/>
      <c r="GIG90"/>
      <c r="GIH90"/>
      <c r="GII90"/>
      <c r="GIJ90"/>
      <c r="GIK90"/>
      <c r="GIL90"/>
      <c r="GIM90"/>
      <c r="GIN90"/>
      <c r="GIO90"/>
      <c r="GIP90"/>
      <c r="GIQ90"/>
      <c r="GIR90"/>
      <c r="GIS90"/>
      <c r="GIT90"/>
      <c r="GIU90"/>
      <c r="GIV90"/>
      <c r="GIW90"/>
      <c r="GIX90"/>
      <c r="GIY90"/>
      <c r="GIZ90"/>
      <c r="GJA90"/>
      <c r="GJB90"/>
      <c r="GJC90"/>
      <c r="GJD90"/>
      <c r="GJE90"/>
      <c r="GJF90"/>
      <c r="GJG90"/>
      <c r="GJH90"/>
      <c r="GJI90"/>
      <c r="GJJ90"/>
      <c r="GJK90"/>
      <c r="GJL90"/>
      <c r="GJM90"/>
      <c r="GJN90"/>
      <c r="GJO90"/>
      <c r="GJP90"/>
      <c r="GJQ90"/>
      <c r="GJR90"/>
      <c r="GJS90"/>
      <c r="GJT90"/>
      <c r="GJU90"/>
      <c r="GJV90"/>
      <c r="GJW90"/>
      <c r="GJX90"/>
      <c r="GJY90"/>
      <c r="GJZ90"/>
      <c r="GKA90"/>
      <c r="GKB90"/>
      <c r="GKC90"/>
      <c r="GKD90"/>
      <c r="GKE90"/>
      <c r="GKF90"/>
      <c r="GKG90"/>
      <c r="GKH90"/>
      <c r="GKI90"/>
      <c r="GKJ90"/>
      <c r="GKK90"/>
      <c r="GKL90"/>
      <c r="GKM90"/>
      <c r="GKN90"/>
      <c r="GKO90"/>
      <c r="GKP90"/>
      <c r="GKQ90"/>
      <c r="GKR90"/>
      <c r="GKS90"/>
      <c r="GKT90"/>
      <c r="GKU90"/>
      <c r="GKV90"/>
      <c r="GKW90"/>
      <c r="GKX90"/>
      <c r="GKY90"/>
      <c r="GKZ90"/>
      <c r="GLA90"/>
      <c r="GLB90"/>
      <c r="GLC90"/>
      <c r="GLD90"/>
      <c r="GLE90"/>
      <c r="GLF90"/>
      <c r="GLG90"/>
      <c r="GLH90"/>
      <c r="GLI90"/>
      <c r="GLJ90"/>
      <c r="GLK90"/>
      <c r="GLL90"/>
      <c r="GLM90"/>
      <c r="GLN90"/>
      <c r="GLO90"/>
      <c r="GLP90"/>
      <c r="GLQ90"/>
      <c r="GLR90"/>
      <c r="GLS90"/>
      <c r="GLT90"/>
      <c r="GLU90"/>
      <c r="GLV90"/>
      <c r="GLW90"/>
      <c r="GLX90"/>
      <c r="GLY90"/>
      <c r="GLZ90"/>
      <c r="GMA90"/>
      <c r="GMB90"/>
      <c r="GMC90"/>
      <c r="GMD90"/>
      <c r="GME90"/>
      <c r="GMF90"/>
      <c r="GMG90"/>
      <c r="GMH90"/>
      <c r="GMI90"/>
      <c r="GMJ90"/>
      <c r="GMK90"/>
      <c r="GML90"/>
      <c r="GMM90"/>
      <c r="GMN90"/>
      <c r="GMO90"/>
      <c r="GMP90"/>
      <c r="GMQ90"/>
      <c r="GMR90"/>
      <c r="GMS90"/>
      <c r="GMT90"/>
      <c r="GMU90"/>
      <c r="GMV90"/>
      <c r="GMW90"/>
      <c r="GMX90"/>
      <c r="GMY90"/>
      <c r="GMZ90"/>
      <c r="GNA90"/>
      <c r="GNB90"/>
      <c r="GNC90"/>
      <c r="GND90"/>
      <c r="GNE90"/>
      <c r="GNF90"/>
      <c r="GNG90"/>
      <c r="GNH90"/>
      <c r="GNI90"/>
      <c r="GNJ90"/>
      <c r="GNK90"/>
      <c r="GNL90"/>
      <c r="GNM90"/>
      <c r="GNN90"/>
      <c r="GNO90"/>
      <c r="GNP90"/>
      <c r="GNQ90"/>
      <c r="GNR90"/>
      <c r="GNS90"/>
      <c r="GNT90"/>
      <c r="GNU90"/>
      <c r="GNV90"/>
      <c r="GNW90"/>
      <c r="GNX90"/>
      <c r="GNY90"/>
      <c r="GNZ90"/>
      <c r="GOA90"/>
      <c r="GOB90"/>
      <c r="GOC90"/>
      <c r="GOD90"/>
      <c r="GOE90"/>
      <c r="GOF90"/>
      <c r="GOG90"/>
      <c r="GOH90"/>
      <c r="GOI90"/>
      <c r="GOJ90"/>
      <c r="GOK90"/>
      <c r="GOL90"/>
      <c r="GOM90"/>
      <c r="GON90"/>
      <c r="GOO90"/>
      <c r="GOP90"/>
      <c r="GOQ90"/>
      <c r="GOR90"/>
      <c r="GOS90"/>
      <c r="GOT90"/>
      <c r="GOU90"/>
      <c r="GOV90"/>
      <c r="GOW90"/>
      <c r="GOX90"/>
      <c r="GOY90"/>
      <c r="GOZ90"/>
      <c r="GPA90"/>
      <c r="GPB90"/>
      <c r="GPC90"/>
      <c r="GPD90"/>
      <c r="GPE90"/>
      <c r="GPF90"/>
      <c r="GPG90"/>
      <c r="GPH90"/>
      <c r="GPI90"/>
      <c r="GPJ90"/>
      <c r="GPK90"/>
      <c r="GPL90"/>
      <c r="GPM90"/>
      <c r="GPN90"/>
      <c r="GPO90"/>
      <c r="GPP90"/>
      <c r="GPQ90"/>
      <c r="GPR90"/>
      <c r="GPS90"/>
      <c r="GPT90"/>
      <c r="GPU90"/>
      <c r="GPV90"/>
      <c r="GPW90"/>
      <c r="GPX90"/>
      <c r="GPY90"/>
      <c r="GPZ90"/>
      <c r="GQA90"/>
      <c r="GQB90"/>
      <c r="GQC90"/>
      <c r="GQD90"/>
      <c r="GQE90"/>
      <c r="GQF90"/>
      <c r="GQG90"/>
      <c r="GQH90"/>
      <c r="GQI90"/>
      <c r="GQJ90"/>
      <c r="GQK90"/>
      <c r="GQL90"/>
      <c r="GQM90"/>
      <c r="GQN90"/>
      <c r="GQO90"/>
      <c r="GQP90"/>
      <c r="GQQ90"/>
      <c r="GQR90"/>
      <c r="GQS90"/>
      <c r="GQT90"/>
      <c r="GQU90"/>
      <c r="GQV90"/>
      <c r="GQW90"/>
      <c r="GQX90"/>
      <c r="GQY90"/>
      <c r="GQZ90"/>
      <c r="GRA90"/>
      <c r="GRB90"/>
      <c r="GRC90"/>
      <c r="GRD90"/>
      <c r="GRE90"/>
      <c r="GRF90"/>
      <c r="GRG90"/>
      <c r="GRH90"/>
      <c r="GRI90"/>
      <c r="GRJ90"/>
      <c r="GRK90"/>
      <c r="GRL90"/>
      <c r="GRM90"/>
      <c r="GRN90"/>
      <c r="GRO90"/>
      <c r="GRP90"/>
      <c r="GRQ90"/>
      <c r="GRR90"/>
      <c r="GRS90"/>
      <c r="GRT90"/>
      <c r="GRU90"/>
      <c r="GRV90"/>
      <c r="GRW90"/>
      <c r="GRX90"/>
      <c r="GRY90"/>
      <c r="GRZ90"/>
      <c r="GSA90"/>
      <c r="GSB90"/>
      <c r="GSC90"/>
      <c r="GSD90"/>
      <c r="GSE90"/>
      <c r="GSF90"/>
      <c r="GSG90"/>
      <c r="GSH90"/>
      <c r="GSI90"/>
      <c r="GSJ90"/>
      <c r="GSK90"/>
      <c r="GSL90"/>
      <c r="GSM90"/>
      <c r="GSN90"/>
      <c r="GSO90"/>
      <c r="GSP90"/>
      <c r="GSQ90"/>
      <c r="GSR90"/>
      <c r="GSS90"/>
      <c r="GST90"/>
      <c r="GSU90"/>
      <c r="GSV90"/>
      <c r="GSW90"/>
      <c r="GSX90"/>
      <c r="GSY90"/>
      <c r="GSZ90"/>
      <c r="GTA90"/>
      <c r="GTB90"/>
      <c r="GTC90"/>
      <c r="GTD90"/>
      <c r="GTE90"/>
      <c r="GTF90"/>
      <c r="GTG90"/>
      <c r="GTH90"/>
      <c r="GTI90"/>
      <c r="GTJ90"/>
      <c r="GTK90"/>
      <c r="GTL90"/>
      <c r="GTM90"/>
      <c r="GTN90"/>
      <c r="GTO90"/>
      <c r="GTP90"/>
      <c r="GTQ90"/>
      <c r="GTR90"/>
      <c r="GTS90"/>
      <c r="GTT90"/>
      <c r="GTU90"/>
      <c r="GTV90"/>
      <c r="GTW90"/>
      <c r="GTX90"/>
      <c r="GTY90"/>
      <c r="GTZ90"/>
      <c r="GUA90"/>
      <c r="GUB90"/>
      <c r="GUC90"/>
      <c r="GUD90"/>
      <c r="GUE90"/>
      <c r="GUF90"/>
      <c r="GUG90"/>
      <c r="GUH90"/>
      <c r="GUI90"/>
      <c r="GUJ90"/>
      <c r="GUK90"/>
      <c r="GUL90"/>
      <c r="GUM90"/>
      <c r="GUN90"/>
      <c r="GUO90"/>
      <c r="GUP90"/>
      <c r="GUQ90"/>
      <c r="GUR90"/>
      <c r="GUS90"/>
      <c r="GUT90"/>
      <c r="GUU90"/>
      <c r="GUV90"/>
      <c r="GUW90"/>
      <c r="GUX90"/>
      <c r="GUY90"/>
      <c r="GUZ90"/>
      <c r="GVA90"/>
      <c r="GVB90"/>
      <c r="GVC90"/>
      <c r="GVD90"/>
      <c r="GVE90"/>
      <c r="GVF90"/>
      <c r="GVG90"/>
      <c r="GVH90"/>
      <c r="GVI90"/>
      <c r="GVJ90"/>
      <c r="GVK90"/>
      <c r="GVL90"/>
      <c r="GVM90"/>
      <c r="GVN90"/>
      <c r="GVO90"/>
      <c r="GVP90"/>
      <c r="GVQ90"/>
      <c r="GVR90"/>
      <c r="GVS90"/>
      <c r="GVT90"/>
      <c r="GVU90"/>
      <c r="GVV90"/>
      <c r="GVW90"/>
      <c r="GVX90"/>
      <c r="GVY90"/>
      <c r="GVZ90"/>
      <c r="GWA90"/>
      <c r="GWB90"/>
      <c r="GWC90"/>
      <c r="GWD90"/>
      <c r="GWE90"/>
      <c r="GWF90"/>
      <c r="GWG90"/>
      <c r="GWH90"/>
      <c r="GWI90"/>
      <c r="GWJ90"/>
      <c r="GWK90"/>
      <c r="GWL90"/>
      <c r="GWM90"/>
      <c r="GWN90"/>
      <c r="GWO90"/>
      <c r="GWP90"/>
      <c r="GWQ90"/>
      <c r="GWR90"/>
      <c r="GWS90"/>
      <c r="GWT90"/>
      <c r="GWU90"/>
      <c r="GWV90"/>
      <c r="GWW90"/>
      <c r="GWX90"/>
      <c r="GWY90"/>
      <c r="GWZ90"/>
      <c r="GXA90"/>
      <c r="GXB90"/>
      <c r="GXC90"/>
      <c r="GXD90"/>
      <c r="GXE90"/>
      <c r="GXF90"/>
      <c r="GXG90"/>
      <c r="GXH90"/>
      <c r="GXI90"/>
      <c r="GXJ90"/>
      <c r="GXK90"/>
      <c r="GXL90"/>
      <c r="GXM90"/>
      <c r="GXN90"/>
      <c r="GXO90"/>
      <c r="GXP90"/>
      <c r="GXQ90"/>
      <c r="GXR90"/>
      <c r="GXS90"/>
      <c r="GXT90"/>
      <c r="GXU90"/>
      <c r="GXV90"/>
      <c r="GXW90"/>
      <c r="GXX90"/>
      <c r="GXY90"/>
      <c r="GXZ90"/>
      <c r="GYA90"/>
      <c r="GYB90"/>
      <c r="GYC90"/>
      <c r="GYD90"/>
      <c r="GYE90"/>
      <c r="GYF90"/>
      <c r="GYG90"/>
      <c r="GYH90"/>
      <c r="GYI90"/>
      <c r="GYJ90"/>
      <c r="GYK90"/>
      <c r="GYL90"/>
      <c r="GYM90"/>
      <c r="GYN90"/>
      <c r="GYO90"/>
      <c r="GYP90"/>
      <c r="GYQ90"/>
      <c r="GYR90"/>
      <c r="GYS90"/>
      <c r="GYT90"/>
      <c r="GYU90"/>
      <c r="GYV90"/>
      <c r="GYW90"/>
      <c r="GYX90"/>
      <c r="GYY90"/>
      <c r="GYZ90"/>
      <c r="GZA90"/>
      <c r="GZB90"/>
      <c r="GZC90"/>
      <c r="GZD90"/>
      <c r="GZE90"/>
      <c r="GZF90"/>
      <c r="GZG90"/>
      <c r="GZH90"/>
      <c r="GZI90"/>
      <c r="GZJ90"/>
      <c r="GZK90"/>
      <c r="GZL90"/>
      <c r="GZM90"/>
      <c r="GZN90"/>
      <c r="GZO90"/>
      <c r="GZP90"/>
      <c r="GZQ90"/>
      <c r="GZR90"/>
      <c r="GZS90"/>
      <c r="GZT90"/>
      <c r="GZU90"/>
      <c r="GZV90"/>
      <c r="GZW90"/>
      <c r="GZX90"/>
      <c r="GZY90"/>
      <c r="GZZ90"/>
      <c r="HAA90"/>
      <c r="HAB90"/>
      <c r="HAC90"/>
      <c r="HAD90"/>
      <c r="HAE90"/>
      <c r="HAF90"/>
      <c r="HAG90"/>
      <c r="HAH90"/>
      <c r="HAI90"/>
      <c r="HAJ90"/>
      <c r="HAK90"/>
      <c r="HAL90"/>
      <c r="HAM90"/>
      <c r="HAN90"/>
      <c r="HAO90"/>
      <c r="HAP90"/>
      <c r="HAQ90"/>
      <c r="HAR90"/>
      <c r="HAS90"/>
      <c r="HAT90"/>
      <c r="HAU90"/>
      <c r="HAV90"/>
      <c r="HAW90"/>
      <c r="HAX90"/>
      <c r="HAY90"/>
      <c r="HAZ90"/>
      <c r="HBA90"/>
      <c r="HBB90"/>
      <c r="HBC90"/>
      <c r="HBD90"/>
      <c r="HBE90"/>
      <c r="HBF90"/>
      <c r="HBG90"/>
      <c r="HBH90"/>
      <c r="HBI90"/>
      <c r="HBJ90"/>
      <c r="HBK90"/>
      <c r="HBL90"/>
      <c r="HBM90"/>
      <c r="HBN90"/>
      <c r="HBO90"/>
      <c r="HBP90"/>
      <c r="HBQ90"/>
      <c r="HBR90"/>
      <c r="HBS90"/>
      <c r="HBT90"/>
      <c r="HBU90"/>
      <c r="HBV90"/>
      <c r="HBW90"/>
      <c r="HBX90"/>
      <c r="HBY90"/>
      <c r="HBZ90"/>
      <c r="HCA90"/>
      <c r="HCB90"/>
      <c r="HCC90"/>
      <c r="HCD90"/>
      <c r="HCE90"/>
      <c r="HCF90"/>
      <c r="HCG90"/>
      <c r="HCH90"/>
      <c r="HCI90"/>
      <c r="HCJ90"/>
      <c r="HCK90"/>
      <c r="HCL90"/>
      <c r="HCM90"/>
      <c r="HCN90"/>
      <c r="HCO90"/>
      <c r="HCP90"/>
      <c r="HCQ90"/>
      <c r="HCR90"/>
      <c r="HCS90"/>
      <c r="HCT90"/>
      <c r="HCU90"/>
      <c r="HCV90"/>
      <c r="HCW90"/>
      <c r="HCX90"/>
      <c r="HCY90"/>
      <c r="HCZ90"/>
      <c r="HDA90"/>
      <c r="HDB90"/>
      <c r="HDC90"/>
      <c r="HDD90"/>
      <c r="HDE90"/>
      <c r="HDF90"/>
      <c r="HDG90"/>
      <c r="HDH90"/>
      <c r="HDI90"/>
      <c r="HDJ90"/>
      <c r="HDK90"/>
      <c r="HDL90"/>
      <c r="HDM90"/>
      <c r="HDN90"/>
      <c r="HDO90"/>
      <c r="HDP90"/>
      <c r="HDQ90"/>
      <c r="HDR90"/>
      <c r="HDS90"/>
      <c r="HDT90"/>
      <c r="HDU90"/>
      <c r="HDV90"/>
      <c r="HDW90"/>
      <c r="HDX90"/>
      <c r="HDY90"/>
      <c r="HDZ90"/>
      <c r="HEA90"/>
      <c r="HEB90"/>
      <c r="HEC90"/>
      <c r="HED90"/>
      <c r="HEE90"/>
      <c r="HEF90"/>
      <c r="HEG90"/>
      <c r="HEH90"/>
      <c r="HEI90"/>
      <c r="HEJ90"/>
      <c r="HEK90"/>
      <c r="HEL90"/>
      <c r="HEM90"/>
      <c r="HEN90"/>
      <c r="HEO90"/>
      <c r="HEP90"/>
      <c r="HEQ90"/>
      <c r="HER90"/>
      <c r="HES90"/>
      <c r="HET90"/>
      <c r="HEU90"/>
      <c r="HEV90"/>
      <c r="HEW90"/>
      <c r="HEX90"/>
      <c r="HEY90"/>
      <c r="HEZ90"/>
      <c r="HFA90"/>
      <c r="HFB90"/>
      <c r="HFC90"/>
      <c r="HFD90"/>
      <c r="HFE90"/>
      <c r="HFF90"/>
      <c r="HFG90"/>
      <c r="HFH90"/>
      <c r="HFI90"/>
      <c r="HFJ90"/>
      <c r="HFK90"/>
      <c r="HFL90"/>
      <c r="HFM90"/>
      <c r="HFN90"/>
      <c r="HFO90"/>
      <c r="HFP90"/>
      <c r="HFQ90"/>
      <c r="HFR90"/>
      <c r="HFS90"/>
      <c r="HFT90"/>
      <c r="HFU90"/>
      <c r="HFV90"/>
      <c r="HFW90"/>
      <c r="HFX90"/>
      <c r="HFY90"/>
      <c r="HFZ90"/>
      <c r="HGA90"/>
      <c r="HGB90"/>
      <c r="HGC90"/>
      <c r="HGD90"/>
      <c r="HGE90"/>
      <c r="HGF90"/>
      <c r="HGG90"/>
      <c r="HGH90"/>
      <c r="HGI90"/>
      <c r="HGJ90"/>
      <c r="HGK90"/>
      <c r="HGL90"/>
      <c r="HGM90"/>
      <c r="HGN90"/>
      <c r="HGO90"/>
      <c r="HGP90"/>
      <c r="HGQ90"/>
      <c r="HGR90"/>
      <c r="HGS90"/>
      <c r="HGT90"/>
      <c r="HGU90"/>
      <c r="HGV90"/>
      <c r="HGW90"/>
      <c r="HGX90"/>
      <c r="HGY90"/>
      <c r="HGZ90"/>
      <c r="HHA90"/>
      <c r="HHB90"/>
      <c r="HHC90"/>
      <c r="HHD90"/>
      <c r="HHE90"/>
      <c r="HHF90"/>
      <c r="HHG90"/>
      <c r="HHH90"/>
      <c r="HHI90"/>
      <c r="HHJ90"/>
      <c r="HHK90"/>
      <c r="HHL90"/>
      <c r="HHM90"/>
      <c r="HHN90"/>
      <c r="HHO90"/>
      <c r="HHP90"/>
      <c r="HHQ90"/>
      <c r="HHR90"/>
      <c r="HHS90"/>
      <c r="HHT90"/>
      <c r="HHU90"/>
      <c r="HHV90"/>
      <c r="HHW90"/>
      <c r="HHX90"/>
      <c r="HHY90"/>
      <c r="HHZ90"/>
      <c r="HIA90"/>
      <c r="HIB90"/>
      <c r="HIC90"/>
      <c r="HID90"/>
      <c r="HIE90"/>
      <c r="HIF90"/>
      <c r="HIG90"/>
      <c r="HIH90"/>
      <c r="HII90"/>
      <c r="HIJ90"/>
      <c r="HIK90"/>
      <c r="HIL90"/>
      <c r="HIM90"/>
      <c r="HIN90"/>
      <c r="HIO90"/>
      <c r="HIP90"/>
      <c r="HIQ90"/>
      <c r="HIR90"/>
      <c r="HIS90"/>
      <c r="HIT90"/>
      <c r="HIU90"/>
      <c r="HIV90"/>
      <c r="HIW90"/>
      <c r="HIX90"/>
      <c r="HIY90"/>
      <c r="HIZ90"/>
      <c r="HJA90"/>
      <c r="HJB90"/>
      <c r="HJC90"/>
      <c r="HJD90"/>
      <c r="HJE90"/>
      <c r="HJF90"/>
      <c r="HJG90"/>
      <c r="HJH90"/>
      <c r="HJI90"/>
      <c r="HJJ90"/>
      <c r="HJK90"/>
      <c r="HJL90"/>
      <c r="HJM90"/>
      <c r="HJN90"/>
      <c r="HJO90"/>
      <c r="HJP90"/>
      <c r="HJQ90"/>
      <c r="HJR90"/>
      <c r="HJS90"/>
      <c r="HJT90"/>
      <c r="HJU90"/>
      <c r="HJV90"/>
      <c r="HJW90"/>
      <c r="HJX90"/>
      <c r="HJY90"/>
      <c r="HJZ90"/>
      <c r="HKA90"/>
      <c r="HKB90"/>
      <c r="HKC90"/>
      <c r="HKD90"/>
      <c r="HKE90"/>
      <c r="HKF90"/>
      <c r="HKG90"/>
      <c r="HKH90"/>
      <c r="HKI90"/>
      <c r="HKJ90"/>
      <c r="HKK90"/>
      <c r="HKL90"/>
      <c r="HKM90"/>
      <c r="HKN90"/>
      <c r="HKO90"/>
      <c r="HKP90"/>
      <c r="HKQ90"/>
      <c r="HKR90"/>
      <c r="HKS90"/>
      <c r="HKT90"/>
      <c r="HKU90"/>
      <c r="HKV90"/>
      <c r="HKW90"/>
      <c r="HKX90"/>
      <c r="HKY90"/>
      <c r="HKZ90"/>
      <c r="HLA90"/>
      <c r="HLB90"/>
      <c r="HLC90"/>
      <c r="HLD90"/>
      <c r="HLE90"/>
      <c r="HLF90"/>
      <c r="HLG90"/>
      <c r="HLH90"/>
      <c r="HLI90"/>
      <c r="HLJ90"/>
      <c r="HLK90"/>
      <c r="HLL90"/>
      <c r="HLM90"/>
      <c r="HLN90"/>
      <c r="HLO90"/>
      <c r="HLP90"/>
      <c r="HLQ90"/>
      <c r="HLR90"/>
      <c r="HLS90"/>
      <c r="HLT90"/>
      <c r="HLU90"/>
      <c r="HLV90"/>
      <c r="HLW90"/>
      <c r="HLX90"/>
      <c r="HLY90"/>
      <c r="HLZ90"/>
      <c r="HMA90"/>
      <c r="HMB90"/>
      <c r="HMC90"/>
      <c r="HMD90"/>
      <c r="HME90"/>
      <c r="HMF90"/>
      <c r="HMG90"/>
      <c r="HMH90"/>
      <c r="HMI90"/>
      <c r="HMJ90"/>
      <c r="HMK90"/>
      <c r="HML90"/>
      <c r="HMM90"/>
      <c r="HMN90"/>
      <c r="HMO90"/>
      <c r="HMP90"/>
      <c r="HMQ90"/>
      <c r="HMR90"/>
      <c r="HMS90"/>
      <c r="HMT90"/>
      <c r="HMU90"/>
      <c r="HMV90"/>
      <c r="HMW90"/>
      <c r="HMX90"/>
      <c r="HMY90"/>
      <c r="HMZ90"/>
      <c r="HNA90"/>
      <c r="HNB90"/>
      <c r="HNC90"/>
      <c r="HND90"/>
      <c r="HNE90"/>
      <c r="HNF90"/>
      <c r="HNG90"/>
      <c r="HNH90"/>
      <c r="HNI90"/>
      <c r="HNJ90"/>
      <c r="HNK90"/>
      <c r="HNL90"/>
      <c r="HNM90"/>
      <c r="HNN90"/>
      <c r="HNO90"/>
      <c r="HNP90"/>
      <c r="HNQ90"/>
      <c r="HNR90"/>
      <c r="HNS90"/>
      <c r="HNT90"/>
      <c r="HNU90"/>
      <c r="HNV90"/>
      <c r="HNW90"/>
      <c r="HNX90"/>
      <c r="HNY90"/>
      <c r="HNZ90"/>
      <c r="HOA90"/>
      <c r="HOB90"/>
      <c r="HOC90"/>
      <c r="HOD90"/>
      <c r="HOE90"/>
      <c r="HOF90"/>
      <c r="HOG90"/>
      <c r="HOH90"/>
      <c r="HOI90"/>
      <c r="HOJ90"/>
      <c r="HOK90"/>
      <c r="HOL90"/>
      <c r="HOM90"/>
      <c r="HON90"/>
      <c r="HOO90"/>
      <c r="HOP90"/>
      <c r="HOQ90"/>
      <c r="HOR90"/>
      <c r="HOS90"/>
      <c r="HOT90"/>
      <c r="HOU90"/>
      <c r="HOV90"/>
      <c r="HOW90"/>
      <c r="HOX90"/>
      <c r="HOY90"/>
      <c r="HOZ90"/>
      <c r="HPA90"/>
      <c r="HPB90"/>
      <c r="HPC90"/>
      <c r="HPD90"/>
      <c r="HPE90"/>
      <c r="HPF90"/>
      <c r="HPG90"/>
      <c r="HPH90"/>
      <c r="HPI90"/>
      <c r="HPJ90"/>
      <c r="HPK90"/>
      <c r="HPL90"/>
      <c r="HPM90"/>
      <c r="HPN90"/>
      <c r="HPO90"/>
      <c r="HPP90"/>
      <c r="HPQ90"/>
      <c r="HPR90"/>
      <c r="HPS90"/>
      <c r="HPT90"/>
      <c r="HPU90"/>
      <c r="HPV90"/>
      <c r="HPW90"/>
      <c r="HPX90"/>
      <c r="HPY90"/>
      <c r="HPZ90"/>
      <c r="HQA90"/>
      <c r="HQB90"/>
      <c r="HQC90"/>
      <c r="HQD90"/>
      <c r="HQE90"/>
      <c r="HQF90"/>
      <c r="HQG90"/>
      <c r="HQH90"/>
      <c r="HQI90"/>
      <c r="HQJ90"/>
      <c r="HQK90"/>
      <c r="HQL90"/>
      <c r="HQM90"/>
      <c r="HQN90"/>
      <c r="HQO90"/>
      <c r="HQP90"/>
      <c r="HQQ90"/>
      <c r="HQR90"/>
      <c r="HQS90"/>
      <c r="HQT90"/>
      <c r="HQU90"/>
      <c r="HQV90"/>
      <c r="HQW90"/>
      <c r="HQX90"/>
      <c r="HQY90"/>
      <c r="HQZ90"/>
      <c r="HRA90"/>
      <c r="HRB90"/>
      <c r="HRC90"/>
      <c r="HRD90"/>
      <c r="HRE90"/>
      <c r="HRF90"/>
      <c r="HRG90"/>
      <c r="HRH90"/>
      <c r="HRI90"/>
      <c r="HRJ90"/>
      <c r="HRK90"/>
      <c r="HRL90"/>
      <c r="HRM90"/>
      <c r="HRN90"/>
      <c r="HRO90"/>
      <c r="HRP90"/>
      <c r="HRQ90"/>
      <c r="HRR90"/>
      <c r="HRS90"/>
      <c r="HRT90"/>
      <c r="HRU90"/>
      <c r="HRV90"/>
      <c r="HRW90"/>
      <c r="HRX90"/>
      <c r="HRY90"/>
      <c r="HRZ90"/>
      <c r="HSA90"/>
      <c r="HSB90"/>
      <c r="HSC90"/>
      <c r="HSD90"/>
      <c r="HSE90"/>
      <c r="HSF90"/>
      <c r="HSG90"/>
      <c r="HSH90"/>
      <c r="HSI90"/>
      <c r="HSJ90"/>
      <c r="HSK90"/>
      <c r="HSL90"/>
      <c r="HSM90"/>
      <c r="HSN90"/>
      <c r="HSO90"/>
      <c r="HSP90"/>
      <c r="HSQ90"/>
      <c r="HSR90"/>
      <c r="HSS90"/>
      <c r="HST90"/>
      <c r="HSU90"/>
      <c r="HSV90"/>
      <c r="HSW90"/>
      <c r="HSX90"/>
      <c r="HSY90"/>
      <c r="HSZ90"/>
      <c r="HTA90"/>
      <c r="HTB90"/>
      <c r="HTC90"/>
      <c r="HTD90"/>
      <c r="HTE90"/>
      <c r="HTF90"/>
      <c r="HTG90"/>
      <c r="HTH90"/>
      <c r="HTI90"/>
      <c r="HTJ90"/>
      <c r="HTK90"/>
      <c r="HTL90"/>
      <c r="HTM90"/>
      <c r="HTN90"/>
      <c r="HTO90"/>
      <c r="HTP90"/>
      <c r="HTQ90"/>
      <c r="HTR90"/>
      <c r="HTS90"/>
      <c r="HTT90"/>
      <c r="HTU90"/>
      <c r="HTV90"/>
      <c r="HTW90"/>
      <c r="HTX90"/>
      <c r="HTY90"/>
      <c r="HTZ90"/>
      <c r="HUA90"/>
      <c r="HUB90"/>
      <c r="HUC90"/>
      <c r="HUD90"/>
      <c r="HUE90"/>
      <c r="HUF90"/>
      <c r="HUG90"/>
      <c r="HUH90"/>
      <c r="HUI90"/>
      <c r="HUJ90"/>
      <c r="HUK90"/>
      <c r="HUL90"/>
      <c r="HUM90"/>
      <c r="HUN90"/>
      <c r="HUO90"/>
      <c r="HUP90"/>
      <c r="HUQ90"/>
      <c r="HUR90"/>
      <c r="HUS90"/>
      <c r="HUT90"/>
      <c r="HUU90"/>
      <c r="HUV90"/>
      <c r="HUW90"/>
      <c r="HUX90"/>
      <c r="HUY90"/>
      <c r="HUZ90"/>
      <c r="HVA90"/>
      <c r="HVB90"/>
      <c r="HVC90"/>
      <c r="HVD90"/>
      <c r="HVE90"/>
      <c r="HVF90"/>
      <c r="HVG90"/>
      <c r="HVH90"/>
      <c r="HVI90"/>
      <c r="HVJ90"/>
      <c r="HVK90"/>
      <c r="HVL90"/>
      <c r="HVM90"/>
      <c r="HVN90"/>
      <c r="HVO90"/>
      <c r="HVP90"/>
      <c r="HVQ90"/>
      <c r="HVR90"/>
      <c r="HVS90"/>
      <c r="HVT90"/>
      <c r="HVU90"/>
      <c r="HVV90"/>
      <c r="HVW90"/>
      <c r="HVX90"/>
      <c r="HVY90"/>
      <c r="HVZ90"/>
      <c r="HWA90"/>
      <c r="HWB90"/>
      <c r="HWC90"/>
      <c r="HWD90"/>
      <c r="HWE90"/>
      <c r="HWF90"/>
      <c r="HWG90"/>
      <c r="HWH90"/>
      <c r="HWI90"/>
      <c r="HWJ90"/>
      <c r="HWK90"/>
      <c r="HWL90"/>
      <c r="HWM90"/>
      <c r="HWN90"/>
      <c r="HWO90"/>
      <c r="HWP90"/>
      <c r="HWQ90"/>
      <c r="HWR90"/>
      <c r="HWS90"/>
      <c r="HWT90"/>
      <c r="HWU90"/>
      <c r="HWV90"/>
      <c r="HWW90"/>
      <c r="HWX90"/>
      <c r="HWY90"/>
      <c r="HWZ90"/>
      <c r="HXA90"/>
      <c r="HXB90"/>
      <c r="HXC90"/>
      <c r="HXD90"/>
      <c r="HXE90"/>
      <c r="HXF90"/>
      <c r="HXG90"/>
      <c r="HXH90"/>
      <c r="HXI90"/>
      <c r="HXJ90"/>
      <c r="HXK90"/>
      <c r="HXL90"/>
      <c r="HXM90"/>
      <c r="HXN90"/>
      <c r="HXO90"/>
      <c r="HXP90"/>
      <c r="HXQ90"/>
      <c r="HXR90"/>
      <c r="HXS90"/>
      <c r="HXT90"/>
      <c r="HXU90"/>
      <c r="HXV90"/>
      <c r="HXW90"/>
      <c r="HXX90"/>
      <c r="HXY90"/>
      <c r="HXZ90"/>
      <c r="HYA90"/>
      <c r="HYB90"/>
      <c r="HYC90"/>
      <c r="HYD90"/>
      <c r="HYE90"/>
      <c r="HYF90"/>
      <c r="HYG90"/>
      <c r="HYH90"/>
      <c r="HYI90"/>
      <c r="HYJ90"/>
      <c r="HYK90"/>
      <c r="HYL90"/>
      <c r="HYM90"/>
      <c r="HYN90"/>
      <c r="HYO90"/>
      <c r="HYP90"/>
      <c r="HYQ90"/>
      <c r="HYR90"/>
      <c r="HYS90"/>
      <c r="HYT90"/>
      <c r="HYU90"/>
      <c r="HYV90"/>
      <c r="HYW90"/>
      <c r="HYX90"/>
      <c r="HYY90"/>
      <c r="HYZ90"/>
      <c r="HZA90"/>
      <c r="HZB90"/>
      <c r="HZC90"/>
      <c r="HZD90"/>
      <c r="HZE90"/>
      <c r="HZF90"/>
      <c r="HZG90"/>
      <c r="HZH90"/>
      <c r="HZI90"/>
      <c r="HZJ90"/>
      <c r="HZK90"/>
      <c r="HZL90"/>
      <c r="HZM90"/>
      <c r="HZN90"/>
      <c r="HZO90"/>
      <c r="HZP90"/>
      <c r="HZQ90"/>
      <c r="HZR90"/>
      <c r="HZS90"/>
      <c r="HZT90"/>
      <c r="HZU90"/>
      <c r="HZV90"/>
      <c r="HZW90"/>
      <c r="HZX90"/>
      <c r="HZY90"/>
      <c r="HZZ90"/>
      <c r="IAA90"/>
      <c r="IAB90"/>
      <c r="IAC90"/>
      <c r="IAD90"/>
      <c r="IAE90"/>
      <c r="IAF90"/>
      <c r="IAG90"/>
      <c r="IAH90"/>
      <c r="IAI90"/>
      <c r="IAJ90"/>
      <c r="IAK90"/>
      <c r="IAL90"/>
      <c r="IAM90"/>
      <c r="IAN90"/>
      <c r="IAO90"/>
      <c r="IAP90"/>
      <c r="IAQ90"/>
      <c r="IAR90"/>
      <c r="IAS90"/>
      <c r="IAT90"/>
      <c r="IAU90"/>
      <c r="IAV90"/>
      <c r="IAW90"/>
      <c r="IAX90"/>
      <c r="IAY90"/>
      <c r="IAZ90"/>
      <c r="IBA90"/>
      <c r="IBB90"/>
      <c r="IBC90"/>
      <c r="IBD90"/>
      <c r="IBE90"/>
      <c r="IBF90"/>
      <c r="IBG90"/>
      <c r="IBH90"/>
      <c r="IBI90"/>
      <c r="IBJ90"/>
      <c r="IBK90"/>
      <c r="IBL90"/>
      <c r="IBM90"/>
      <c r="IBN90"/>
      <c r="IBO90"/>
      <c r="IBP90"/>
      <c r="IBQ90"/>
      <c r="IBR90"/>
      <c r="IBS90"/>
      <c r="IBT90"/>
      <c r="IBU90"/>
      <c r="IBV90"/>
      <c r="IBW90"/>
      <c r="IBX90"/>
      <c r="IBY90"/>
      <c r="IBZ90"/>
      <c r="ICA90"/>
      <c r="ICB90"/>
      <c r="ICC90"/>
      <c r="ICD90"/>
      <c r="ICE90"/>
      <c r="ICF90"/>
      <c r="ICG90"/>
      <c r="ICH90"/>
      <c r="ICI90"/>
      <c r="ICJ90"/>
      <c r="ICK90"/>
      <c r="ICL90"/>
      <c r="ICM90"/>
      <c r="ICN90"/>
      <c r="ICO90"/>
      <c r="ICP90"/>
      <c r="ICQ90"/>
      <c r="ICR90"/>
      <c r="ICS90"/>
      <c r="ICT90"/>
      <c r="ICU90"/>
      <c r="ICV90"/>
      <c r="ICW90"/>
      <c r="ICX90"/>
      <c r="ICY90"/>
      <c r="ICZ90"/>
      <c r="IDA90"/>
      <c r="IDB90"/>
      <c r="IDC90"/>
      <c r="IDD90"/>
      <c r="IDE90"/>
      <c r="IDF90"/>
      <c r="IDG90"/>
      <c r="IDH90"/>
      <c r="IDI90"/>
      <c r="IDJ90"/>
      <c r="IDK90"/>
      <c r="IDL90"/>
      <c r="IDM90"/>
      <c r="IDN90"/>
      <c r="IDO90"/>
      <c r="IDP90"/>
      <c r="IDQ90"/>
      <c r="IDR90"/>
      <c r="IDS90"/>
      <c r="IDT90"/>
      <c r="IDU90"/>
      <c r="IDV90"/>
      <c r="IDW90"/>
      <c r="IDX90"/>
      <c r="IDY90"/>
      <c r="IDZ90"/>
      <c r="IEA90"/>
      <c r="IEB90"/>
      <c r="IEC90"/>
      <c r="IED90"/>
      <c r="IEE90"/>
      <c r="IEF90"/>
      <c r="IEG90"/>
      <c r="IEH90"/>
      <c r="IEI90"/>
      <c r="IEJ90"/>
      <c r="IEK90"/>
      <c r="IEL90"/>
      <c r="IEM90"/>
      <c r="IEN90"/>
      <c r="IEO90"/>
      <c r="IEP90"/>
      <c r="IEQ90"/>
      <c r="IER90"/>
      <c r="IES90"/>
      <c r="IET90"/>
      <c r="IEU90"/>
      <c r="IEV90"/>
      <c r="IEW90"/>
      <c r="IEX90"/>
      <c r="IEY90"/>
      <c r="IEZ90"/>
      <c r="IFA90"/>
      <c r="IFB90"/>
      <c r="IFC90"/>
      <c r="IFD90"/>
      <c r="IFE90"/>
      <c r="IFF90"/>
      <c r="IFG90"/>
      <c r="IFH90"/>
      <c r="IFI90"/>
      <c r="IFJ90"/>
      <c r="IFK90"/>
      <c r="IFL90"/>
      <c r="IFM90"/>
      <c r="IFN90"/>
      <c r="IFO90"/>
      <c r="IFP90"/>
      <c r="IFQ90"/>
      <c r="IFR90"/>
      <c r="IFS90"/>
      <c r="IFT90"/>
      <c r="IFU90"/>
      <c r="IFV90"/>
      <c r="IFW90"/>
      <c r="IFX90"/>
      <c r="IFY90"/>
      <c r="IFZ90"/>
      <c r="IGA90"/>
      <c r="IGB90"/>
      <c r="IGC90"/>
      <c r="IGD90"/>
      <c r="IGE90"/>
      <c r="IGF90"/>
      <c r="IGG90"/>
      <c r="IGH90"/>
      <c r="IGI90"/>
      <c r="IGJ90"/>
      <c r="IGK90"/>
      <c r="IGL90"/>
      <c r="IGM90"/>
      <c r="IGN90"/>
      <c r="IGO90"/>
      <c r="IGP90"/>
      <c r="IGQ90"/>
      <c r="IGR90"/>
      <c r="IGS90"/>
      <c r="IGT90"/>
      <c r="IGU90"/>
      <c r="IGV90"/>
      <c r="IGW90"/>
      <c r="IGX90"/>
      <c r="IGY90"/>
      <c r="IGZ90"/>
      <c r="IHA90"/>
      <c r="IHB90"/>
      <c r="IHC90"/>
      <c r="IHD90"/>
      <c r="IHE90"/>
      <c r="IHF90"/>
      <c r="IHG90"/>
      <c r="IHH90"/>
      <c r="IHI90"/>
      <c r="IHJ90"/>
      <c r="IHK90"/>
      <c r="IHL90"/>
      <c r="IHM90"/>
      <c r="IHN90"/>
      <c r="IHO90"/>
      <c r="IHP90"/>
      <c r="IHQ90"/>
      <c r="IHR90"/>
      <c r="IHS90"/>
      <c r="IHT90"/>
      <c r="IHU90"/>
      <c r="IHV90"/>
      <c r="IHW90"/>
      <c r="IHX90"/>
      <c r="IHY90"/>
      <c r="IHZ90"/>
      <c r="IIA90"/>
      <c r="IIB90"/>
      <c r="IIC90"/>
      <c r="IID90"/>
      <c r="IIE90"/>
      <c r="IIF90"/>
      <c r="IIG90"/>
      <c r="IIH90"/>
      <c r="III90"/>
      <c r="IIJ90"/>
      <c r="IIK90"/>
      <c r="IIL90"/>
      <c r="IIM90"/>
      <c r="IIN90"/>
      <c r="IIO90"/>
      <c r="IIP90"/>
      <c r="IIQ90"/>
      <c r="IIR90"/>
      <c r="IIS90"/>
      <c r="IIT90"/>
      <c r="IIU90"/>
      <c r="IIV90"/>
      <c r="IIW90"/>
      <c r="IIX90"/>
      <c r="IIY90"/>
      <c r="IIZ90"/>
      <c r="IJA90"/>
      <c r="IJB90"/>
      <c r="IJC90"/>
      <c r="IJD90"/>
      <c r="IJE90"/>
      <c r="IJF90"/>
      <c r="IJG90"/>
      <c r="IJH90"/>
      <c r="IJI90"/>
      <c r="IJJ90"/>
      <c r="IJK90"/>
      <c r="IJL90"/>
      <c r="IJM90"/>
      <c r="IJN90"/>
      <c r="IJO90"/>
      <c r="IJP90"/>
      <c r="IJQ90"/>
      <c r="IJR90"/>
      <c r="IJS90"/>
      <c r="IJT90"/>
      <c r="IJU90"/>
      <c r="IJV90"/>
      <c r="IJW90"/>
      <c r="IJX90"/>
      <c r="IJY90"/>
      <c r="IJZ90"/>
      <c r="IKA90"/>
      <c r="IKB90"/>
      <c r="IKC90"/>
      <c r="IKD90"/>
      <c r="IKE90"/>
      <c r="IKF90"/>
      <c r="IKG90"/>
      <c r="IKH90"/>
      <c r="IKI90"/>
      <c r="IKJ90"/>
      <c r="IKK90"/>
      <c r="IKL90"/>
      <c r="IKM90"/>
      <c r="IKN90"/>
      <c r="IKO90"/>
      <c r="IKP90"/>
      <c r="IKQ90"/>
      <c r="IKR90"/>
      <c r="IKS90"/>
      <c r="IKT90"/>
      <c r="IKU90"/>
      <c r="IKV90"/>
      <c r="IKW90"/>
      <c r="IKX90"/>
      <c r="IKY90"/>
      <c r="IKZ90"/>
      <c r="ILA90"/>
      <c r="ILB90"/>
      <c r="ILC90"/>
      <c r="ILD90"/>
      <c r="ILE90"/>
      <c r="ILF90"/>
      <c r="ILG90"/>
      <c r="ILH90"/>
      <c r="ILI90"/>
      <c r="ILJ90"/>
      <c r="ILK90"/>
      <c r="ILL90"/>
      <c r="ILM90"/>
      <c r="ILN90"/>
      <c r="ILO90"/>
      <c r="ILP90"/>
      <c r="ILQ90"/>
      <c r="ILR90"/>
      <c r="ILS90"/>
      <c r="ILT90"/>
      <c r="ILU90"/>
      <c r="ILV90"/>
      <c r="ILW90"/>
      <c r="ILX90"/>
      <c r="ILY90"/>
      <c r="ILZ90"/>
      <c r="IMA90"/>
      <c r="IMB90"/>
      <c r="IMC90"/>
      <c r="IMD90"/>
      <c r="IME90"/>
      <c r="IMF90"/>
      <c r="IMG90"/>
      <c r="IMH90"/>
      <c r="IMI90"/>
      <c r="IMJ90"/>
      <c r="IMK90"/>
      <c r="IML90"/>
      <c r="IMM90"/>
      <c r="IMN90"/>
      <c r="IMO90"/>
      <c r="IMP90"/>
      <c r="IMQ90"/>
      <c r="IMR90"/>
      <c r="IMS90"/>
      <c r="IMT90"/>
      <c r="IMU90"/>
      <c r="IMV90"/>
      <c r="IMW90"/>
      <c r="IMX90"/>
      <c r="IMY90"/>
      <c r="IMZ90"/>
      <c r="INA90"/>
      <c r="INB90"/>
      <c r="INC90"/>
      <c r="IND90"/>
      <c r="INE90"/>
      <c r="INF90"/>
      <c r="ING90"/>
      <c r="INH90"/>
      <c r="INI90"/>
      <c r="INJ90"/>
      <c r="INK90"/>
      <c r="INL90"/>
      <c r="INM90"/>
      <c r="INN90"/>
      <c r="INO90"/>
      <c r="INP90"/>
      <c r="INQ90"/>
      <c r="INR90"/>
      <c r="INS90"/>
      <c r="INT90"/>
      <c r="INU90"/>
      <c r="INV90"/>
      <c r="INW90"/>
      <c r="INX90"/>
      <c r="INY90"/>
      <c r="INZ90"/>
      <c r="IOA90"/>
      <c r="IOB90"/>
      <c r="IOC90"/>
      <c r="IOD90"/>
      <c r="IOE90"/>
      <c r="IOF90"/>
      <c r="IOG90"/>
      <c r="IOH90"/>
      <c r="IOI90"/>
      <c r="IOJ90"/>
      <c r="IOK90"/>
      <c r="IOL90"/>
      <c r="IOM90"/>
      <c r="ION90"/>
      <c r="IOO90"/>
      <c r="IOP90"/>
      <c r="IOQ90"/>
      <c r="IOR90"/>
      <c r="IOS90"/>
      <c r="IOT90"/>
      <c r="IOU90"/>
      <c r="IOV90"/>
      <c r="IOW90"/>
      <c r="IOX90"/>
      <c r="IOY90"/>
      <c r="IOZ90"/>
      <c r="IPA90"/>
      <c r="IPB90"/>
      <c r="IPC90"/>
      <c r="IPD90"/>
      <c r="IPE90"/>
      <c r="IPF90"/>
      <c r="IPG90"/>
      <c r="IPH90"/>
      <c r="IPI90"/>
      <c r="IPJ90"/>
      <c r="IPK90"/>
      <c r="IPL90"/>
      <c r="IPM90"/>
      <c r="IPN90"/>
      <c r="IPO90"/>
      <c r="IPP90"/>
      <c r="IPQ90"/>
      <c r="IPR90"/>
      <c r="IPS90"/>
      <c r="IPT90"/>
      <c r="IPU90"/>
      <c r="IPV90"/>
      <c r="IPW90"/>
      <c r="IPX90"/>
      <c r="IPY90"/>
      <c r="IPZ90"/>
      <c r="IQA90"/>
      <c r="IQB90"/>
      <c r="IQC90"/>
      <c r="IQD90"/>
      <c r="IQE90"/>
      <c r="IQF90"/>
      <c r="IQG90"/>
      <c r="IQH90"/>
      <c r="IQI90"/>
      <c r="IQJ90"/>
      <c r="IQK90"/>
      <c r="IQL90"/>
      <c r="IQM90"/>
      <c r="IQN90"/>
      <c r="IQO90"/>
      <c r="IQP90"/>
      <c r="IQQ90"/>
      <c r="IQR90"/>
      <c r="IQS90"/>
      <c r="IQT90"/>
      <c r="IQU90"/>
      <c r="IQV90"/>
      <c r="IQW90"/>
      <c r="IQX90"/>
      <c r="IQY90"/>
      <c r="IQZ90"/>
      <c r="IRA90"/>
      <c r="IRB90"/>
      <c r="IRC90"/>
      <c r="IRD90"/>
      <c r="IRE90"/>
      <c r="IRF90"/>
      <c r="IRG90"/>
      <c r="IRH90"/>
      <c r="IRI90"/>
      <c r="IRJ90"/>
      <c r="IRK90"/>
      <c r="IRL90"/>
      <c r="IRM90"/>
      <c r="IRN90"/>
      <c r="IRO90"/>
      <c r="IRP90"/>
      <c r="IRQ90"/>
      <c r="IRR90"/>
      <c r="IRS90"/>
      <c r="IRT90"/>
      <c r="IRU90"/>
      <c r="IRV90"/>
      <c r="IRW90"/>
      <c r="IRX90"/>
      <c r="IRY90"/>
      <c r="IRZ90"/>
      <c r="ISA90"/>
      <c r="ISB90"/>
      <c r="ISC90"/>
      <c r="ISD90"/>
      <c r="ISE90"/>
      <c r="ISF90"/>
      <c r="ISG90"/>
      <c r="ISH90"/>
      <c r="ISI90"/>
      <c r="ISJ90"/>
      <c r="ISK90"/>
      <c r="ISL90"/>
      <c r="ISM90"/>
      <c r="ISN90"/>
      <c r="ISO90"/>
      <c r="ISP90"/>
      <c r="ISQ90"/>
      <c r="ISR90"/>
      <c r="ISS90"/>
      <c r="IST90"/>
      <c r="ISU90"/>
      <c r="ISV90"/>
      <c r="ISW90"/>
      <c r="ISX90"/>
      <c r="ISY90"/>
      <c r="ISZ90"/>
      <c r="ITA90"/>
      <c r="ITB90"/>
      <c r="ITC90"/>
      <c r="ITD90"/>
      <c r="ITE90"/>
      <c r="ITF90"/>
      <c r="ITG90"/>
      <c r="ITH90"/>
      <c r="ITI90"/>
      <c r="ITJ90"/>
      <c r="ITK90"/>
      <c r="ITL90"/>
      <c r="ITM90"/>
      <c r="ITN90"/>
      <c r="ITO90"/>
      <c r="ITP90"/>
      <c r="ITQ90"/>
      <c r="ITR90"/>
      <c r="ITS90"/>
      <c r="ITT90"/>
      <c r="ITU90"/>
      <c r="ITV90"/>
      <c r="ITW90"/>
      <c r="ITX90"/>
      <c r="ITY90"/>
      <c r="ITZ90"/>
      <c r="IUA90"/>
      <c r="IUB90"/>
      <c r="IUC90"/>
      <c r="IUD90"/>
      <c r="IUE90"/>
      <c r="IUF90"/>
      <c r="IUG90"/>
      <c r="IUH90"/>
      <c r="IUI90"/>
      <c r="IUJ90"/>
      <c r="IUK90"/>
      <c r="IUL90"/>
      <c r="IUM90"/>
      <c r="IUN90"/>
      <c r="IUO90"/>
      <c r="IUP90"/>
      <c r="IUQ90"/>
      <c r="IUR90"/>
      <c r="IUS90"/>
      <c r="IUT90"/>
      <c r="IUU90"/>
      <c r="IUV90"/>
      <c r="IUW90"/>
      <c r="IUX90"/>
      <c r="IUY90"/>
      <c r="IUZ90"/>
      <c r="IVA90"/>
      <c r="IVB90"/>
      <c r="IVC90"/>
      <c r="IVD90"/>
      <c r="IVE90"/>
      <c r="IVF90"/>
      <c r="IVG90"/>
      <c r="IVH90"/>
      <c r="IVI90"/>
      <c r="IVJ90"/>
      <c r="IVK90"/>
      <c r="IVL90"/>
      <c r="IVM90"/>
      <c r="IVN90"/>
      <c r="IVO90"/>
      <c r="IVP90"/>
      <c r="IVQ90"/>
      <c r="IVR90"/>
      <c r="IVS90"/>
      <c r="IVT90"/>
      <c r="IVU90"/>
      <c r="IVV90"/>
      <c r="IVW90"/>
      <c r="IVX90"/>
      <c r="IVY90"/>
      <c r="IVZ90"/>
      <c r="IWA90"/>
      <c r="IWB90"/>
      <c r="IWC90"/>
      <c r="IWD90"/>
      <c r="IWE90"/>
      <c r="IWF90"/>
      <c r="IWG90"/>
      <c r="IWH90"/>
      <c r="IWI90"/>
      <c r="IWJ90"/>
      <c r="IWK90"/>
      <c r="IWL90"/>
      <c r="IWM90"/>
      <c r="IWN90"/>
      <c r="IWO90"/>
      <c r="IWP90"/>
      <c r="IWQ90"/>
      <c r="IWR90"/>
      <c r="IWS90"/>
      <c r="IWT90"/>
      <c r="IWU90"/>
      <c r="IWV90"/>
      <c r="IWW90"/>
      <c r="IWX90"/>
      <c r="IWY90"/>
      <c r="IWZ90"/>
      <c r="IXA90"/>
      <c r="IXB90"/>
      <c r="IXC90"/>
      <c r="IXD90"/>
      <c r="IXE90"/>
      <c r="IXF90"/>
      <c r="IXG90"/>
      <c r="IXH90"/>
      <c r="IXI90"/>
      <c r="IXJ90"/>
      <c r="IXK90"/>
      <c r="IXL90"/>
      <c r="IXM90"/>
      <c r="IXN90"/>
      <c r="IXO90"/>
      <c r="IXP90"/>
      <c r="IXQ90"/>
      <c r="IXR90"/>
      <c r="IXS90"/>
      <c r="IXT90"/>
      <c r="IXU90"/>
      <c r="IXV90"/>
      <c r="IXW90"/>
      <c r="IXX90"/>
      <c r="IXY90"/>
      <c r="IXZ90"/>
      <c r="IYA90"/>
      <c r="IYB90"/>
      <c r="IYC90"/>
      <c r="IYD90"/>
      <c r="IYE90"/>
      <c r="IYF90"/>
      <c r="IYG90"/>
      <c r="IYH90"/>
      <c r="IYI90"/>
      <c r="IYJ90"/>
      <c r="IYK90"/>
      <c r="IYL90"/>
      <c r="IYM90"/>
      <c r="IYN90"/>
      <c r="IYO90"/>
      <c r="IYP90"/>
      <c r="IYQ90"/>
      <c r="IYR90"/>
      <c r="IYS90"/>
      <c r="IYT90"/>
      <c r="IYU90"/>
      <c r="IYV90"/>
      <c r="IYW90"/>
      <c r="IYX90"/>
      <c r="IYY90"/>
      <c r="IYZ90"/>
      <c r="IZA90"/>
      <c r="IZB90"/>
      <c r="IZC90"/>
      <c r="IZD90"/>
      <c r="IZE90"/>
      <c r="IZF90"/>
      <c r="IZG90"/>
      <c r="IZH90"/>
      <c r="IZI90"/>
      <c r="IZJ90"/>
      <c r="IZK90"/>
      <c r="IZL90"/>
      <c r="IZM90"/>
      <c r="IZN90"/>
      <c r="IZO90"/>
      <c r="IZP90"/>
      <c r="IZQ90"/>
      <c r="IZR90"/>
      <c r="IZS90"/>
      <c r="IZT90"/>
      <c r="IZU90"/>
      <c r="IZV90"/>
      <c r="IZW90"/>
      <c r="IZX90"/>
      <c r="IZY90"/>
      <c r="IZZ90"/>
      <c r="JAA90"/>
      <c r="JAB90"/>
      <c r="JAC90"/>
      <c r="JAD90"/>
      <c r="JAE90"/>
      <c r="JAF90"/>
      <c r="JAG90"/>
      <c r="JAH90"/>
      <c r="JAI90"/>
      <c r="JAJ90"/>
      <c r="JAK90"/>
      <c r="JAL90"/>
      <c r="JAM90"/>
      <c r="JAN90"/>
      <c r="JAO90"/>
      <c r="JAP90"/>
      <c r="JAQ90"/>
      <c r="JAR90"/>
      <c r="JAS90"/>
      <c r="JAT90"/>
      <c r="JAU90"/>
      <c r="JAV90"/>
      <c r="JAW90"/>
      <c r="JAX90"/>
      <c r="JAY90"/>
      <c r="JAZ90"/>
      <c r="JBA90"/>
      <c r="JBB90"/>
      <c r="JBC90"/>
      <c r="JBD90"/>
      <c r="JBE90"/>
      <c r="JBF90"/>
      <c r="JBG90"/>
      <c r="JBH90"/>
      <c r="JBI90"/>
      <c r="JBJ90"/>
      <c r="JBK90"/>
      <c r="JBL90"/>
      <c r="JBM90"/>
      <c r="JBN90"/>
      <c r="JBO90"/>
      <c r="JBP90"/>
      <c r="JBQ90"/>
      <c r="JBR90"/>
      <c r="JBS90"/>
      <c r="JBT90"/>
      <c r="JBU90"/>
      <c r="JBV90"/>
      <c r="JBW90"/>
      <c r="JBX90"/>
      <c r="JBY90"/>
      <c r="JBZ90"/>
      <c r="JCA90"/>
      <c r="JCB90"/>
      <c r="JCC90"/>
      <c r="JCD90"/>
      <c r="JCE90"/>
      <c r="JCF90"/>
      <c r="JCG90"/>
      <c r="JCH90"/>
      <c r="JCI90"/>
      <c r="JCJ90"/>
      <c r="JCK90"/>
      <c r="JCL90"/>
      <c r="JCM90"/>
      <c r="JCN90"/>
      <c r="JCO90"/>
      <c r="JCP90"/>
      <c r="JCQ90"/>
      <c r="JCR90"/>
      <c r="JCS90"/>
      <c r="JCT90"/>
      <c r="JCU90"/>
      <c r="JCV90"/>
      <c r="JCW90"/>
      <c r="JCX90"/>
      <c r="JCY90"/>
      <c r="JCZ90"/>
      <c r="JDA90"/>
      <c r="JDB90"/>
      <c r="JDC90"/>
      <c r="JDD90"/>
      <c r="JDE90"/>
      <c r="JDF90"/>
      <c r="JDG90"/>
      <c r="JDH90"/>
      <c r="JDI90"/>
      <c r="JDJ90"/>
      <c r="JDK90"/>
      <c r="JDL90"/>
      <c r="JDM90"/>
      <c r="JDN90"/>
      <c r="JDO90"/>
      <c r="JDP90"/>
      <c r="JDQ90"/>
      <c r="JDR90"/>
      <c r="JDS90"/>
      <c r="JDT90"/>
      <c r="JDU90"/>
      <c r="JDV90"/>
      <c r="JDW90"/>
      <c r="JDX90"/>
      <c r="JDY90"/>
      <c r="JDZ90"/>
      <c r="JEA90"/>
      <c r="JEB90"/>
      <c r="JEC90"/>
      <c r="JED90"/>
      <c r="JEE90"/>
      <c r="JEF90"/>
      <c r="JEG90"/>
      <c r="JEH90"/>
      <c r="JEI90"/>
      <c r="JEJ90"/>
      <c r="JEK90"/>
      <c r="JEL90"/>
      <c r="JEM90"/>
      <c r="JEN90"/>
      <c r="JEO90"/>
      <c r="JEP90"/>
      <c r="JEQ90"/>
      <c r="JER90"/>
      <c r="JES90"/>
      <c r="JET90"/>
      <c r="JEU90"/>
      <c r="JEV90"/>
      <c r="JEW90"/>
      <c r="JEX90"/>
      <c r="JEY90"/>
      <c r="JEZ90"/>
      <c r="JFA90"/>
      <c r="JFB90"/>
      <c r="JFC90"/>
      <c r="JFD90"/>
      <c r="JFE90"/>
      <c r="JFF90"/>
      <c r="JFG90"/>
      <c r="JFH90"/>
      <c r="JFI90"/>
      <c r="JFJ90"/>
      <c r="JFK90"/>
      <c r="JFL90"/>
      <c r="JFM90"/>
      <c r="JFN90"/>
      <c r="JFO90"/>
      <c r="JFP90"/>
      <c r="JFQ90"/>
      <c r="JFR90"/>
      <c r="JFS90"/>
      <c r="JFT90"/>
      <c r="JFU90"/>
      <c r="JFV90"/>
      <c r="JFW90"/>
      <c r="JFX90"/>
      <c r="JFY90"/>
      <c r="JFZ90"/>
      <c r="JGA90"/>
      <c r="JGB90"/>
      <c r="JGC90"/>
      <c r="JGD90"/>
      <c r="JGE90"/>
      <c r="JGF90"/>
      <c r="JGG90"/>
      <c r="JGH90"/>
      <c r="JGI90"/>
      <c r="JGJ90"/>
      <c r="JGK90"/>
      <c r="JGL90"/>
      <c r="JGM90"/>
      <c r="JGN90"/>
      <c r="JGO90"/>
      <c r="JGP90"/>
      <c r="JGQ90"/>
      <c r="JGR90"/>
      <c r="JGS90"/>
      <c r="JGT90"/>
      <c r="JGU90"/>
      <c r="JGV90"/>
      <c r="JGW90"/>
      <c r="JGX90"/>
      <c r="JGY90"/>
      <c r="JGZ90"/>
      <c r="JHA90"/>
      <c r="JHB90"/>
      <c r="JHC90"/>
      <c r="JHD90"/>
      <c r="JHE90"/>
      <c r="JHF90"/>
      <c r="JHG90"/>
      <c r="JHH90"/>
      <c r="JHI90"/>
      <c r="JHJ90"/>
      <c r="JHK90"/>
      <c r="JHL90"/>
      <c r="JHM90"/>
      <c r="JHN90"/>
      <c r="JHO90"/>
      <c r="JHP90"/>
      <c r="JHQ90"/>
      <c r="JHR90"/>
      <c r="JHS90"/>
      <c r="JHT90"/>
      <c r="JHU90"/>
      <c r="JHV90"/>
      <c r="JHW90"/>
      <c r="JHX90"/>
      <c r="JHY90"/>
      <c r="JHZ90"/>
      <c r="JIA90"/>
      <c r="JIB90"/>
      <c r="JIC90"/>
      <c r="JID90"/>
      <c r="JIE90"/>
      <c r="JIF90"/>
      <c r="JIG90"/>
      <c r="JIH90"/>
      <c r="JII90"/>
      <c r="JIJ90"/>
      <c r="JIK90"/>
      <c r="JIL90"/>
      <c r="JIM90"/>
      <c r="JIN90"/>
      <c r="JIO90"/>
      <c r="JIP90"/>
      <c r="JIQ90"/>
      <c r="JIR90"/>
      <c r="JIS90"/>
      <c r="JIT90"/>
      <c r="JIU90"/>
      <c r="JIV90"/>
      <c r="JIW90"/>
      <c r="JIX90"/>
      <c r="JIY90"/>
      <c r="JIZ90"/>
      <c r="JJA90"/>
      <c r="JJB90"/>
      <c r="JJC90"/>
      <c r="JJD90"/>
      <c r="JJE90"/>
      <c r="JJF90"/>
      <c r="JJG90"/>
      <c r="JJH90"/>
      <c r="JJI90"/>
      <c r="JJJ90"/>
      <c r="JJK90"/>
      <c r="JJL90"/>
      <c r="JJM90"/>
      <c r="JJN90"/>
      <c r="JJO90"/>
      <c r="JJP90"/>
      <c r="JJQ90"/>
      <c r="JJR90"/>
      <c r="JJS90"/>
      <c r="JJT90"/>
      <c r="JJU90"/>
      <c r="JJV90"/>
      <c r="JJW90"/>
      <c r="JJX90"/>
      <c r="JJY90"/>
      <c r="JJZ90"/>
      <c r="JKA90"/>
      <c r="JKB90"/>
      <c r="JKC90"/>
      <c r="JKD90"/>
      <c r="JKE90"/>
      <c r="JKF90"/>
      <c r="JKG90"/>
      <c r="JKH90"/>
      <c r="JKI90"/>
      <c r="JKJ90"/>
      <c r="JKK90"/>
      <c r="JKL90"/>
      <c r="JKM90"/>
      <c r="JKN90"/>
      <c r="JKO90"/>
      <c r="JKP90"/>
      <c r="JKQ90"/>
      <c r="JKR90"/>
      <c r="JKS90"/>
      <c r="JKT90"/>
      <c r="JKU90"/>
      <c r="JKV90"/>
      <c r="JKW90"/>
      <c r="JKX90"/>
      <c r="JKY90"/>
      <c r="JKZ90"/>
      <c r="JLA90"/>
      <c r="JLB90"/>
      <c r="JLC90"/>
      <c r="JLD90"/>
      <c r="JLE90"/>
      <c r="JLF90"/>
      <c r="JLG90"/>
      <c r="JLH90"/>
      <c r="JLI90"/>
      <c r="JLJ90"/>
      <c r="JLK90"/>
      <c r="JLL90"/>
      <c r="JLM90"/>
      <c r="JLN90"/>
      <c r="JLO90"/>
      <c r="JLP90"/>
      <c r="JLQ90"/>
      <c r="JLR90"/>
      <c r="JLS90"/>
      <c r="JLT90"/>
      <c r="JLU90"/>
      <c r="JLV90"/>
      <c r="JLW90"/>
      <c r="JLX90"/>
      <c r="JLY90"/>
      <c r="JLZ90"/>
      <c r="JMA90"/>
      <c r="JMB90"/>
      <c r="JMC90"/>
      <c r="JMD90"/>
      <c r="JME90"/>
      <c r="JMF90"/>
      <c r="JMG90"/>
      <c r="JMH90"/>
      <c r="JMI90"/>
      <c r="JMJ90"/>
      <c r="JMK90"/>
      <c r="JML90"/>
      <c r="JMM90"/>
      <c r="JMN90"/>
      <c r="JMO90"/>
      <c r="JMP90"/>
      <c r="JMQ90"/>
      <c r="JMR90"/>
      <c r="JMS90"/>
      <c r="JMT90"/>
      <c r="JMU90"/>
      <c r="JMV90"/>
      <c r="JMW90"/>
      <c r="JMX90"/>
      <c r="JMY90"/>
      <c r="JMZ90"/>
      <c r="JNA90"/>
      <c r="JNB90"/>
      <c r="JNC90"/>
      <c r="JND90"/>
      <c r="JNE90"/>
      <c r="JNF90"/>
      <c r="JNG90"/>
      <c r="JNH90"/>
      <c r="JNI90"/>
      <c r="JNJ90"/>
      <c r="JNK90"/>
      <c r="JNL90"/>
      <c r="JNM90"/>
      <c r="JNN90"/>
      <c r="JNO90"/>
      <c r="JNP90"/>
      <c r="JNQ90"/>
      <c r="JNR90"/>
      <c r="JNS90"/>
      <c r="JNT90"/>
      <c r="JNU90"/>
      <c r="JNV90"/>
      <c r="JNW90"/>
      <c r="JNX90"/>
      <c r="JNY90"/>
      <c r="JNZ90"/>
      <c r="JOA90"/>
      <c r="JOB90"/>
      <c r="JOC90"/>
      <c r="JOD90"/>
      <c r="JOE90"/>
      <c r="JOF90"/>
      <c r="JOG90"/>
      <c r="JOH90"/>
      <c r="JOI90"/>
      <c r="JOJ90"/>
      <c r="JOK90"/>
      <c r="JOL90"/>
      <c r="JOM90"/>
      <c r="JON90"/>
      <c r="JOO90"/>
      <c r="JOP90"/>
      <c r="JOQ90"/>
      <c r="JOR90"/>
      <c r="JOS90"/>
      <c r="JOT90"/>
      <c r="JOU90"/>
      <c r="JOV90"/>
      <c r="JOW90"/>
      <c r="JOX90"/>
      <c r="JOY90"/>
      <c r="JOZ90"/>
      <c r="JPA90"/>
      <c r="JPB90"/>
      <c r="JPC90"/>
      <c r="JPD90"/>
      <c r="JPE90"/>
      <c r="JPF90"/>
      <c r="JPG90"/>
      <c r="JPH90"/>
      <c r="JPI90"/>
      <c r="JPJ90"/>
      <c r="JPK90"/>
      <c r="JPL90"/>
      <c r="JPM90"/>
      <c r="JPN90"/>
      <c r="JPO90"/>
      <c r="JPP90"/>
      <c r="JPQ90"/>
      <c r="JPR90"/>
      <c r="JPS90"/>
      <c r="JPT90"/>
      <c r="JPU90"/>
      <c r="JPV90"/>
      <c r="JPW90"/>
      <c r="JPX90"/>
      <c r="JPY90"/>
      <c r="JPZ90"/>
      <c r="JQA90"/>
      <c r="JQB90"/>
      <c r="JQC90"/>
      <c r="JQD90"/>
      <c r="JQE90"/>
      <c r="JQF90"/>
      <c r="JQG90"/>
      <c r="JQH90"/>
      <c r="JQI90"/>
      <c r="JQJ90"/>
      <c r="JQK90"/>
      <c r="JQL90"/>
      <c r="JQM90"/>
      <c r="JQN90"/>
      <c r="JQO90"/>
      <c r="JQP90"/>
      <c r="JQQ90"/>
      <c r="JQR90"/>
      <c r="JQS90"/>
      <c r="JQT90"/>
      <c r="JQU90"/>
      <c r="JQV90"/>
      <c r="JQW90"/>
      <c r="JQX90"/>
      <c r="JQY90"/>
      <c r="JQZ90"/>
      <c r="JRA90"/>
      <c r="JRB90"/>
      <c r="JRC90"/>
      <c r="JRD90"/>
      <c r="JRE90"/>
      <c r="JRF90"/>
      <c r="JRG90"/>
      <c r="JRH90"/>
      <c r="JRI90"/>
      <c r="JRJ90"/>
      <c r="JRK90"/>
      <c r="JRL90"/>
      <c r="JRM90"/>
      <c r="JRN90"/>
      <c r="JRO90"/>
      <c r="JRP90"/>
      <c r="JRQ90"/>
      <c r="JRR90"/>
      <c r="JRS90"/>
      <c r="JRT90"/>
      <c r="JRU90"/>
      <c r="JRV90"/>
      <c r="JRW90"/>
      <c r="JRX90"/>
      <c r="JRY90"/>
      <c r="JRZ90"/>
      <c r="JSA90"/>
      <c r="JSB90"/>
      <c r="JSC90"/>
      <c r="JSD90"/>
      <c r="JSE90"/>
      <c r="JSF90"/>
      <c r="JSG90"/>
      <c r="JSH90"/>
      <c r="JSI90"/>
      <c r="JSJ90"/>
      <c r="JSK90"/>
      <c r="JSL90"/>
      <c r="JSM90"/>
      <c r="JSN90"/>
      <c r="JSO90"/>
      <c r="JSP90"/>
      <c r="JSQ90"/>
      <c r="JSR90"/>
      <c r="JSS90"/>
      <c r="JST90"/>
      <c r="JSU90"/>
      <c r="JSV90"/>
      <c r="JSW90"/>
      <c r="JSX90"/>
      <c r="JSY90"/>
      <c r="JSZ90"/>
      <c r="JTA90"/>
      <c r="JTB90"/>
      <c r="JTC90"/>
      <c r="JTD90"/>
      <c r="JTE90"/>
      <c r="JTF90"/>
      <c r="JTG90"/>
      <c r="JTH90"/>
      <c r="JTI90"/>
      <c r="JTJ90"/>
      <c r="JTK90"/>
      <c r="JTL90"/>
      <c r="JTM90"/>
      <c r="JTN90"/>
      <c r="JTO90"/>
      <c r="JTP90"/>
      <c r="JTQ90"/>
      <c r="JTR90"/>
      <c r="JTS90"/>
      <c r="JTT90"/>
      <c r="JTU90"/>
      <c r="JTV90"/>
      <c r="JTW90"/>
      <c r="JTX90"/>
      <c r="JTY90"/>
      <c r="JTZ90"/>
      <c r="JUA90"/>
      <c r="JUB90"/>
      <c r="JUC90"/>
      <c r="JUD90"/>
      <c r="JUE90"/>
      <c r="JUF90"/>
      <c r="JUG90"/>
      <c r="JUH90"/>
      <c r="JUI90"/>
      <c r="JUJ90"/>
      <c r="JUK90"/>
      <c r="JUL90"/>
      <c r="JUM90"/>
      <c r="JUN90"/>
      <c r="JUO90"/>
      <c r="JUP90"/>
      <c r="JUQ90"/>
      <c r="JUR90"/>
      <c r="JUS90"/>
      <c r="JUT90"/>
      <c r="JUU90"/>
      <c r="JUV90"/>
      <c r="JUW90"/>
      <c r="JUX90"/>
      <c r="JUY90"/>
      <c r="JUZ90"/>
      <c r="JVA90"/>
      <c r="JVB90"/>
      <c r="JVC90"/>
      <c r="JVD90"/>
      <c r="JVE90"/>
      <c r="JVF90"/>
      <c r="JVG90"/>
      <c r="JVH90"/>
      <c r="JVI90"/>
      <c r="JVJ90"/>
      <c r="JVK90"/>
      <c r="JVL90"/>
      <c r="JVM90"/>
      <c r="JVN90"/>
      <c r="JVO90"/>
      <c r="JVP90"/>
      <c r="JVQ90"/>
      <c r="JVR90"/>
      <c r="JVS90"/>
      <c r="JVT90"/>
      <c r="JVU90"/>
      <c r="JVV90"/>
      <c r="JVW90"/>
      <c r="JVX90"/>
      <c r="JVY90"/>
      <c r="JVZ90"/>
      <c r="JWA90"/>
      <c r="JWB90"/>
      <c r="JWC90"/>
      <c r="JWD90"/>
      <c r="JWE90"/>
      <c r="JWF90"/>
      <c r="JWG90"/>
      <c r="JWH90"/>
      <c r="JWI90"/>
      <c r="JWJ90"/>
      <c r="JWK90"/>
      <c r="JWL90"/>
      <c r="JWM90"/>
      <c r="JWN90"/>
      <c r="JWO90"/>
      <c r="JWP90"/>
      <c r="JWQ90"/>
      <c r="JWR90"/>
      <c r="JWS90"/>
      <c r="JWT90"/>
      <c r="JWU90"/>
      <c r="JWV90"/>
      <c r="JWW90"/>
      <c r="JWX90"/>
      <c r="JWY90"/>
      <c r="JWZ90"/>
      <c r="JXA90"/>
      <c r="JXB90"/>
      <c r="JXC90"/>
      <c r="JXD90"/>
      <c r="JXE90"/>
      <c r="JXF90"/>
      <c r="JXG90"/>
      <c r="JXH90"/>
      <c r="JXI90"/>
      <c r="JXJ90"/>
      <c r="JXK90"/>
      <c r="JXL90"/>
      <c r="JXM90"/>
      <c r="JXN90"/>
      <c r="JXO90"/>
      <c r="JXP90"/>
      <c r="JXQ90"/>
      <c r="JXR90"/>
      <c r="JXS90"/>
      <c r="JXT90"/>
      <c r="JXU90"/>
      <c r="JXV90"/>
      <c r="JXW90"/>
      <c r="JXX90"/>
      <c r="JXY90"/>
      <c r="JXZ90"/>
      <c r="JYA90"/>
      <c r="JYB90"/>
      <c r="JYC90"/>
      <c r="JYD90"/>
      <c r="JYE90"/>
      <c r="JYF90"/>
      <c r="JYG90"/>
      <c r="JYH90"/>
      <c r="JYI90"/>
      <c r="JYJ90"/>
      <c r="JYK90"/>
      <c r="JYL90"/>
      <c r="JYM90"/>
      <c r="JYN90"/>
      <c r="JYO90"/>
      <c r="JYP90"/>
      <c r="JYQ90"/>
      <c r="JYR90"/>
      <c r="JYS90"/>
      <c r="JYT90"/>
      <c r="JYU90"/>
      <c r="JYV90"/>
      <c r="JYW90"/>
      <c r="JYX90"/>
      <c r="JYY90"/>
      <c r="JYZ90"/>
      <c r="JZA90"/>
      <c r="JZB90"/>
      <c r="JZC90"/>
      <c r="JZD90"/>
      <c r="JZE90"/>
      <c r="JZF90"/>
      <c r="JZG90"/>
      <c r="JZH90"/>
      <c r="JZI90"/>
      <c r="JZJ90"/>
      <c r="JZK90"/>
      <c r="JZL90"/>
      <c r="JZM90"/>
      <c r="JZN90"/>
      <c r="JZO90"/>
      <c r="JZP90"/>
      <c r="JZQ90"/>
      <c r="JZR90"/>
      <c r="JZS90"/>
      <c r="JZT90"/>
      <c r="JZU90"/>
      <c r="JZV90"/>
      <c r="JZW90"/>
      <c r="JZX90"/>
      <c r="JZY90"/>
      <c r="JZZ90"/>
      <c r="KAA90"/>
      <c r="KAB90"/>
      <c r="KAC90"/>
      <c r="KAD90"/>
      <c r="KAE90"/>
      <c r="KAF90"/>
      <c r="KAG90"/>
      <c r="KAH90"/>
      <c r="KAI90"/>
      <c r="KAJ90"/>
      <c r="KAK90"/>
      <c r="KAL90"/>
      <c r="KAM90"/>
      <c r="KAN90"/>
      <c r="KAO90"/>
      <c r="KAP90"/>
      <c r="KAQ90"/>
      <c r="KAR90"/>
      <c r="KAS90"/>
      <c r="KAT90"/>
      <c r="KAU90"/>
      <c r="KAV90"/>
      <c r="KAW90"/>
      <c r="KAX90"/>
      <c r="KAY90"/>
      <c r="KAZ90"/>
      <c r="KBA90"/>
      <c r="KBB90"/>
      <c r="KBC90"/>
      <c r="KBD90"/>
      <c r="KBE90"/>
      <c r="KBF90"/>
      <c r="KBG90"/>
      <c r="KBH90"/>
      <c r="KBI90"/>
      <c r="KBJ90"/>
      <c r="KBK90"/>
      <c r="KBL90"/>
      <c r="KBM90"/>
      <c r="KBN90"/>
      <c r="KBO90"/>
      <c r="KBP90"/>
      <c r="KBQ90"/>
      <c r="KBR90"/>
      <c r="KBS90"/>
      <c r="KBT90"/>
      <c r="KBU90"/>
      <c r="KBV90"/>
      <c r="KBW90"/>
      <c r="KBX90"/>
      <c r="KBY90"/>
      <c r="KBZ90"/>
      <c r="KCA90"/>
      <c r="KCB90"/>
      <c r="KCC90"/>
      <c r="KCD90"/>
      <c r="KCE90"/>
      <c r="KCF90"/>
      <c r="KCG90"/>
      <c r="KCH90"/>
      <c r="KCI90"/>
      <c r="KCJ90"/>
      <c r="KCK90"/>
      <c r="KCL90"/>
      <c r="KCM90"/>
      <c r="KCN90"/>
      <c r="KCO90"/>
      <c r="KCP90"/>
      <c r="KCQ90"/>
      <c r="KCR90"/>
      <c r="KCS90"/>
      <c r="KCT90"/>
      <c r="KCU90"/>
      <c r="KCV90"/>
      <c r="KCW90"/>
      <c r="KCX90"/>
      <c r="KCY90"/>
      <c r="KCZ90"/>
      <c r="KDA90"/>
      <c r="KDB90"/>
      <c r="KDC90"/>
      <c r="KDD90"/>
      <c r="KDE90"/>
      <c r="KDF90"/>
      <c r="KDG90"/>
      <c r="KDH90"/>
      <c r="KDI90"/>
      <c r="KDJ90"/>
      <c r="KDK90"/>
      <c r="KDL90"/>
      <c r="KDM90"/>
      <c r="KDN90"/>
      <c r="KDO90"/>
      <c r="KDP90"/>
      <c r="KDQ90"/>
      <c r="KDR90"/>
      <c r="KDS90"/>
      <c r="KDT90"/>
      <c r="KDU90"/>
      <c r="KDV90"/>
      <c r="KDW90"/>
      <c r="KDX90"/>
      <c r="KDY90"/>
      <c r="KDZ90"/>
      <c r="KEA90"/>
      <c r="KEB90"/>
      <c r="KEC90"/>
      <c r="KED90"/>
      <c r="KEE90"/>
      <c r="KEF90"/>
      <c r="KEG90"/>
      <c r="KEH90"/>
      <c r="KEI90"/>
      <c r="KEJ90"/>
      <c r="KEK90"/>
      <c r="KEL90"/>
      <c r="KEM90"/>
      <c r="KEN90"/>
      <c r="KEO90"/>
      <c r="KEP90"/>
      <c r="KEQ90"/>
      <c r="KER90"/>
      <c r="KES90"/>
      <c r="KET90"/>
      <c r="KEU90"/>
      <c r="KEV90"/>
      <c r="KEW90"/>
      <c r="KEX90"/>
      <c r="KEY90"/>
      <c r="KEZ90"/>
      <c r="KFA90"/>
      <c r="KFB90"/>
      <c r="KFC90"/>
      <c r="KFD90"/>
      <c r="KFE90"/>
      <c r="KFF90"/>
      <c r="KFG90"/>
      <c r="KFH90"/>
      <c r="KFI90"/>
      <c r="KFJ90"/>
      <c r="KFK90"/>
      <c r="KFL90"/>
      <c r="KFM90"/>
      <c r="KFN90"/>
      <c r="KFO90"/>
      <c r="KFP90"/>
      <c r="KFQ90"/>
      <c r="KFR90"/>
      <c r="KFS90"/>
      <c r="KFT90"/>
      <c r="KFU90"/>
      <c r="KFV90"/>
      <c r="KFW90"/>
      <c r="KFX90"/>
      <c r="KFY90"/>
      <c r="KFZ90"/>
      <c r="KGA90"/>
      <c r="KGB90"/>
      <c r="KGC90"/>
      <c r="KGD90"/>
      <c r="KGE90"/>
      <c r="KGF90"/>
      <c r="KGG90"/>
      <c r="KGH90"/>
      <c r="KGI90"/>
      <c r="KGJ90"/>
      <c r="KGK90"/>
      <c r="KGL90"/>
      <c r="KGM90"/>
      <c r="KGN90"/>
      <c r="KGO90"/>
      <c r="KGP90"/>
      <c r="KGQ90"/>
      <c r="KGR90"/>
      <c r="KGS90"/>
      <c r="KGT90"/>
      <c r="KGU90"/>
      <c r="KGV90"/>
      <c r="KGW90"/>
      <c r="KGX90"/>
      <c r="KGY90"/>
      <c r="KGZ90"/>
      <c r="KHA90"/>
      <c r="KHB90"/>
      <c r="KHC90"/>
      <c r="KHD90"/>
      <c r="KHE90"/>
      <c r="KHF90"/>
      <c r="KHG90"/>
      <c r="KHH90"/>
      <c r="KHI90"/>
      <c r="KHJ90"/>
      <c r="KHK90"/>
      <c r="KHL90"/>
      <c r="KHM90"/>
      <c r="KHN90"/>
      <c r="KHO90"/>
      <c r="KHP90"/>
      <c r="KHQ90"/>
      <c r="KHR90"/>
      <c r="KHS90"/>
      <c r="KHT90"/>
      <c r="KHU90"/>
      <c r="KHV90"/>
      <c r="KHW90"/>
      <c r="KHX90"/>
      <c r="KHY90"/>
      <c r="KHZ90"/>
      <c r="KIA90"/>
      <c r="KIB90"/>
      <c r="KIC90"/>
      <c r="KID90"/>
      <c r="KIE90"/>
      <c r="KIF90"/>
      <c r="KIG90"/>
      <c r="KIH90"/>
      <c r="KII90"/>
      <c r="KIJ90"/>
      <c r="KIK90"/>
      <c r="KIL90"/>
      <c r="KIM90"/>
      <c r="KIN90"/>
      <c r="KIO90"/>
      <c r="KIP90"/>
      <c r="KIQ90"/>
      <c r="KIR90"/>
      <c r="KIS90"/>
      <c r="KIT90"/>
      <c r="KIU90"/>
      <c r="KIV90"/>
      <c r="KIW90"/>
      <c r="KIX90"/>
      <c r="KIY90"/>
      <c r="KIZ90"/>
      <c r="KJA90"/>
      <c r="KJB90"/>
      <c r="KJC90"/>
      <c r="KJD90"/>
      <c r="KJE90"/>
      <c r="KJF90"/>
      <c r="KJG90"/>
      <c r="KJH90"/>
      <c r="KJI90"/>
      <c r="KJJ90"/>
      <c r="KJK90"/>
      <c r="KJL90"/>
      <c r="KJM90"/>
      <c r="KJN90"/>
      <c r="KJO90"/>
      <c r="KJP90"/>
      <c r="KJQ90"/>
      <c r="KJR90"/>
      <c r="KJS90"/>
      <c r="KJT90"/>
      <c r="KJU90"/>
      <c r="KJV90"/>
      <c r="KJW90"/>
      <c r="KJX90"/>
      <c r="KJY90"/>
      <c r="KJZ90"/>
      <c r="KKA90"/>
      <c r="KKB90"/>
      <c r="KKC90"/>
      <c r="KKD90"/>
      <c r="KKE90"/>
      <c r="KKF90"/>
      <c r="KKG90"/>
      <c r="KKH90"/>
      <c r="KKI90"/>
      <c r="KKJ90"/>
      <c r="KKK90"/>
      <c r="KKL90"/>
      <c r="KKM90"/>
      <c r="KKN90"/>
      <c r="KKO90"/>
      <c r="KKP90"/>
      <c r="KKQ90"/>
      <c r="KKR90"/>
      <c r="KKS90"/>
      <c r="KKT90"/>
      <c r="KKU90"/>
      <c r="KKV90"/>
      <c r="KKW90"/>
      <c r="KKX90"/>
      <c r="KKY90"/>
      <c r="KKZ90"/>
      <c r="KLA90"/>
      <c r="KLB90"/>
      <c r="KLC90"/>
      <c r="KLD90"/>
      <c r="KLE90"/>
      <c r="KLF90"/>
      <c r="KLG90"/>
      <c r="KLH90"/>
      <c r="KLI90"/>
      <c r="KLJ90"/>
      <c r="KLK90"/>
      <c r="KLL90"/>
      <c r="KLM90"/>
      <c r="KLN90"/>
      <c r="KLO90"/>
      <c r="KLP90"/>
      <c r="KLQ90"/>
      <c r="KLR90"/>
      <c r="KLS90"/>
      <c r="KLT90"/>
      <c r="KLU90"/>
      <c r="KLV90"/>
      <c r="KLW90"/>
      <c r="KLX90"/>
      <c r="KLY90"/>
      <c r="KLZ90"/>
      <c r="KMA90"/>
      <c r="KMB90"/>
      <c r="KMC90"/>
      <c r="KMD90"/>
      <c r="KME90"/>
      <c r="KMF90"/>
      <c r="KMG90"/>
      <c r="KMH90"/>
      <c r="KMI90"/>
      <c r="KMJ90"/>
      <c r="KMK90"/>
      <c r="KML90"/>
      <c r="KMM90"/>
      <c r="KMN90"/>
      <c r="KMO90"/>
      <c r="KMP90"/>
      <c r="KMQ90"/>
      <c r="KMR90"/>
      <c r="KMS90"/>
      <c r="KMT90"/>
      <c r="KMU90"/>
      <c r="KMV90"/>
      <c r="KMW90"/>
      <c r="KMX90"/>
      <c r="KMY90"/>
      <c r="KMZ90"/>
      <c r="KNA90"/>
      <c r="KNB90"/>
      <c r="KNC90"/>
      <c r="KND90"/>
      <c r="KNE90"/>
      <c r="KNF90"/>
      <c r="KNG90"/>
      <c r="KNH90"/>
      <c r="KNI90"/>
      <c r="KNJ90"/>
      <c r="KNK90"/>
      <c r="KNL90"/>
      <c r="KNM90"/>
      <c r="KNN90"/>
      <c r="KNO90"/>
      <c r="KNP90"/>
      <c r="KNQ90"/>
      <c r="KNR90"/>
      <c r="KNS90"/>
      <c r="KNT90"/>
      <c r="KNU90"/>
      <c r="KNV90"/>
      <c r="KNW90"/>
      <c r="KNX90"/>
      <c r="KNY90"/>
      <c r="KNZ90"/>
      <c r="KOA90"/>
      <c r="KOB90"/>
      <c r="KOC90"/>
      <c r="KOD90"/>
      <c r="KOE90"/>
      <c r="KOF90"/>
      <c r="KOG90"/>
      <c r="KOH90"/>
      <c r="KOI90"/>
      <c r="KOJ90"/>
      <c r="KOK90"/>
      <c r="KOL90"/>
      <c r="KOM90"/>
      <c r="KON90"/>
      <c r="KOO90"/>
      <c r="KOP90"/>
      <c r="KOQ90"/>
      <c r="KOR90"/>
      <c r="KOS90"/>
      <c r="KOT90"/>
      <c r="KOU90"/>
      <c r="KOV90"/>
      <c r="KOW90"/>
      <c r="KOX90"/>
      <c r="KOY90"/>
      <c r="KOZ90"/>
      <c r="KPA90"/>
      <c r="KPB90"/>
      <c r="KPC90"/>
      <c r="KPD90"/>
      <c r="KPE90"/>
      <c r="KPF90"/>
      <c r="KPG90"/>
      <c r="KPH90"/>
      <c r="KPI90"/>
      <c r="KPJ90"/>
      <c r="KPK90"/>
      <c r="KPL90"/>
      <c r="KPM90"/>
      <c r="KPN90"/>
      <c r="KPO90"/>
      <c r="KPP90"/>
      <c r="KPQ90"/>
      <c r="KPR90"/>
      <c r="KPS90"/>
      <c r="KPT90"/>
      <c r="KPU90"/>
      <c r="KPV90"/>
      <c r="KPW90"/>
      <c r="KPX90"/>
      <c r="KPY90"/>
      <c r="KPZ90"/>
      <c r="KQA90"/>
      <c r="KQB90"/>
      <c r="KQC90"/>
      <c r="KQD90"/>
      <c r="KQE90"/>
      <c r="KQF90"/>
      <c r="KQG90"/>
      <c r="KQH90"/>
      <c r="KQI90"/>
      <c r="KQJ90"/>
      <c r="KQK90"/>
      <c r="KQL90"/>
      <c r="KQM90"/>
      <c r="KQN90"/>
      <c r="KQO90"/>
      <c r="KQP90"/>
      <c r="KQQ90"/>
      <c r="KQR90"/>
      <c r="KQS90"/>
      <c r="KQT90"/>
      <c r="KQU90"/>
      <c r="KQV90"/>
      <c r="KQW90"/>
      <c r="KQX90"/>
      <c r="KQY90"/>
      <c r="KQZ90"/>
      <c r="KRA90"/>
      <c r="KRB90"/>
      <c r="KRC90"/>
      <c r="KRD90"/>
      <c r="KRE90"/>
      <c r="KRF90"/>
      <c r="KRG90"/>
      <c r="KRH90"/>
      <c r="KRI90"/>
      <c r="KRJ90"/>
      <c r="KRK90"/>
      <c r="KRL90"/>
      <c r="KRM90"/>
      <c r="KRN90"/>
      <c r="KRO90"/>
      <c r="KRP90"/>
      <c r="KRQ90"/>
      <c r="KRR90"/>
      <c r="KRS90"/>
      <c r="KRT90"/>
      <c r="KRU90"/>
      <c r="KRV90"/>
      <c r="KRW90"/>
      <c r="KRX90"/>
      <c r="KRY90"/>
      <c r="KRZ90"/>
      <c r="KSA90"/>
      <c r="KSB90"/>
      <c r="KSC90"/>
      <c r="KSD90"/>
      <c r="KSE90"/>
      <c r="KSF90"/>
      <c r="KSG90"/>
      <c r="KSH90"/>
      <c r="KSI90"/>
      <c r="KSJ90"/>
      <c r="KSK90"/>
      <c r="KSL90"/>
      <c r="KSM90"/>
      <c r="KSN90"/>
      <c r="KSO90"/>
      <c r="KSP90"/>
      <c r="KSQ90"/>
      <c r="KSR90"/>
      <c r="KSS90"/>
      <c r="KST90"/>
      <c r="KSU90"/>
      <c r="KSV90"/>
      <c r="KSW90"/>
      <c r="KSX90"/>
      <c r="KSY90"/>
      <c r="KSZ90"/>
      <c r="KTA90"/>
      <c r="KTB90"/>
      <c r="KTC90"/>
      <c r="KTD90"/>
      <c r="KTE90"/>
      <c r="KTF90"/>
      <c r="KTG90"/>
      <c r="KTH90"/>
      <c r="KTI90"/>
      <c r="KTJ90"/>
      <c r="KTK90"/>
      <c r="KTL90"/>
      <c r="KTM90"/>
      <c r="KTN90"/>
      <c r="KTO90"/>
      <c r="KTP90"/>
      <c r="KTQ90"/>
      <c r="KTR90"/>
      <c r="KTS90"/>
      <c r="KTT90"/>
      <c r="KTU90"/>
      <c r="KTV90"/>
      <c r="KTW90"/>
      <c r="KTX90"/>
      <c r="KTY90"/>
      <c r="KTZ90"/>
      <c r="KUA90"/>
      <c r="KUB90"/>
      <c r="KUC90"/>
      <c r="KUD90"/>
      <c r="KUE90"/>
      <c r="KUF90"/>
      <c r="KUG90"/>
      <c r="KUH90"/>
      <c r="KUI90"/>
      <c r="KUJ90"/>
      <c r="KUK90"/>
      <c r="KUL90"/>
      <c r="KUM90"/>
      <c r="KUN90"/>
      <c r="KUO90"/>
      <c r="KUP90"/>
      <c r="KUQ90"/>
      <c r="KUR90"/>
      <c r="KUS90"/>
      <c r="KUT90"/>
      <c r="KUU90"/>
      <c r="KUV90"/>
      <c r="KUW90"/>
      <c r="KUX90"/>
      <c r="KUY90"/>
      <c r="KUZ90"/>
      <c r="KVA90"/>
      <c r="KVB90"/>
      <c r="KVC90"/>
      <c r="KVD90"/>
      <c r="KVE90"/>
      <c r="KVF90"/>
      <c r="KVG90"/>
      <c r="KVH90"/>
      <c r="KVI90"/>
      <c r="KVJ90"/>
      <c r="KVK90"/>
      <c r="KVL90"/>
      <c r="KVM90"/>
      <c r="KVN90"/>
      <c r="KVO90"/>
      <c r="KVP90"/>
      <c r="KVQ90"/>
      <c r="KVR90"/>
      <c r="KVS90"/>
      <c r="KVT90"/>
      <c r="KVU90"/>
      <c r="KVV90"/>
      <c r="KVW90"/>
      <c r="KVX90"/>
      <c r="KVY90"/>
      <c r="KVZ90"/>
      <c r="KWA90"/>
      <c r="KWB90"/>
      <c r="KWC90"/>
      <c r="KWD90"/>
      <c r="KWE90"/>
      <c r="KWF90"/>
      <c r="KWG90"/>
      <c r="KWH90"/>
      <c r="KWI90"/>
      <c r="KWJ90"/>
      <c r="KWK90"/>
      <c r="KWL90"/>
      <c r="KWM90"/>
      <c r="KWN90"/>
      <c r="KWO90"/>
      <c r="KWP90"/>
      <c r="KWQ90"/>
      <c r="KWR90"/>
      <c r="KWS90"/>
      <c r="KWT90"/>
      <c r="KWU90"/>
      <c r="KWV90"/>
      <c r="KWW90"/>
      <c r="KWX90"/>
      <c r="KWY90"/>
      <c r="KWZ90"/>
      <c r="KXA90"/>
      <c r="KXB90"/>
      <c r="KXC90"/>
      <c r="KXD90"/>
      <c r="KXE90"/>
      <c r="KXF90"/>
      <c r="KXG90"/>
      <c r="KXH90"/>
      <c r="KXI90"/>
      <c r="KXJ90"/>
      <c r="KXK90"/>
      <c r="KXL90"/>
      <c r="KXM90"/>
      <c r="KXN90"/>
      <c r="KXO90"/>
      <c r="KXP90"/>
      <c r="KXQ90"/>
      <c r="KXR90"/>
      <c r="KXS90"/>
      <c r="KXT90"/>
      <c r="KXU90"/>
      <c r="KXV90"/>
      <c r="KXW90"/>
      <c r="KXX90"/>
      <c r="KXY90"/>
      <c r="KXZ90"/>
      <c r="KYA90"/>
      <c r="KYB90"/>
      <c r="KYC90"/>
      <c r="KYD90"/>
      <c r="KYE90"/>
      <c r="KYF90"/>
      <c r="KYG90"/>
      <c r="KYH90"/>
      <c r="KYI90"/>
      <c r="KYJ90"/>
      <c r="KYK90"/>
      <c r="KYL90"/>
      <c r="KYM90"/>
      <c r="KYN90"/>
      <c r="KYO90"/>
      <c r="KYP90"/>
      <c r="KYQ90"/>
      <c r="KYR90"/>
      <c r="KYS90"/>
      <c r="KYT90"/>
      <c r="KYU90"/>
      <c r="KYV90"/>
      <c r="KYW90"/>
      <c r="KYX90"/>
      <c r="KYY90"/>
      <c r="KYZ90"/>
      <c r="KZA90"/>
      <c r="KZB90"/>
      <c r="KZC90"/>
      <c r="KZD90"/>
      <c r="KZE90"/>
      <c r="KZF90"/>
      <c r="KZG90"/>
      <c r="KZH90"/>
      <c r="KZI90"/>
      <c r="KZJ90"/>
      <c r="KZK90"/>
      <c r="KZL90"/>
      <c r="KZM90"/>
      <c r="KZN90"/>
      <c r="KZO90"/>
      <c r="KZP90"/>
      <c r="KZQ90"/>
      <c r="KZR90"/>
      <c r="KZS90"/>
      <c r="KZT90"/>
      <c r="KZU90"/>
      <c r="KZV90"/>
      <c r="KZW90"/>
      <c r="KZX90"/>
      <c r="KZY90"/>
      <c r="KZZ90"/>
      <c r="LAA90"/>
      <c r="LAB90"/>
      <c r="LAC90"/>
      <c r="LAD90"/>
      <c r="LAE90"/>
      <c r="LAF90"/>
      <c r="LAG90"/>
      <c r="LAH90"/>
      <c r="LAI90"/>
      <c r="LAJ90"/>
      <c r="LAK90"/>
      <c r="LAL90"/>
      <c r="LAM90"/>
      <c r="LAN90"/>
      <c r="LAO90"/>
      <c r="LAP90"/>
      <c r="LAQ90"/>
      <c r="LAR90"/>
      <c r="LAS90"/>
      <c r="LAT90"/>
      <c r="LAU90"/>
      <c r="LAV90"/>
      <c r="LAW90"/>
      <c r="LAX90"/>
      <c r="LAY90"/>
      <c r="LAZ90"/>
      <c r="LBA90"/>
      <c r="LBB90"/>
      <c r="LBC90"/>
      <c r="LBD90"/>
      <c r="LBE90"/>
      <c r="LBF90"/>
      <c r="LBG90"/>
      <c r="LBH90"/>
      <c r="LBI90"/>
      <c r="LBJ90"/>
      <c r="LBK90"/>
      <c r="LBL90"/>
      <c r="LBM90"/>
      <c r="LBN90"/>
      <c r="LBO90"/>
      <c r="LBP90"/>
      <c r="LBQ90"/>
      <c r="LBR90"/>
      <c r="LBS90"/>
      <c r="LBT90"/>
      <c r="LBU90"/>
      <c r="LBV90"/>
      <c r="LBW90"/>
      <c r="LBX90"/>
      <c r="LBY90"/>
      <c r="LBZ90"/>
      <c r="LCA90"/>
      <c r="LCB90"/>
      <c r="LCC90"/>
      <c r="LCD90"/>
      <c r="LCE90"/>
      <c r="LCF90"/>
      <c r="LCG90"/>
      <c r="LCH90"/>
      <c r="LCI90"/>
      <c r="LCJ90"/>
      <c r="LCK90"/>
      <c r="LCL90"/>
      <c r="LCM90"/>
      <c r="LCN90"/>
      <c r="LCO90"/>
      <c r="LCP90"/>
      <c r="LCQ90"/>
      <c r="LCR90"/>
      <c r="LCS90"/>
      <c r="LCT90"/>
      <c r="LCU90"/>
      <c r="LCV90"/>
      <c r="LCW90"/>
      <c r="LCX90"/>
      <c r="LCY90"/>
      <c r="LCZ90"/>
      <c r="LDA90"/>
      <c r="LDB90"/>
      <c r="LDC90"/>
      <c r="LDD90"/>
      <c r="LDE90"/>
      <c r="LDF90"/>
      <c r="LDG90"/>
      <c r="LDH90"/>
      <c r="LDI90"/>
      <c r="LDJ90"/>
      <c r="LDK90"/>
      <c r="LDL90"/>
      <c r="LDM90"/>
      <c r="LDN90"/>
      <c r="LDO90"/>
      <c r="LDP90"/>
      <c r="LDQ90"/>
      <c r="LDR90"/>
      <c r="LDS90"/>
      <c r="LDT90"/>
      <c r="LDU90"/>
      <c r="LDV90"/>
      <c r="LDW90"/>
      <c r="LDX90"/>
      <c r="LDY90"/>
      <c r="LDZ90"/>
      <c r="LEA90"/>
      <c r="LEB90"/>
      <c r="LEC90"/>
      <c r="LED90"/>
      <c r="LEE90"/>
      <c r="LEF90"/>
      <c r="LEG90"/>
      <c r="LEH90"/>
      <c r="LEI90"/>
      <c r="LEJ90"/>
      <c r="LEK90"/>
      <c r="LEL90"/>
      <c r="LEM90"/>
      <c r="LEN90"/>
      <c r="LEO90"/>
      <c r="LEP90"/>
      <c r="LEQ90"/>
      <c r="LER90"/>
      <c r="LES90"/>
      <c r="LET90"/>
      <c r="LEU90"/>
      <c r="LEV90"/>
      <c r="LEW90"/>
      <c r="LEX90"/>
      <c r="LEY90"/>
      <c r="LEZ90"/>
      <c r="LFA90"/>
      <c r="LFB90"/>
      <c r="LFC90"/>
      <c r="LFD90"/>
      <c r="LFE90"/>
      <c r="LFF90"/>
      <c r="LFG90"/>
      <c r="LFH90"/>
      <c r="LFI90"/>
      <c r="LFJ90"/>
      <c r="LFK90"/>
      <c r="LFL90"/>
      <c r="LFM90"/>
      <c r="LFN90"/>
      <c r="LFO90"/>
      <c r="LFP90"/>
      <c r="LFQ90"/>
      <c r="LFR90"/>
      <c r="LFS90"/>
      <c r="LFT90"/>
      <c r="LFU90"/>
      <c r="LFV90"/>
      <c r="LFW90"/>
      <c r="LFX90"/>
      <c r="LFY90"/>
      <c r="LFZ90"/>
      <c r="LGA90"/>
      <c r="LGB90"/>
      <c r="LGC90"/>
      <c r="LGD90"/>
      <c r="LGE90"/>
      <c r="LGF90"/>
      <c r="LGG90"/>
      <c r="LGH90"/>
      <c r="LGI90"/>
      <c r="LGJ90"/>
      <c r="LGK90"/>
      <c r="LGL90"/>
      <c r="LGM90"/>
      <c r="LGN90"/>
      <c r="LGO90"/>
      <c r="LGP90"/>
      <c r="LGQ90"/>
      <c r="LGR90"/>
      <c r="LGS90"/>
      <c r="LGT90"/>
      <c r="LGU90"/>
      <c r="LGV90"/>
      <c r="LGW90"/>
      <c r="LGX90"/>
      <c r="LGY90"/>
      <c r="LGZ90"/>
      <c r="LHA90"/>
      <c r="LHB90"/>
      <c r="LHC90"/>
      <c r="LHD90"/>
      <c r="LHE90"/>
      <c r="LHF90"/>
      <c r="LHG90"/>
      <c r="LHH90"/>
      <c r="LHI90"/>
      <c r="LHJ90"/>
      <c r="LHK90"/>
      <c r="LHL90"/>
      <c r="LHM90"/>
      <c r="LHN90"/>
      <c r="LHO90"/>
      <c r="LHP90"/>
      <c r="LHQ90"/>
      <c r="LHR90"/>
      <c r="LHS90"/>
      <c r="LHT90"/>
      <c r="LHU90"/>
      <c r="LHV90"/>
      <c r="LHW90"/>
      <c r="LHX90"/>
      <c r="LHY90"/>
      <c r="LHZ90"/>
      <c r="LIA90"/>
      <c r="LIB90"/>
      <c r="LIC90"/>
      <c r="LID90"/>
      <c r="LIE90"/>
      <c r="LIF90"/>
      <c r="LIG90"/>
      <c r="LIH90"/>
      <c r="LII90"/>
      <c r="LIJ90"/>
      <c r="LIK90"/>
      <c r="LIL90"/>
      <c r="LIM90"/>
      <c r="LIN90"/>
      <c r="LIO90"/>
      <c r="LIP90"/>
      <c r="LIQ90"/>
      <c r="LIR90"/>
      <c r="LIS90"/>
      <c r="LIT90"/>
      <c r="LIU90"/>
      <c r="LIV90"/>
      <c r="LIW90"/>
      <c r="LIX90"/>
      <c r="LIY90"/>
      <c r="LIZ90"/>
      <c r="LJA90"/>
      <c r="LJB90"/>
      <c r="LJC90"/>
      <c r="LJD90"/>
      <c r="LJE90"/>
      <c r="LJF90"/>
      <c r="LJG90"/>
      <c r="LJH90"/>
      <c r="LJI90"/>
      <c r="LJJ90"/>
      <c r="LJK90"/>
      <c r="LJL90"/>
      <c r="LJM90"/>
      <c r="LJN90"/>
      <c r="LJO90"/>
      <c r="LJP90"/>
      <c r="LJQ90"/>
      <c r="LJR90"/>
      <c r="LJS90"/>
      <c r="LJT90"/>
      <c r="LJU90"/>
      <c r="LJV90"/>
      <c r="LJW90"/>
      <c r="LJX90"/>
      <c r="LJY90"/>
      <c r="LJZ90"/>
      <c r="LKA90"/>
      <c r="LKB90"/>
      <c r="LKC90"/>
      <c r="LKD90"/>
      <c r="LKE90"/>
      <c r="LKF90"/>
      <c r="LKG90"/>
      <c r="LKH90"/>
      <c r="LKI90"/>
      <c r="LKJ90"/>
      <c r="LKK90"/>
      <c r="LKL90"/>
      <c r="LKM90"/>
      <c r="LKN90"/>
      <c r="LKO90"/>
      <c r="LKP90"/>
      <c r="LKQ90"/>
      <c r="LKR90"/>
      <c r="LKS90"/>
      <c r="LKT90"/>
      <c r="LKU90"/>
      <c r="LKV90"/>
      <c r="LKW90"/>
      <c r="LKX90"/>
      <c r="LKY90"/>
      <c r="LKZ90"/>
      <c r="LLA90"/>
      <c r="LLB90"/>
      <c r="LLC90"/>
      <c r="LLD90"/>
      <c r="LLE90"/>
      <c r="LLF90"/>
      <c r="LLG90"/>
      <c r="LLH90"/>
      <c r="LLI90"/>
      <c r="LLJ90"/>
      <c r="LLK90"/>
      <c r="LLL90"/>
      <c r="LLM90"/>
      <c r="LLN90"/>
      <c r="LLO90"/>
      <c r="LLP90"/>
      <c r="LLQ90"/>
      <c r="LLR90"/>
      <c r="LLS90"/>
      <c r="LLT90"/>
      <c r="LLU90"/>
      <c r="LLV90"/>
      <c r="LLW90"/>
      <c r="LLX90"/>
      <c r="LLY90"/>
      <c r="LLZ90"/>
      <c r="LMA90"/>
      <c r="LMB90"/>
      <c r="LMC90"/>
      <c r="LMD90"/>
      <c r="LME90"/>
      <c r="LMF90"/>
      <c r="LMG90"/>
      <c r="LMH90"/>
      <c r="LMI90"/>
      <c r="LMJ90"/>
      <c r="LMK90"/>
      <c r="LML90"/>
      <c r="LMM90"/>
      <c r="LMN90"/>
      <c r="LMO90"/>
      <c r="LMP90"/>
      <c r="LMQ90"/>
      <c r="LMR90"/>
      <c r="LMS90"/>
      <c r="LMT90"/>
      <c r="LMU90"/>
      <c r="LMV90"/>
      <c r="LMW90"/>
      <c r="LMX90"/>
      <c r="LMY90"/>
      <c r="LMZ90"/>
      <c r="LNA90"/>
      <c r="LNB90"/>
      <c r="LNC90"/>
      <c r="LND90"/>
      <c r="LNE90"/>
      <c r="LNF90"/>
      <c r="LNG90"/>
      <c r="LNH90"/>
      <c r="LNI90"/>
      <c r="LNJ90"/>
      <c r="LNK90"/>
      <c r="LNL90"/>
      <c r="LNM90"/>
      <c r="LNN90"/>
      <c r="LNO90"/>
      <c r="LNP90"/>
      <c r="LNQ90"/>
      <c r="LNR90"/>
      <c r="LNS90"/>
      <c r="LNT90"/>
      <c r="LNU90"/>
      <c r="LNV90"/>
      <c r="LNW90"/>
      <c r="LNX90"/>
      <c r="LNY90"/>
      <c r="LNZ90"/>
      <c r="LOA90"/>
      <c r="LOB90"/>
      <c r="LOC90"/>
      <c r="LOD90"/>
      <c r="LOE90"/>
      <c r="LOF90"/>
      <c r="LOG90"/>
      <c r="LOH90"/>
      <c r="LOI90"/>
      <c r="LOJ90"/>
      <c r="LOK90"/>
      <c r="LOL90"/>
      <c r="LOM90"/>
      <c r="LON90"/>
      <c r="LOO90"/>
      <c r="LOP90"/>
      <c r="LOQ90"/>
      <c r="LOR90"/>
      <c r="LOS90"/>
      <c r="LOT90"/>
      <c r="LOU90"/>
      <c r="LOV90"/>
      <c r="LOW90"/>
      <c r="LOX90"/>
      <c r="LOY90"/>
      <c r="LOZ90"/>
      <c r="LPA90"/>
      <c r="LPB90"/>
      <c r="LPC90"/>
      <c r="LPD90"/>
      <c r="LPE90"/>
      <c r="LPF90"/>
      <c r="LPG90"/>
      <c r="LPH90"/>
      <c r="LPI90"/>
      <c r="LPJ90"/>
      <c r="LPK90"/>
      <c r="LPL90"/>
      <c r="LPM90"/>
      <c r="LPN90"/>
      <c r="LPO90"/>
      <c r="LPP90"/>
      <c r="LPQ90"/>
      <c r="LPR90"/>
      <c r="LPS90"/>
      <c r="LPT90"/>
      <c r="LPU90"/>
      <c r="LPV90"/>
      <c r="LPW90"/>
      <c r="LPX90"/>
      <c r="LPY90"/>
      <c r="LPZ90"/>
      <c r="LQA90"/>
      <c r="LQB90"/>
      <c r="LQC90"/>
      <c r="LQD90"/>
      <c r="LQE90"/>
      <c r="LQF90"/>
      <c r="LQG90"/>
      <c r="LQH90"/>
      <c r="LQI90"/>
      <c r="LQJ90"/>
      <c r="LQK90"/>
      <c r="LQL90"/>
      <c r="LQM90"/>
      <c r="LQN90"/>
      <c r="LQO90"/>
      <c r="LQP90"/>
      <c r="LQQ90"/>
      <c r="LQR90"/>
      <c r="LQS90"/>
      <c r="LQT90"/>
      <c r="LQU90"/>
      <c r="LQV90"/>
      <c r="LQW90"/>
      <c r="LQX90"/>
      <c r="LQY90"/>
      <c r="LQZ90"/>
      <c r="LRA90"/>
      <c r="LRB90"/>
      <c r="LRC90"/>
      <c r="LRD90"/>
      <c r="LRE90"/>
      <c r="LRF90"/>
      <c r="LRG90"/>
      <c r="LRH90"/>
      <c r="LRI90"/>
      <c r="LRJ90"/>
      <c r="LRK90"/>
      <c r="LRL90"/>
      <c r="LRM90"/>
      <c r="LRN90"/>
      <c r="LRO90"/>
      <c r="LRP90"/>
      <c r="LRQ90"/>
      <c r="LRR90"/>
      <c r="LRS90"/>
      <c r="LRT90"/>
      <c r="LRU90"/>
      <c r="LRV90"/>
      <c r="LRW90"/>
      <c r="LRX90"/>
      <c r="LRY90"/>
      <c r="LRZ90"/>
      <c r="LSA90"/>
      <c r="LSB90"/>
      <c r="LSC90"/>
      <c r="LSD90"/>
      <c r="LSE90"/>
      <c r="LSF90"/>
      <c r="LSG90"/>
      <c r="LSH90"/>
      <c r="LSI90"/>
      <c r="LSJ90"/>
      <c r="LSK90"/>
      <c r="LSL90"/>
      <c r="LSM90"/>
      <c r="LSN90"/>
      <c r="LSO90"/>
      <c r="LSP90"/>
      <c r="LSQ90"/>
      <c r="LSR90"/>
      <c r="LSS90"/>
      <c r="LST90"/>
      <c r="LSU90"/>
      <c r="LSV90"/>
      <c r="LSW90"/>
      <c r="LSX90"/>
      <c r="LSY90"/>
      <c r="LSZ90"/>
      <c r="LTA90"/>
      <c r="LTB90"/>
      <c r="LTC90"/>
      <c r="LTD90"/>
      <c r="LTE90"/>
      <c r="LTF90"/>
      <c r="LTG90"/>
      <c r="LTH90"/>
      <c r="LTI90"/>
      <c r="LTJ90"/>
      <c r="LTK90"/>
      <c r="LTL90"/>
      <c r="LTM90"/>
      <c r="LTN90"/>
      <c r="LTO90"/>
      <c r="LTP90"/>
      <c r="LTQ90"/>
      <c r="LTR90"/>
      <c r="LTS90"/>
      <c r="LTT90"/>
      <c r="LTU90"/>
      <c r="LTV90"/>
      <c r="LTW90"/>
      <c r="LTX90"/>
      <c r="LTY90"/>
      <c r="LTZ90"/>
      <c r="LUA90"/>
      <c r="LUB90"/>
      <c r="LUC90"/>
      <c r="LUD90"/>
      <c r="LUE90"/>
      <c r="LUF90"/>
      <c r="LUG90"/>
      <c r="LUH90"/>
      <c r="LUI90"/>
      <c r="LUJ90"/>
      <c r="LUK90"/>
      <c r="LUL90"/>
      <c r="LUM90"/>
      <c r="LUN90"/>
      <c r="LUO90"/>
      <c r="LUP90"/>
      <c r="LUQ90"/>
      <c r="LUR90"/>
      <c r="LUS90"/>
      <c r="LUT90"/>
      <c r="LUU90"/>
      <c r="LUV90"/>
      <c r="LUW90"/>
      <c r="LUX90"/>
      <c r="LUY90"/>
      <c r="LUZ90"/>
      <c r="LVA90"/>
      <c r="LVB90"/>
      <c r="LVC90"/>
      <c r="LVD90"/>
      <c r="LVE90"/>
      <c r="LVF90"/>
      <c r="LVG90"/>
      <c r="LVH90"/>
      <c r="LVI90"/>
      <c r="LVJ90"/>
      <c r="LVK90"/>
      <c r="LVL90"/>
      <c r="LVM90"/>
      <c r="LVN90"/>
      <c r="LVO90"/>
      <c r="LVP90"/>
      <c r="LVQ90"/>
      <c r="LVR90"/>
      <c r="LVS90"/>
      <c r="LVT90"/>
      <c r="LVU90"/>
      <c r="LVV90"/>
      <c r="LVW90"/>
      <c r="LVX90"/>
      <c r="LVY90"/>
      <c r="LVZ90"/>
      <c r="LWA90"/>
      <c r="LWB90"/>
      <c r="LWC90"/>
      <c r="LWD90"/>
      <c r="LWE90"/>
      <c r="LWF90"/>
      <c r="LWG90"/>
      <c r="LWH90"/>
      <c r="LWI90"/>
      <c r="LWJ90"/>
      <c r="LWK90"/>
      <c r="LWL90"/>
      <c r="LWM90"/>
      <c r="LWN90"/>
      <c r="LWO90"/>
      <c r="LWP90"/>
      <c r="LWQ90"/>
      <c r="LWR90"/>
      <c r="LWS90"/>
      <c r="LWT90"/>
      <c r="LWU90"/>
      <c r="LWV90"/>
      <c r="LWW90"/>
      <c r="LWX90"/>
      <c r="LWY90"/>
      <c r="LWZ90"/>
      <c r="LXA90"/>
      <c r="LXB90"/>
      <c r="LXC90"/>
      <c r="LXD90"/>
      <c r="LXE90"/>
      <c r="LXF90"/>
      <c r="LXG90"/>
      <c r="LXH90"/>
      <c r="LXI90"/>
      <c r="LXJ90"/>
      <c r="LXK90"/>
      <c r="LXL90"/>
      <c r="LXM90"/>
      <c r="LXN90"/>
      <c r="LXO90"/>
      <c r="LXP90"/>
      <c r="LXQ90"/>
      <c r="LXR90"/>
      <c r="LXS90"/>
      <c r="LXT90"/>
      <c r="LXU90"/>
      <c r="LXV90"/>
      <c r="LXW90"/>
      <c r="LXX90"/>
      <c r="LXY90"/>
      <c r="LXZ90"/>
      <c r="LYA90"/>
      <c r="LYB90"/>
      <c r="LYC90"/>
      <c r="LYD90"/>
      <c r="LYE90"/>
      <c r="LYF90"/>
      <c r="LYG90"/>
      <c r="LYH90"/>
      <c r="LYI90"/>
      <c r="LYJ90"/>
      <c r="LYK90"/>
      <c r="LYL90"/>
      <c r="LYM90"/>
      <c r="LYN90"/>
      <c r="LYO90"/>
      <c r="LYP90"/>
      <c r="LYQ90"/>
      <c r="LYR90"/>
      <c r="LYS90"/>
      <c r="LYT90"/>
      <c r="LYU90"/>
      <c r="LYV90"/>
      <c r="LYW90"/>
      <c r="LYX90"/>
      <c r="LYY90"/>
      <c r="LYZ90"/>
      <c r="LZA90"/>
      <c r="LZB90"/>
      <c r="LZC90"/>
      <c r="LZD90"/>
      <c r="LZE90"/>
      <c r="LZF90"/>
      <c r="LZG90"/>
      <c r="LZH90"/>
      <c r="LZI90"/>
      <c r="LZJ90"/>
      <c r="LZK90"/>
      <c r="LZL90"/>
      <c r="LZM90"/>
      <c r="LZN90"/>
      <c r="LZO90"/>
      <c r="LZP90"/>
      <c r="LZQ90"/>
      <c r="LZR90"/>
      <c r="LZS90"/>
      <c r="LZT90"/>
      <c r="LZU90"/>
      <c r="LZV90"/>
      <c r="LZW90"/>
      <c r="LZX90"/>
      <c r="LZY90"/>
      <c r="LZZ90"/>
      <c r="MAA90"/>
      <c r="MAB90"/>
      <c r="MAC90"/>
      <c r="MAD90"/>
      <c r="MAE90"/>
      <c r="MAF90"/>
      <c r="MAG90"/>
      <c r="MAH90"/>
      <c r="MAI90"/>
      <c r="MAJ90"/>
      <c r="MAK90"/>
      <c r="MAL90"/>
      <c r="MAM90"/>
      <c r="MAN90"/>
      <c r="MAO90"/>
      <c r="MAP90"/>
      <c r="MAQ90"/>
      <c r="MAR90"/>
      <c r="MAS90"/>
      <c r="MAT90"/>
      <c r="MAU90"/>
      <c r="MAV90"/>
      <c r="MAW90"/>
      <c r="MAX90"/>
      <c r="MAY90"/>
      <c r="MAZ90"/>
      <c r="MBA90"/>
      <c r="MBB90"/>
      <c r="MBC90"/>
      <c r="MBD90"/>
      <c r="MBE90"/>
      <c r="MBF90"/>
      <c r="MBG90"/>
      <c r="MBH90"/>
      <c r="MBI90"/>
      <c r="MBJ90"/>
      <c r="MBK90"/>
      <c r="MBL90"/>
      <c r="MBM90"/>
      <c r="MBN90"/>
      <c r="MBO90"/>
      <c r="MBP90"/>
      <c r="MBQ90"/>
      <c r="MBR90"/>
      <c r="MBS90"/>
      <c r="MBT90"/>
      <c r="MBU90"/>
      <c r="MBV90"/>
      <c r="MBW90"/>
      <c r="MBX90"/>
      <c r="MBY90"/>
      <c r="MBZ90"/>
      <c r="MCA90"/>
      <c r="MCB90"/>
      <c r="MCC90"/>
      <c r="MCD90"/>
      <c r="MCE90"/>
      <c r="MCF90"/>
      <c r="MCG90"/>
      <c r="MCH90"/>
      <c r="MCI90"/>
      <c r="MCJ90"/>
      <c r="MCK90"/>
      <c r="MCL90"/>
      <c r="MCM90"/>
      <c r="MCN90"/>
      <c r="MCO90"/>
      <c r="MCP90"/>
      <c r="MCQ90"/>
      <c r="MCR90"/>
      <c r="MCS90"/>
      <c r="MCT90"/>
      <c r="MCU90"/>
      <c r="MCV90"/>
      <c r="MCW90"/>
      <c r="MCX90"/>
      <c r="MCY90"/>
      <c r="MCZ90"/>
      <c r="MDA90"/>
      <c r="MDB90"/>
      <c r="MDC90"/>
      <c r="MDD90"/>
      <c r="MDE90"/>
      <c r="MDF90"/>
      <c r="MDG90"/>
      <c r="MDH90"/>
      <c r="MDI90"/>
      <c r="MDJ90"/>
      <c r="MDK90"/>
      <c r="MDL90"/>
      <c r="MDM90"/>
      <c r="MDN90"/>
      <c r="MDO90"/>
      <c r="MDP90"/>
      <c r="MDQ90"/>
      <c r="MDR90"/>
      <c r="MDS90"/>
      <c r="MDT90"/>
      <c r="MDU90"/>
      <c r="MDV90"/>
      <c r="MDW90"/>
      <c r="MDX90"/>
      <c r="MDY90"/>
      <c r="MDZ90"/>
      <c r="MEA90"/>
      <c r="MEB90"/>
      <c r="MEC90"/>
      <c r="MED90"/>
      <c r="MEE90"/>
      <c r="MEF90"/>
      <c r="MEG90"/>
      <c r="MEH90"/>
      <c r="MEI90"/>
      <c r="MEJ90"/>
      <c r="MEK90"/>
      <c r="MEL90"/>
      <c r="MEM90"/>
      <c r="MEN90"/>
      <c r="MEO90"/>
      <c r="MEP90"/>
      <c r="MEQ90"/>
      <c r="MER90"/>
      <c r="MES90"/>
      <c r="MET90"/>
      <c r="MEU90"/>
      <c r="MEV90"/>
      <c r="MEW90"/>
      <c r="MEX90"/>
      <c r="MEY90"/>
      <c r="MEZ90"/>
      <c r="MFA90"/>
      <c r="MFB90"/>
      <c r="MFC90"/>
      <c r="MFD90"/>
      <c r="MFE90"/>
      <c r="MFF90"/>
      <c r="MFG90"/>
      <c r="MFH90"/>
      <c r="MFI90"/>
      <c r="MFJ90"/>
      <c r="MFK90"/>
      <c r="MFL90"/>
      <c r="MFM90"/>
      <c r="MFN90"/>
      <c r="MFO90"/>
      <c r="MFP90"/>
      <c r="MFQ90"/>
      <c r="MFR90"/>
      <c r="MFS90"/>
      <c r="MFT90"/>
      <c r="MFU90"/>
      <c r="MFV90"/>
      <c r="MFW90"/>
      <c r="MFX90"/>
      <c r="MFY90"/>
      <c r="MFZ90"/>
      <c r="MGA90"/>
      <c r="MGB90"/>
      <c r="MGC90"/>
      <c r="MGD90"/>
      <c r="MGE90"/>
      <c r="MGF90"/>
      <c r="MGG90"/>
      <c r="MGH90"/>
      <c r="MGI90"/>
      <c r="MGJ90"/>
      <c r="MGK90"/>
      <c r="MGL90"/>
      <c r="MGM90"/>
      <c r="MGN90"/>
      <c r="MGO90"/>
      <c r="MGP90"/>
      <c r="MGQ90"/>
      <c r="MGR90"/>
      <c r="MGS90"/>
      <c r="MGT90"/>
      <c r="MGU90"/>
      <c r="MGV90"/>
      <c r="MGW90"/>
      <c r="MGX90"/>
      <c r="MGY90"/>
      <c r="MGZ90"/>
      <c r="MHA90"/>
      <c r="MHB90"/>
      <c r="MHC90"/>
      <c r="MHD90"/>
      <c r="MHE90"/>
      <c r="MHF90"/>
      <c r="MHG90"/>
      <c r="MHH90"/>
      <c r="MHI90"/>
      <c r="MHJ90"/>
      <c r="MHK90"/>
      <c r="MHL90"/>
      <c r="MHM90"/>
      <c r="MHN90"/>
      <c r="MHO90"/>
      <c r="MHP90"/>
      <c r="MHQ90"/>
      <c r="MHR90"/>
      <c r="MHS90"/>
      <c r="MHT90"/>
      <c r="MHU90"/>
      <c r="MHV90"/>
      <c r="MHW90"/>
      <c r="MHX90"/>
      <c r="MHY90"/>
      <c r="MHZ90"/>
      <c r="MIA90"/>
      <c r="MIB90"/>
      <c r="MIC90"/>
      <c r="MID90"/>
      <c r="MIE90"/>
      <c r="MIF90"/>
      <c r="MIG90"/>
      <c r="MIH90"/>
      <c r="MII90"/>
      <c r="MIJ90"/>
      <c r="MIK90"/>
      <c r="MIL90"/>
      <c r="MIM90"/>
      <c r="MIN90"/>
      <c r="MIO90"/>
      <c r="MIP90"/>
      <c r="MIQ90"/>
      <c r="MIR90"/>
      <c r="MIS90"/>
      <c r="MIT90"/>
      <c r="MIU90"/>
      <c r="MIV90"/>
      <c r="MIW90"/>
      <c r="MIX90"/>
      <c r="MIY90"/>
      <c r="MIZ90"/>
      <c r="MJA90"/>
      <c r="MJB90"/>
      <c r="MJC90"/>
      <c r="MJD90"/>
      <c r="MJE90"/>
      <c r="MJF90"/>
      <c r="MJG90"/>
      <c r="MJH90"/>
      <c r="MJI90"/>
      <c r="MJJ90"/>
      <c r="MJK90"/>
      <c r="MJL90"/>
      <c r="MJM90"/>
      <c r="MJN90"/>
      <c r="MJO90"/>
      <c r="MJP90"/>
      <c r="MJQ90"/>
      <c r="MJR90"/>
      <c r="MJS90"/>
      <c r="MJT90"/>
      <c r="MJU90"/>
      <c r="MJV90"/>
      <c r="MJW90"/>
      <c r="MJX90"/>
      <c r="MJY90"/>
      <c r="MJZ90"/>
      <c r="MKA90"/>
      <c r="MKB90"/>
      <c r="MKC90"/>
      <c r="MKD90"/>
      <c r="MKE90"/>
      <c r="MKF90"/>
      <c r="MKG90"/>
      <c r="MKH90"/>
      <c r="MKI90"/>
      <c r="MKJ90"/>
      <c r="MKK90"/>
      <c r="MKL90"/>
      <c r="MKM90"/>
      <c r="MKN90"/>
      <c r="MKO90"/>
      <c r="MKP90"/>
      <c r="MKQ90"/>
      <c r="MKR90"/>
      <c r="MKS90"/>
      <c r="MKT90"/>
      <c r="MKU90"/>
      <c r="MKV90"/>
      <c r="MKW90"/>
      <c r="MKX90"/>
      <c r="MKY90"/>
      <c r="MKZ90"/>
      <c r="MLA90"/>
      <c r="MLB90"/>
      <c r="MLC90"/>
      <c r="MLD90"/>
      <c r="MLE90"/>
      <c r="MLF90"/>
      <c r="MLG90"/>
      <c r="MLH90"/>
      <c r="MLI90"/>
      <c r="MLJ90"/>
      <c r="MLK90"/>
      <c r="MLL90"/>
      <c r="MLM90"/>
      <c r="MLN90"/>
      <c r="MLO90"/>
      <c r="MLP90"/>
      <c r="MLQ90"/>
      <c r="MLR90"/>
      <c r="MLS90"/>
      <c r="MLT90"/>
      <c r="MLU90"/>
      <c r="MLV90"/>
      <c r="MLW90"/>
      <c r="MLX90"/>
      <c r="MLY90"/>
      <c r="MLZ90"/>
      <c r="MMA90"/>
      <c r="MMB90"/>
      <c r="MMC90"/>
      <c r="MMD90"/>
      <c r="MME90"/>
      <c r="MMF90"/>
      <c r="MMG90"/>
      <c r="MMH90"/>
      <c r="MMI90"/>
      <c r="MMJ90"/>
      <c r="MMK90"/>
      <c r="MML90"/>
      <c r="MMM90"/>
      <c r="MMN90"/>
      <c r="MMO90"/>
      <c r="MMP90"/>
      <c r="MMQ90"/>
      <c r="MMR90"/>
      <c r="MMS90"/>
      <c r="MMT90"/>
      <c r="MMU90"/>
      <c r="MMV90"/>
      <c r="MMW90"/>
      <c r="MMX90"/>
      <c r="MMY90"/>
      <c r="MMZ90"/>
      <c r="MNA90"/>
      <c r="MNB90"/>
      <c r="MNC90"/>
      <c r="MND90"/>
      <c r="MNE90"/>
      <c r="MNF90"/>
      <c r="MNG90"/>
      <c r="MNH90"/>
      <c r="MNI90"/>
      <c r="MNJ90"/>
      <c r="MNK90"/>
      <c r="MNL90"/>
      <c r="MNM90"/>
      <c r="MNN90"/>
      <c r="MNO90"/>
      <c r="MNP90"/>
      <c r="MNQ90"/>
      <c r="MNR90"/>
      <c r="MNS90"/>
      <c r="MNT90"/>
      <c r="MNU90"/>
      <c r="MNV90"/>
      <c r="MNW90"/>
      <c r="MNX90"/>
      <c r="MNY90"/>
      <c r="MNZ90"/>
      <c r="MOA90"/>
      <c r="MOB90"/>
      <c r="MOC90"/>
      <c r="MOD90"/>
      <c r="MOE90"/>
      <c r="MOF90"/>
      <c r="MOG90"/>
      <c r="MOH90"/>
      <c r="MOI90"/>
      <c r="MOJ90"/>
      <c r="MOK90"/>
      <c r="MOL90"/>
      <c r="MOM90"/>
      <c r="MON90"/>
      <c r="MOO90"/>
      <c r="MOP90"/>
      <c r="MOQ90"/>
      <c r="MOR90"/>
      <c r="MOS90"/>
      <c r="MOT90"/>
      <c r="MOU90"/>
      <c r="MOV90"/>
      <c r="MOW90"/>
      <c r="MOX90"/>
      <c r="MOY90"/>
      <c r="MOZ90"/>
      <c r="MPA90"/>
      <c r="MPB90"/>
      <c r="MPC90"/>
      <c r="MPD90"/>
      <c r="MPE90"/>
      <c r="MPF90"/>
      <c r="MPG90"/>
      <c r="MPH90"/>
      <c r="MPI90"/>
      <c r="MPJ90"/>
      <c r="MPK90"/>
      <c r="MPL90"/>
      <c r="MPM90"/>
      <c r="MPN90"/>
      <c r="MPO90"/>
      <c r="MPP90"/>
      <c r="MPQ90"/>
      <c r="MPR90"/>
      <c r="MPS90"/>
      <c r="MPT90"/>
      <c r="MPU90"/>
      <c r="MPV90"/>
      <c r="MPW90"/>
      <c r="MPX90"/>
      <c r="MPY90"/>
      <c r="MPZ90"/>
      <c r="MQA90"/>
      <c r="MQB90"/>
      <c r="MQC90"/>
      <c r="MQD90"/>
      <c r="MQE90"/>
      <c r="MQF90"/>
      <c r="MQG90"/>
      <c r="MQH90"/>
      <c r="MQI90"/>
      <c r="MQJ90"/>
      <c r="MQK90"/>
      <c r="MQL90"/>
      <c r="MQM90"/>
      <c r="MQN90"/>
      <c r="MQO90"/>
      <c r="MQP90"/>
      <c r="MQQ90"/>
      <c r="MQR90"/>
      <c r="MQS90"/>
      <c r="MQT90"/>
      <c r="MQU90"/>
      <c r="MQV90"/>
      <c r="MQW90"/>
      <c r="MQX90"/>
      <c r="MQY90"/>
      <c r="MQZ90"/>
      <c r="MRA90"/>
      <c r="MRB90"/>
      <c r="MRC90"/>
      <c r="MRD90"/>
      <c r="MRE90"/>
      <c r="MRF90"/>
      <c r="MRG90"/>
      <c r="MRH90"/>
      <c r="MRI90"/>
      <c r="MRJ90"/>
      <c r="MRK90"/>
      <c r="MRL90"/>
      <c r="MRM90"/>
      <c r="MRN90"/>
      <c r="MRO90"/>
      <c r="MRP90"/>
      <c r="MRQ90"/>
      <c r="MRR90"/>
      <c r="MRS90"/>
      <c r="MRT90"/>
      <c r="MRU90"/>
      <c r="MRV90"/>
      <c r="MRW90"/>
      <c r="MRX90"/>
      <c r="MRY90"/>
      <c r="MRZ90"/>
      <c r="MSA90"/>
      <c r="MSB90"/>
      <c r="MSC90"/>
      <c r="MSD90"/>
      <c r="MSE90"/>
      <c r="MSF90"/>
      <c r="MSG90"/>
      <c r="MSH90"/>
      <c r="MSI90"/>
      <c r="MSJ90"/>
      <c r="MSK90"/>
      <c r="MSL90"/>
      <c r="MSM90"/>
      <c r="MSN90"/>
      <c r="MSO90"/>
      <c r="MSP90"/>
      <c r="MSQ90"/>
      <c r="MSR90"/>
      <c r="MSS90"/>
      <c r="MST90"/>
      <c r="MSU90"/>
      <c r="MSV90"/>
      <c r="MSW90"/>
      <c r="MSX90"/>
      <c r="MSY90"/>
      <c r="MSZ90"/>
      <c r="MTA90"/>
      <c r="MTB90"/>
      <c r="MTC90"/>
      <c r="MTD90"/>
      <c r="MTE90"/>
      <c r="MTF90"/>
      <c r="MTG90"/>
      <c r="MTH90"/>
      <c r="MTI90"/>
      <c r="MTJ90"/>
      <c r="MTK90"/>
      <c r="MTL90"/>
      <c r="MTM90"/>
      <c r="MTN90"/>
      <c r="MTO90"/>
      <c r="MTP90"/>
      <c r="MTQ90"/>
      <c r="MTR90"/>
      <c r="MTS90"/>
      <c r="MTT90"/>
      <c r="MTU90"/>
      <c r="MTV90"/>
      <c r="MTW90"/>
      <c r="MTX90"/>
      <c r="MTY90"/>
      <c r="MTZ90"/>
      <c r="MUA90"/>
      <c r="MUB90"/>
      <c r="MUC90"/>
      <c r="MUD90"/>
      <c r="MUE90"/>
      <c r="MUF90"/>
      <c r="MUG90"/>
      <c r="MUH90"/>
      <c r="MUI90"/>
      <c r="MUJ90"/>
      <c r="MUK90"/>
      <c r="MUL90"/>
      <c r="MUM90"/>
      <c r="MUN90"/>
      <c r="MUO90"/>
      <c r="MUP90"/>
      <c r="MUQ90"/>
      <c r="MUR90"/>
      <c r="MUS90"/>
      <c r="MUT90"/>
      <c r="MUU90"/>
      <c r="MUV90"/>
      <c r="MUW90"/>
      <c r="MUX90"/>
      <c r="MUY90"/>
      <c r="MUZ90"/>
      <c r="MVA90"/>
      <c r="MVB90"/>
      <c r="MVC90"/>
      <c r="MVD90"/>
      <c r="MVE90"/>
      <c r="MVF90"/>
      <c r="MVG90"/>
      <c r="MVH90"/>
      <c r="MVI90"/>
      <c r="MVJ90"/>
      <c r="MVK90"/>
      <c r="MVL90"/>
      <c r="MVM90"/>
      <c r="MVN90"/>
      <c r="MVO90"/>
      <c r="MVP90"/>
      <c r="MVQ90"/>
      <c r="MVR90"/>
      <c r="MVS90"/>
      <c r="MVT90"/>
      <c r="MVU90"/>
      <c r="MVV90"/>
      <c r="MVW90"/>
      <c r="MVX90"/>
      <c r="MVY90"/>
      <c r="MVZ90"/>
      <c r="MWA90"/>
      <c r="MWB90"/>
      <c r="MWC90"/>
      <c r="MWD90"/>
      <c r="MWE90"/>
      <c r="MWF90"/>
      <c r="MWG90"/>
      <c r="MWH90"/>
      <c r="MWI90"/>
      <c r="MWJ90"/>
      <c r="MWK90"/>
      <c r="MWL90"/>
      <c r="MWM90"/>
      <c r="MWN90"/>
      <c r="MWO90"/>
      <c r="MWP90"/>
      <c r="MWQ90"/>
      <c r="MWR90"/>
      <c r="MWS90"/>
      <c r="MWT90"/>
      <c r="MWU90"/>
      <c r="MWV90"/>
      <c r="MWW90"/>
      <c r="MWX90"/>
      <c r="MWY90"/>
      <c r="MWZ90"/>
      <c r="MXA90"/>
      <c r="MXB90"/>
      <c r="MXC90"/>
      <c r="MXD90"/>
      <c r="MXE90"/>
      <c r="MXF90"/>
      <c r="MXG90"/>
      <c r="MXH90"/>
      <c r="MXI90"/>
      <c r="MXJ90"/>
      <c r="MXK90"/>
      <c r="MXL90"/>
      <c r="MXM90"/>
      <c r="MXN90"/>
      <c r="MXO90"/>
      <c r="MXP90"/>
      <c r="MXQ90"/>
      <c r="MXR90"/>
      <c r="MXS90"/>
      <c r="MXT90"/>
      <c r="MXU90"/>
      <c r="MXV90"/>
      <c r="MXW90"/>
      <c r="MXX90"/>
      <c r="MXY90"/>
      <c r="MXZ90"/>
      <c r="MYA90"/>
      <c r="MYB90"/>
      <c r="MYC90"/>
      <c r="MYD90"/>
      <c r="MYE90"/>
      <c r="MYF90"/>
      <c r="MYG90"/>
      <c r="MYH90"/>
      <c r="MYI90"/>
      <c r="MYJ90"/>
      <c r="MYK90"/>
      <c r="MYL90"/>
      <c r="MYM90"/>
      <c r="MYN90"/>
      <c r="MYO90"/>
      <c r="MYP90"/>
      <c r="MYQ90"/>
      <c r="MYR90"/>
      <c r="MYS90"/>
      <c r="MYT90"/>
      <c r="MYU90"/>
      <c r="MYV90"/>
      <c r="MYW90"/>
      <c r="MYX90"/>
      <c r="MYY90"/>
      <c r="MYZ90"/>
      <c r="MZA90"/>
      <c r="MZB90"/>
      <c r="MZC90"/>
      <c r="MZD90"/>
      <c r="MZE90"/>
      <c r="MZF90"/>
      <c r="MZG90"/>
      <c r="MZH90"/>
      <c r="MZI90"/>
      <c r="MZJ90"/>
      <c r="MZK90"/>
      <c r="MZL90"/>
      <c r="MZM90"/>
      <c r="MZN90"/>
      <c r="MZO90"/>
      <c r="MZP90"/>
      <c r="MZQ90"/>
      <c r="MZR90"/>
      <c r="MZS90"/>
      <c r="MZT90"/>
      <c r="MZU90"/>
      <c r="MZV90"/>
      <c r="MZW90"/>
      <c r="MZX90"/>
      <c r="MZY90"/>
      <c r="MZZ90"/>
      <c r="NAA90"/>
      <c r="NAB90"/>
      <c r="NAC90"/>
      <c r="NAD90"/>
      <c r="NAE90"/>
      <c r="NAF90"/>
      <c r="NAG90"/>
      <c r="NAH90"/>
      <c r="NAI90"/>
      <c r="NAJ90"/>
      <c r="NAK90"/>
      <c r="NAL90"/>
      <c r="NAM90"/>
      <c r="NAN90"/>
      <c r="NAO90"/>
      <c r="NAP90"/>
      <c r="NAQ90"/>
      <c r="NAR90"/>
      <c r="NAS90"/>
      <c r="NAT90"/>
      <c r="NAU90"/>
      <c r="NAV90"/>
      <c r="NAW90"/>
      <c r="NAX90"/>
      <c r="NAY90"/>
      <c r="NAZ90"/>
      <c r="NBA90"/>
      <c r="NBB90"/>
      <c r="NBC90"/>
      <c r="NBD90"/>
      <c r="NBE90"/>
      <c r="NBF90"/>
      <c r="NBG90"/>
      <c r="NBH90"/>
      <c r="NBI90"/>
      <c r="NBJ90"/>
      <c r="NBK90"/>
      <c r="NBL90"/>
      <c r="NBM90"/>
      <c r="NBN90"/>
      <c r="NBO90"/>
      <c r="NBP90"/>
      <c r="NBQ90"/>
      <c r="NBR90"/>
      <c r="NBS90"/>
      <c r="NBT90"/>
      <c r="NBU90"/>
      <c r="NBV90"/>
      <c r="NBW90"/>
      <c r="NBX90"/>
      <c r="NBY90"/>
      <c r="NBZ90"/>
      <c r="NCA90"/>
      <c r="NCB90"/>
      <c r="NCC90"/>
      <c r="NCD90"/>
      <c r="NCE90"/>
      <c r="NCF90"/>
      <c r="NCG90"/>
      <c r="NCH90"/>
      <c r="NCI90"/>
      <c r="NCJ90"/>
      <c r="NCK90"/>
      <c r="NCL90"/>
      <c r="NCM90"/>
      <c r="NCN90"/>
      <c r="NCO90"/>
      <c r="NCP90"/>
      <c r="NCQ90"/>
      <c r="NCR90"/>
      <c r="NCS90"/>
      <c r="NCT90"/>
      <c r="NCU90"/>
      <c r="NCV90"/>
      <c r="NCW90"/>
      <c r="NCX90"/>
      <c r="NCY90"/>
      <c r="NCZ90"/>
      <c r="NDA90"/>
      <c r="NDB90"/>
      <c r="NDC90"/>
      <c r="NDD90"/>
      <c r="NDE90"/>
      <c r="NDF90"/>
      <c r="NDG90"/>
      <c r="NDH90"/>
      <c r="NDI90"/>
      <c r="NDJ90"/>
      <c r="NDK90"/>
      <c r="NDL90"/>
      <c r="NDM90"/>
      <c r="NDN90"/>
      <c r="NDO90"/>
      <c r="NDP90"/>
      <c r="NDQ90"/>
      <c r="NDR90"/>
      <c r="NDS90"/>
      <c r="NDT90"/>
      <c r="NDU90"/>
      <c r="NDV90"/>
      <c r="NDW90"/>
      <c r="NDX90"/>
      <c r="NDY90"/>
      <c r="NDZ90"/>
      <c r="NEA90"/>
      <c r="NEB90"/>
      <c r="NEC90"/>
      <c r="NED90"/>
      <c r="NEE90"/>
      <c r="NEF90"/>
      <c r="NEG90"/>
      <c r="NEH90"/>
      <c r="NEI90"/>
      <c r="NEJ90"/>
      <c r="NEK90"/>
      <c r="NEL90"/>
      <c r="NEM90"/>
      <c r="NEN90"/>
      <c r="NEO90"/>
      <c r="NEP90"/>
      <c r="NEQ90"/>
      <c r="NER90"/>
      <c r="NES90"/>
      <c r="NET90"/>
      <c r="NEU90"/>
      <c r="NEV90"/>
      <c r="NEW90"/>
      <c r="NEX90"/>
      <c r="NEY90"/>
      <c r="NEZ90"/>
      <c r="NFA90"/>
      <c r="NFB90"/>
      <c r="NFC90"/>
      <c r="NFD90"/>
      <c r="NFE90"/>
      <c r="NFF90"/>
      <c r="NFG90"/>
      <c r="NFH90"/>
      <c r="NFI90"/>
      <c r="NFJ90"/>
      <c r="NFK90"/>
      <c r="NFL90"/>
      <c r="NFM90"/>
      <c r="NFN90"/>
      <c r="NFO90"/>
      <c r="NFP90"/>
      <c r="NFQ90"/>
      <c r="NFR90"/>
      <c r="NFS90"/>
      <c r="NFT90"/>
      <c r="NFU90"/>
      <c r="NFV90"/>
      <c r="NFW90"/>
      <c r="NFX90"/>
      <c r="NFY90"/>
      <c r="NFZ90"/>
      <c r="NGA90"/>
      <c r="NGB90"/>
      <c r="NGC90"/>
      <c r="NGD90"/>
      <c r="NGE90"/>
      <c r="NGF90"/>
      <c r="NGG90"/>
      <c r="NGH90"/>
      <c r="NGI90"/>
      <c r="NGJ90"/>
      <c r="NGK90"/>
      <c r="NGL90"/>
      <c r="NGM90"/>
      <c r="NGN90"/>
      <c r="NGO90"/>
      <c r="NGP90"/>
      <c r="NGQ90"/>
      <c r="NGR90"/>
      <c r="NGS90"/>
      <c r="NGT90"/>
      <c r="NGU90"/>
      <c r="NGV90"/>
      <c r="NGW90"/>
      <c r="NGX90"/>
      <c r="NGY90"/>
      <c r="NGZ90"/>
      <c r="NHA90"/>
      <c r="NHB90"/>
      <c r="NHC90"/>
      <c r="NHD90"/>
      <c r="NHE90"/>
      <c r="NHF90"/>
      <c r="NHG90"/>
      <c r="NHH90"/>
      <c r="NHI90"/>
      <c r="NHJ90"/>
      <c r="NHK90"/>
      <c r="NHL90"/>
      <c r="NHM90"/>
      <c r="NHN90"/>
      <c r="NHO90"/>
      <c r="NHP90"/>
      <c r="NHQ90"/>
      <c r="NHR90"/>
      <c r="NHS90"/>
      <c r="NHT90"/>
      <c r="NHU90"/>
      <c r="NHV90"/>
      <c r="NHW90"/>
      <c r="NHX90"/>
      <c r="NHY90"/>
      <c r="NHZ90"/>
      <c r="NIA90"/>
      <c r="NIB90"/>
      <c r="NIC90"/>
      <c r="NID90"/>
      <c r="NIE90"/>
      <c r="NIF90"/>
      <c r="NIG90"/>
      <c r="NIH90"/>
      <c r="NII90"/>
      <c r="NIJ90"/>
      <c r="NIK90"/>
      <c r="NIL90"/>
      <c r="NIM90"/>
      <c r="NIN90"/>
      <c r="NIO90"/>
      <c r="NIP90"/>
      <c r="NIQ90"/>
      <c r="NIR90"/>
      <c r="NIS90"/>
      <c r="NIT90"/>
      <c r="NIU90"/>
      <c r="NIV90"/>
      <c r="NIW90"/>
      <c r="NIX90"/>
      <c r="NIY90"/>
      <c r="NIZ90"/>
      <c r="NJA90"/>
      <c r="NJB90"/>
      <c r="NJC90"/>
      <c r="NJD90"/>
      <c r="NJE90"/>
      <c r="NJF90"/>
      <c r="NJG90"/>
      <c r="NJH90"/>
      <c r="NJI90"/>
      <c r="NJJ90"/>
      <c r="NJK90"/>
      <c r="NJL90"/>
      <c r="NJM90"/>
      <c r="NJN90"/>
      <c r="NJO90"/>
      <c r="NJP90"/>
      <c r="NJQ90"/>
      <c r="NJR90"/>
      <c r="NJS90"/>
      <c r="NJT90"/>
      <c r="NJU90"/>
      <c r="NJV90"/>
      <c r="NJW90"/>
      <c r="NJX90"/>
      <c r="NJY90"/>
      <c r="NJZ90"/>
      <c r="NKA90"/>
      <c r="NKB90"/>
      <c r="NKC90"/>
      <c r="NKD90"/>
      <c r="NKE90"/>
      <c r="NKF90"/>
      <c r="NKG90"/>
      <c r="NKH90"/>
      <c r="NKI90"/>
      <c r="NKJ90"/>
      <c r="NKK90"/>
      <c r="NKL90"/>
      <c r="NKM90"/>
      <c r="NKN90"/>
      <c r="NKO90"/>
      <c r="NKP90"/>
      <c r="NKQ90"/>
      <c r="NKR90"/>
      <c r="NKS90"/>
      <c r="NKT90"/>
      <c r="NKU90"/>
      <c r="NKV90"/>
      <c r="NKW90"/>
      <c r="NKX90"/>
      <c r="NKY90"/>
      <c r="NKZ90"/>
      <c r="NLA90"/>
      <c r="NLB90"/>
      <c r="NLC90"/>
      <c r="NLD90"/>
      <c r="NLE90"/>
      <c r="NLF90"/>
      <c r="NLG90"/>
      <c r="NLH90"/>
      <c r="NLI90"/>
      <c r="NLJ90"/>
      <c r="NLK90"/>
      <c r="NLL90"/>
      <c r="NLM90"/>
      <c r="NLN90"/>
      <c r="NLO90"/>
      <c r="NLP90"/>
      <c r="NLQ90"/>
      <c r="NLR90"/>
      <c r="NLS90"/>
      <c r="NLT90"/>
      <c r="NLU90"/>
      <c r="NLV90"/>
      <c r="NLW90"/>
      <c r="NLX90"/>
      <c r="NLY90"/>
      <c r="NLZ90"/>
      <c r="NMA90"/>
      <c r="NMB90"/>
      <c r="NMC90"/>
      <c r="NMD90"/>
      <c r="NME90"/>
      <c r="NMF90"/>
      <c r="NMG90"/>
      <c r="NMH90"/>
      <c r="NMI90"/>
      <c r="NMJ90"/>
      <c r="NMK90"/>
      <c r="NML90"/>
      <c r="NMM90"/>
      <c r="NMN90"/>
      <c r="NMO90"/>
      <c r="NMP90"/>
      <c r="NMQ90"/>
      <c r="NMR90"/>
      <c r="NMS90"/>
      <c r="NMT90"/>
      <c r="NMU90"/>
      <c r="NMV90"/>
      <c r="NMW90"/>
      <c r="NMX90"/>
      <c r="NMY90"/>
      <c r="NMZ90"/>
      <c r="NNA90"/>
      <c r="NNB90"/>
      <c r="NNC90"/>
      <c r="NND90"/>
      <c r="NNE90"/>
      <c r="NNF90"/>
      <c r="NNG90"/>
      <c r="NNH90"/>
      <c r="NNI90"/>
      <c r="NNJ90"/>
      <c r="NNK90"/>
      <c r="NNL90"/>
      <c r="NNM90"/>
      <c r="NNN90"/>
      <c r="NNO90"/>
      <c r="NNP90"/>
      <c r="NNQ90"/>
      <c r="NNR90"/>
      <c r="NNS90"/>
      <c r="NNT90"/>
      <c r="NNU90"/>
      <c r="NNV90"/>
      <c r="NNW90"/>
      <c r="NNX90"/>
      <c r="NNY90"/>
      <c r="NNZ90"/>
      <c r="NOA90"/>
      <c r="NOB90"/>
      <c r="NOC90"/>
      <c r="NOD90"/>
      <c r="NOE90"/>
      <c r="NOF90"/>
      <c r="NOG90"/>
      <c r="NOH90"/>
      <c r="NOI90"/>
      <c r="NOJ90"/>
      <c r="NOK90"/>
      <c r="NOL90"/>
      <c r="NOM90"/>
      <c r="NON90"/>
      <c r="NOO90"/>
      <c r="NOP90"/>
      <c r="NOQ90"/>
      <c r="NOR90"/>
      <c r="NOS90"/>
      <c r="NOT90"/>
      <c r="NOU90"/>
      <c r="NOV90"/>
      <c r="NOW90"/>
      <c r="NOX90"/>
      <c r="NOY90"/>
      <c r="NOZ90"/>
      <c r="NPA90"/>
      <c r="NPB90"/>
      <c r="NPC90"/>
      <c r="NPD90"/>
      <c r="NPE90"/>
      <c r="NPF90"/>
      <c r="NPG90"/>
      <c r="NPH90"/>
      <c r="NPI90"/>
      <c r="NPJ90"/>
      <c r="NPK90"/>
      <c r="NPL90"/>
      <c r="NPM90"/>
      <c r="NPN90"/>
      <c r="NPO90"/>
      <c r="NPP90"/>
      <c r="NPQ90"/>
      <c r="NPR90"/>
      <c r="NPS90"/>
      <c r="NPT90"/>
      <c r="NPU90"/>
      <c r="NPV90"/>
      <c r="NPW90"/>
      <c r="NPX90"/>
      <c r="NPY90"/>
      <c r="NPZ90"/>
      <c r="NQA90"/>
      <c r="NQB90"/>
      <c r="NQC90"/>
      <c r="NQD90"/>
      <c r="NQE90"/>
      <c r="NQF90"/>
      <c r="NQG90"/>
      <c r="NQH90"/>
      <c r="NQI90"/>
      <c r="NQJ90"/>
      <c r="NQK90"/>
      <c r="NQL90"/>
      <c r="NQM90"/>
      <c r="NQN90"/>
      <c r="NQO90"/>
      <c r="NQP90"/>
      <c r="NQQ90"/>
      <c r="NQR90"/>
      <c r="NQS90"/>
      <c r="NQT90"/>
      <c r="NQU90"/>
      <c r="NQV90"/>
      <c r="NQW90"/>
      <c r="NQX90"/>
      <c r="NQY90"/>
      <c r="NQZ90"/>
      <c r="NRA90"/>
      <c r="NRB90"/>
      <c r="NRC90"/>
      <c r="NRD90"/>
      <c r="NRE90"/>
      <c r="NRF90"/>
      <c r="NRG90"/>
      <c r="NRH90"/>
      <c r="NRI90"/>
      <c r="NRJ90"/>
      <c r="NRK90"/>
      <c r="NRL90"/>
      <c r="NRM90"/>
      <c r="NRN90"/>
      <c r="NRO90"/>
      <c r="NRP90"/>
      <c r="NRQ90"/>
      <c r="NRR90"/>
      <c r="NRS90"/>
      <c r="NRT90"/>
      <c r="NRU90"/>
      <c r="NRV90"/>
      <c r="NRW90"/>
      <c r="NRX90"/>
      <c r="NRY90"/>
      <c r="NRZ90"/>
      <c r="NSA90"/>
      <c r="NSB90"/>
      <c r="NSC90"/>
      <c r="NSD90"/>
      <c r="NSE90"/>
      <c r="NSF90"/>
      <c r="NSG90"/>
      <c r="NSH90"/>
      <c r="NSI90"/>
      <c r="NSJ90"/>
      <c r="NSK90"/>
      <c r="NSL90"/>
      <c r="NSM90"/>
      <c r="NSN90"/>
      <c r="NSO90"/>
      <c r="NSP90"/>
      <c r="NSQ90"/>
      <c r="NSR90"/>
      <c r="NSS90"/>
      <c r="NST90"/>
      <c r="NSU90"/>
      <c r="NSV90"/>
      <c r="NSW90"/>
      <c r="NSX90"/>
      <c r="NSY90"/>
      <c r="NSZ90"/>
      <c r="NTA90"/>
      <c r="NTB90"/>
      <c r="NTC90"/>
      <c r="NTD90"/>
      <c r="NTE90"/>
      <c r="NTF90"/>
      <c r="NTG90"/>
      <c r="NTH90"/>
      <c r="NTI90"/>
      <c r="NTJ90"/>
      <c r="NTK90"/>
      <c r="NTL90"/>
      <c r="NTM90"/>
      <c r="NTN90"/>
      <c r="NTO90"/>
      <c r="NTP90"/>
      <c r="NTQ90"/>
      <c r="NTR90"/>
      <c r="NTS90"/>
      <c r="NTT90"/>
      <c r="NTU90"/>
      <c r="NTV90"/>
      <c r="NTW90"/>
      <c r="NTX90"/>
      <c r="NTY90"/>
      <c r="NTZ90"/>
      <c r="NUA90"/>
      <c r="NUB90"/>
      <c r="NUC90"/>
      <c r="NUD90"/>
      <c r="NUE90"/>
      <c r="NUF90"/>
      <c r="NUG90"/>
      <c r="NUH90"/>
      <c r="NUI90"/>
      <c r="NUJ90"/>
      <c r="NUK90"/>
      <c r="NUL90"/>
      <c r="NUM90"/>
      <c r="NUN90"/>
      <c r="NUO90"/>
      <c r="NUP90"/>
      <c r="NUQ90"/>
      <c r="NUR90"/>
      <c r="NUS90"/>
      <c r="NUT90"/>
      <c r="NUU90"/>
      <c r="NUV90"/>
      <c r="NUW90"/>
      <c r="NUX90"/>
      <c r="NUY90"/>
      <c r="NUZ90"/>
      <c r="NVA90"/>
      <c r="NVB90"/>
      <c r="NVC90"/>
      <c r="NVD90"/>
      <c r="NVE90"/>
      <c r="NVF90"/>
      <c r="NVG90"/>
      <c r="NVH90"/>
      <c r="NVI90"/>
      <c r="NVJ90"/>
      <c r="NVK90"/>
      <c r="NVL90"/>
      <c r="NVM90"/>
      <c r="NVN90"/>
      <c r="NVO90"/>
      <c r="NVP90"/>
      <c r="NVQ90"/>
      <c r="NVR90"/>
      <c r="NVS90"/>
      <c r="NVT90"/>
      <c r="NVU90"/>
      <c r="NVV90"/>
      <c r="NVW90"/>
      <c r="NVX90"/>
      <c r="NVY90"/>
      <c r="NVZ90"/>
      <c r="NWA90"/>
      <c r="NWB90"/>
      <c r="NWC90"/>
      <c r="NWD90"/>
      <c r="NWE90"/>
      <c r="NWF90"/>
      <c r="NWG90"/>
      <c r="NWH90"/>
      <c r="NWI90"/>
      <c r="NWJ90"/>
      <c r="NWK90"/>
      <c r="NWL90"/>
      <c r="NWM90"/>
      <c r="NWN90"/>
      <c r="NWO90"/>
      <c r="NWP90"/>
      <c r="NWQ90"/>
      <c r="NWR90"/>
      <c r="NWS90"/>
      <c r="NWT90"/>
      <c r="NWU90"/>
      <c r="NWV90"/>
      <c r="NWW90"/>
      <c r="NWX90"/>
      <c r="NWY90"/>
      <c r="NWZ90"/>
      <c r="NXA90"/>
      <c r="NXB90"/>
      <c r="NXC90"/>
      <c r="NXD90"/>
      <c r="NXE90"/>
      <c r="NXF90"/>
      <c r="NXG90"/>
      <c r="NXH90"/>
      <c r="NXI90"/>
      <c r="NXJ90"/>
      <c r="NXK90"/>
      <c r="NXL90"/>
      <c r="NXM90"/>
      <c r="NXN90"/>
      <c r="NXO90"/>
      <c r="NXP90"/>
      <c r="NXQ90"/>
      <c r="NXR90"/>
      <c r="NXS90"/>
      <c r="NXT90"/>
      <c r="NXU90"/>
      <c r="NXV90"/>
      <c r="NXW90"/>
      <c r="NXX90"/>
      <c r="NXY90"/>
      <c r="NXZ90"/>
      <c r="NYA90"/>
      <c r="NYB90"/>
      <c r="NYC90"/>
      <c r="NYD90"/>
      <c r="NYE90"/>
      <c r="NYF90"/>
      <c r="NYG90"/>
      <c r="NYH90"/>
      <c r="NYI90"/>
      <c r="NYJ90"/>
      <c r="NYK90"/>
      <c r="NYL90"/>
      <c r="NYM90"/>
      <c r="NYN90"/>
      <c r="NYO90"/>
      <c r="NYP90"/>
      <c r="NYQ90"/>
      <c r="NYR90"/>
      <c r="NYS90"/>
      <c r="NYT90"/>
      <c r="NYU90"/>
      <c r="NYV90"/>
      <c r="NYW90"/>
      <c r="NYX90"/>
      <c r="NYY90"/>
      <c r="NYZ90"/>
      <c r="NZA90"/>
      <c r="NZB90"/>
      <c r="NZC90"/>
      <c r="NZD90"/>
      <c r="NZE90"/>
      <c r="NZF90"/>
      <c r="NZG90"/>
      <c r="NZH90"/>
      <c r="NZI90"/>
      <c r="NZJ90"/>
      <c r="NZK90"/>
      <c r="NZL90"/>
      <c r="NZM90"/>
      <c r="NZN90"/>
      <c r="NZO90"/>
      <c r="NZP90"/>
      <c r="NZQ90"/>
      <c r="NZR90"/>
      <c r="NZS90"/>
      <c r="NZT90"/>
      <c r="NZU90"/>
      <c r="NZV90"/>
      <c r="NZW90"/>
      <c r="NZX90"/>
      <c r="NZY90"/>
      <c r="NZZ90"/>
      <c r="OAA90"/>
      <c r="OAB90"/>
      <c r="OAC90"/>
      <c r="OAD90"/>
      <c r="OAE90"/>
      <c r="OAF90"/>
      <c r="OAG90"/>
      <c r="OAH90"/>
      <c r="OAI90"/>
      <c r="OAJ90"/>
      <c r="OAK90"/>
      <c r="OAL90"/>
      <c r="OAM90"/>
      <c r="OAN90"/>
      <c r="OAO90"/>
      <c r="OAP90"/>
      <c r="OAQ90"/>
      <c r="OAR90"/>
      <c r="OAS90"/>
      <c r="OAT90"/>
      <c r="OAU90"/>
      <c r="OAV90"/>
      <c r="OAW90"/>
      <c r="OAX90"/>
      <c r="OAY90"/>
      <c r="OAZ90"/>
      <c r="OBA90"/>
      <c r="OBB90"/>
      <c r="OBC90"/>
      <c r="OBD90"/>
      <c r="OBE90"/>
      <c r="OBF90"/>
      <c r="OBG90"/>
      <c r="OBH90"/>
      <c r="OBI90"/>
      <c r="OBJ90"/>
      <c r="OBK90"/>
      <c r="OBL90"/>
      <c r="OBM90"/>
      <c r="OBN90"/>
      <c r="OBO90"/>
      <c r="OBP90"/>
      <c r="OBQ90"/>
      <c r="OBR90"/>
      <c r="OBS90"/>
      <c r="OBT90"/>
      <c r="OBU90"/>
      <c r="OBV90"/>
      <c r="OBW90"/>
      <c r="OBX90"/>
      <c r="OBY90"/>
      <c r="OBZ90"/>
      <c r="OCA90"/>
      <c r="OCB90"/>
      <c r="OCC90"/>
      <c r="OCD90"/>
      <c r="OCE90"/>
      <c r="OCF90"/>
      <c r="OCG90"/>
      <c r="OCH90"/>
      <c r="OCI90"/>
      <c r="OCJ90"/>
      <c r="OCK90"/>
      <c r="OCL90"/>
      <c r="OCM90"/>
      <c r="OCN90"/>
      <c r="OCO90"/>
      <c r="OCP90"/>
      <c r="OCQ90"/>
      <c r="OCR90"/>
      <c r="OCS90"/>
      <c r="OCT90"/>
      <c r="OCU90"/>
      <c r="OCV90"/>
      <c r="OCW90"/>
      <c r="OCX90"/>
      <c r="OCY90"/>
      <c r="OCZ90"/>
      <c r="ODA90"/>
      <c r="ODB90"/>
      <c r="ODC90"/>
      <c r="ODD90"/>
      <c r="ODE90"/>
      <c r="ODF90"/>
      <c r="ODG90"/>
      <c r="ODH90"/>
      <c r="ODI90"/>
      <c r="ODJ90"/>
      <c r="ODK90"/>
      <c r="ODL90"/>
      <c r="ODM90"/>
      <c r="ODN90"/>
      <c r="ODO90"/>
      <c r="ODP90"/>
      <c r="ODQ90"/>
      <c r="ODR90"/>
      <c r="ODS90"/>
      <c r="ODT90"/>
      <c r="ODU90"/>
      <c r="ODV90"/>
      <c r="ODW90"/>
      <c r="ODX90"/>
      <c r="ODY90"/>
      <c r="ODZ90"/>
      <c r="OEA90"/>
      <c r="OEB90"/>
      <c r="OEC90"/>
      <c r="OED90"/>
      <c r="OEE90"/>
      <c r="OEF90"/>
      <c r="OEG90"/>
      <c r="OEH90"/>
      <c r="OEI90"/>
      <c r="OEJ90"/>
      <c r="OEK90"/>
      <c r="OEL90"/>
      <c r="OEM90"/>
      <c r="OEN90"/>
      <c r="OEO90"/>
      <c r="OEP90"/>
      <c r="OEQ90"/>
      <c r="OER90"/>
      <c r="OES90"/>
      <c r="OET90"/>
      <c r="OEU90"/>
      <c r="OEV90"/>
      <c r="OEW90"/>
      <c r="OEX90"/>
      <c r="OEY90"/>
      <c r="OEZ90"/>
      <c r="OFA90"/>
      <c r="OFB90"/>
      <c r="OFC90"/>
      <c r="OFD90"/>
      <c r="OFE90"/>
      <c r="OFF90"/>
      <c r="OFG90"/>
      <c r="OFH90"/>
      <c r="OFI90"/>
      <c r="OFJ90"/>
      <c r="OFK90"/>
      <c r="OFL90"/>
      <c r="OFM90"/>
      <c r="OFN90"/>
      <c r="OFO90"/>
      <c r="OFP90"/>
      <c r="OFQ90"/>
      <c r="OFR90"/>
      <c r="OFS90"/>
      <c r="OFT90"/>
      <c r="OFU90"/>
      <c r="OFV90"/>
      <c r="OFW90"/>
      <c r="OFX90"/>
      <c r="OFY90"/>
      <c r="OFZ90"/>
      <c r="OGA90"/>
      <c r="OGB90"/>
      <c r="OGC90"/>
      <c r="OGD90"/>
      <c r="OGE90"/>
      <c r="OGF90"/>
      <c r="OGG90"/>
      <c r="OGH90"/>
      <c r="OGI90"/>
      <c r="OGJ90"/>
      <c r="OGK90"/>
      <c r="OGL90"/>
      <c r="OGM90"/>
      <c r="OGN90"/>
      <c r="OGO90"/>
      <c r="OGP90"/>
      <c r="OGQ90"/>
      <c r="OGR90"/>
      <c r="OGS90"/>
      <c r="OGT90"/>
      <c r="OGU90"/>
      <c r="OGV90"/>
      <c r="OGW90"/>
      <c r="OGX90"/>
      <c r="OGY90"/>
      <c r="OGZ90"/>
      <c r="OHA90"/>
      <c r="OHB90"/>
      <c r="OHC90"/>
      <c r="OHD90"/>
      <c r="OHE90"/>
      <c r="OHF90"/>
      <c r="OHG90"/>
      <c r="OHH90"/>
      <c r="OHI90"/>
      <c r="OHJ90"/>
      <c r="OHK90"/>
      <c r="OHL90"/>
      <c r="OHM90"/>
      <c r="OHN90"/>
      <c r="OHO90"/>
      <c r="OHP90"/>
      <c r="OHQ90"/>
      <c r="OHR90"/>
      <c r="OHS90"/>
      <c r="OHT90"/>
      <c r="OHU90"/>
      <c r="OHV90"/>
      <c r="OHW90"/>
      <c r="OHX90"/>
      <c r="OHY90"/>
      <c r="OHZ90"/>
      <c r="OIA90"/>
      <c r="OIB90"/>
      <c r="OIC90"/>
      <c r="OID90"/>
      <c r="OIE90"/>
      <c r="OIF90"/>
      <c r="OIG90"/>
      <c r="OIH90"/>
      <c r="OII90"/>
      <c r="OIJ90"/>
      <c r="OIK90"/>
      <c r="OIL90"/>
      <c r="OIM90"/>
      <c r="OIN90"/>
      <c r="OIO90"/>
      <c r="OIP90"/>
      <c r="OIQ90"/>
      <c r="OIR90"/>
      <c r="OIS90"/>
      <c r="OIT90"/>
      <c r="OIU90"/>
      <c r="OIV90"/>
      <c r="OIW90"/>
      <c r="OIX90"/>
      <c r="OIY90"/>
      <c r="OIZ90"/>
      <c r="OJA90"/>
      <c r="OJB90"/>
      <c r="OJC90"/>
      <c r="OJD90"/>
      <c r="OJE90"/>
      <c r="OJF90"/>
      <c r="OJG90"/>
      <c r="OJH90"/>
      <c r="OJI90"/>
      <c r="OJJ90"/>
      <c r="OJK90"/>
      <c r="OJL90"/>
      <c r="OJM90"/>
      <c r="OJN90"/>
      <c r="OJO90"/>
      <c r="OJP90"/>
      <c r="OJQ90"/>
      <c r="OJR90"/>
      <c r="OJS90"/>
      <c r="OJT90"/>
      <c r="OJU90"/>
      <c r="OJV90"/>
      <c r="OJW90"/>
      <c r="OJX90"/>
      <c r="OJY90"/>
      <c r="OJZ90"/>
      <c r="OKA90"/>
      <c r="OKB90"/>
      <c r="OKC90"/>
      <c r="OKD90"/>
      <c r="OKE90"/>
      <c r="OKF90"/>
      <c r="OKG90"/>
      <c r="OKH90"/>
      <c r="OKI90"/>
      <c r="OKJ90"/>
      <c r="OKK90"/>
      <c r="OKL90"/>
      <c r="OKM90"/>
      <c r="OKN90"/>
      <c r="OKO90"/>
      <c r="OKP90"/>
      <c r="OKQ90"/>
      <c r="OKR90"/>
      <c r="OKS90"/>
      <c r="OKT90"/>
      <c r="OKU90"/>
      <c r="OKV90"/>
      <c r="OKW90"/>
      <c r="OKX90"/>
      <c r="OKY90"/>
      <c r="OKZ90"/>
      <c r="OLA90"/>
      <c r="OLB90"/>
      <c r="OLC90"/>
      <c r="OLD90"/>
      <c r="OLE90"/>
      <c r="OLF90"/>
      <c r="OLG90"/>
      <c r="OLH90"/>
      <c r="OLI90"/>
      <c r="OLJ90"/>
      <c r="OLK90"/>
      <c r="OLL90"/>
      <c r="OLM90"/>
      <c r="OLN90"/>
      <c r="OLO90"/>
      <c r="OLP90"/>
      <c r="OLQ90"/>
      <c r="OLR90"/>
      <c r="OLS90"/>
      <c r="OLT90"/>
      <c r="OLU90"/>
      <c r="OLV90"/>
      <c r="OLW90"/>
      <c r="OLX90"/>
      <c r="OLY90"/>
      <c r="OLZ90"/>
      <c r="OMA90"/>
      <c r="OMB90"/>
      <c r="OMC90"/>
      <c r="OMD90"/>
      <c r="OME90"/>
      <c r="OMF90"/>
      <c r="OMG90"/>
      <c r="OMH90"/>
      <c r="OMI90"/>
      <c r="OMJ90"/>
      <c r="OMK90"/>
      <c r="OML90"/>
      <c r="OMM90"/>
      <c r="OMN90"/>
      <c r="OMO90"/>
      <c r="OMP90"/>
      <c r="OMQ90"/>
      <c r="OMR90"/>
      <c r="OMS90"/>
      <c r="OMT90"/>
      <c r="OMU90"/>
      <c r="OMV90"/>
      <c r="OMW90"/>
      <c r="OMX90"/>
      <c r="OMY90"/>
      <c r="OMZ90"/>
      <c r="ONA90"/>
      <c r="ONB90"/>
      <c r="ONC90"/>
      <c r="OND90"/>
      <c r="ONE90"/>
      <c r="ONF90"/>
      <c r="ONG90"/>
      <c r="ONH90"/>
      <c r="ONI90"/>
      <c r="ONJ90"/>
      <c r="ONK90"/>
      <c r="ONL90"/>
      <c r="ONM90"/>
      <c r="ONN90"/>
      <c r="ONO90"/>
      <c r="ONP90"/>
      <c r="ONQ90"/>
      <c r="ONR90"/>
      <c r="ONS90"/>
      <c r="ONT90"/>
      <c r="ONU90"/>
      <c r="ONV90"/>
      <c r="ONW90"/>
      <c r="ONX90"/>
      <c r="ONY90"/>
      <c r="ONZ90"/>
      <c r="OOA90"/>
      <c r="OOB90"/>
      <c r="OOC90"/>
      <c r="OOD90"/>
      <c r="OOE90"/>
      <c r="OOF90"/>
      <c r="OOG90"/>
      <c r="OOH90"/>
      <c r="OOI90"/>
      <c r="OOJ90"/>
      <c r="OOK90"/>
      <c r="OOL90"/>
      <c r="OOM90"/>
      <c r="OON90"/>
      <c r="OOO90"/>
      <c r="OOP90"/>
      <c r="OOQ90"/>
      <c r="OOR90"/>
      <c r="OOS90"/>
      <c r="OOT90"/>
      <c r="OOU90"/>
      <c r="OOV90"/>
      <c r="OOW90"/>
      <c r="OOX90"/>
      <c r="OOY90"/>
      <c r="OOZ90"/>
      <c r="OPA90"/>
      <c r="OPB90"/>
      <c r="OPC90"/>
      <c r="OPD90"/>
      <c r="OPE90"/>
      <c r="OPF90"/>
      <c r="OPG90"/>
      <c r="OPH90"/>
      <c r="OPI90"/>
      <c r="OPJ90"/>
      <c r="OPK90"/>
      <c r="OPL90"/>
      <c r="OPM90"/>
      <c r="OPN90"/>
      <c r="OPO90"/>
      <c r="OPP90"/>
      <c r="OPQ90"/>
      <c r="OPR90"/>
      <c r="OPS90"/>
      <c r="OPT90"/>
      <c r="OPU90"/>
      <c r="OPV90"/>
      <c r="OPW90"/>
      <c r="OPX90"/>
      <c r="OPY90"/>
      <c r="OPZ90"/>
      <c r="OQA90"/>
      <c r="OQB90"/>
      <c r="OQC90"/>
      <c r="OQD90"/>
      <c r="OQE90"/>
      <c r="OQF90"/>
      <c r="OQG90"/>
      <c r="OQH90"/>
      <c r="OQI90"/>
      <c r="OQJ90"/>
      <c r="OQK90"/>
      <c r="OQL90"/>
      <c r="OQM90"/>
      <c r="OQN90"/>
      <c r="OQO90"/>
      <c r="OQP90"/>
      <c r="OQQ90"/>
      <c r="OQR90"/>
      <c r="OQS90"/>
      <c r="OQT90"/>
      <c r="OQU90"/>
      <c r="OQV90"/>
      <c r="OQW90"/>
      <c r="OQX90"/>
      <c r="OQY90"/>
      <c r="OQZ90"/>
      <c r="ORA90"/>
      <c r="ORB90"/>
      <c r="ORC90"/>
      <c r="ORD90"/>
      <c r="ORE90"/>
      <c r="ORF90"/>
      <c r="ORG90"/>
      <c r="ORH90"/>
      <c r="ORI90"/>
      <c r="ORJ90"/>
      <c r="ORK90"/>
      <c r="ORL90"/>
      <c r="ORM90"/>
      <c r="ORN90"/>
      <c r="ORO90"/>
      <c r="ORP90"/>
      <c r="ORQ90"/>
      <c r="ORR90"/>
      <c r="ORS90"/>
      <c r="ORT90"/>
      <c r="ORU90"/>
      <c r="ORV90"/>
      <c r="ORW90"/>
      <c r="ORX90"/>
      <c r="ORY90"/>
      <c r="ORZ90"/>
      <c r="OSA90"/>
      <c r="OSB90"/>
      <c r="OSC90"/>
      <c r="OSD90"/>
      <c r="OSE90"/>
      <c r="OSF90"/>
      <c r="OSG90"/>
      <c r="OSH90"/>
      <c r="OSI90"/>
      <c r="OSJ90"/>
      <c r="OSK90"/>
      <c r="OSL90"/>
      <c r="OSM90"/>
      <c r="OSN90"/>
      <c r="OSO90"/>
      <c r="OSP90"/>
      <c r="OSQ90"/>
      <c r="OSR90"/>
      <c r="OSS90"/>
      <c r="OST90"/>
      <c r="OSU90"/>
      <c r="OSV90"/>
      <c r="OSW90"/>
      <c r="OSX90"/>
      <c r="OSY90"/>
      <c r="OSZ90"/>
      <c r="OTA90"/>
      <c r="OTB90"/>
      <c r="OTC90"/>
      <c r="OTD90"/>
      <c r="OTE90"/>
      <c r="OTF90"/>
      <c r="OTG90"/>
      <c r="OTH90"/>
      <c r="OTI90"/>
      <c r="OTJ90"/>
      <c r="OTK90"/>
      <c r="OTL90"/>
      <c r="OTM90"/>
      <c r="OTN90"/>
      <c r="OTO90"/>
      <c r="OTP90"/>
      <c r="OTQ90"/>
      <c r="OTR90"/>
      <c r="OTS90"/>
      <c r="OTT90"/>
      <c r="OTU90"/>
      <c r="OTV90"/>
      <c r="OTW90"/>
      <c r="OTX90"/>
      <c r="OTY90"/>
      <c r="OTZ90"/>
      <c r="OUA90"/>
      <c r="OUB90"/>
      <c r="OUC90"/>
      <c r="OUD90"/>
      <c r="OUE90"/>
      <c r="OUF90"/>
      <c r="OUG90"/>
      <c r="OUH90"/>
      <c r="OUI90"/>
      <c r="OUJ90"/>
      <c r="OUK90"/>
      <c r="OUL90"/>
      <c r="OUM90"/>
      <c r="OUN90"/>
      <c r="OUO90"/>
      <c r="OUP90"/>
      <c r="OUQ90"/>
      <c r="OUR90"/>
      <c r="OUS90"/>
      <c r="OUT90"/>
      <c r="OUU90"/>
      <c r="OUV90"/>
      <c r="OUW90"/>
      <c r="OUX90"/>
      <c r="OUY90"/>
      <c r="OUZ90"/>
      <c r="OVA90"/>
      <c r="OVB90"/>
      <c r="OVC90"/>
      <c r="OVD90"/>
      <c r="OVE90"/>
      <c r="OVF90"/>
      <c r="OVG90"/>
      <c r="OVH90"/>
      <c r="OVI90"/>
      <c r="OVJ90"/>
      <c r="OVK90"/>
      <c r="OVL90"/>
      <c r="OVM90"/>
      <c r="OVN90"/>
      <c r="OVO90"/>
      <c r="OVP90"/>
      <c r="OVQ90"/>
      <c r="OVR90"/>
      <c r="OVS90"/>
      <c r="OVT90"/>
      <c r="OVU90"/>
      <c r="OVV90"/>
      <c r="OVW90"/>
      <c r="OVX90"/>
      <c r="OVY90"/>
      <c r="OVZ90"/>
      <c r="OWA90"/>
      <c r="OWB90"/>
      <c r="OWC90"/>
      <c r="OWD90"/>
      <c r="OWE90"/>
      <c r="OWF90"/>
      <c r="OWG90"/>
      <c r="OWH90"/>
      <c r="OWI90"/>
      <c r="OWJ90"/>
      <c r="OWK90"/>
      <c r="OWL90"/>
      <c r="OWM90"/>
      <c r="OWN90"/>
      <c r="OWO90"/>
      <c r="OWP90"/>
      <c r="OWQ90"/>
      <c r="OWR90"/>
      <c r="OWS90"/>
      <c r="OWT90"/>
      <c r="OWU90"/>
      <c r="OWV90"/>
      <c r="OWW90"/>
      <c r="OWX90"/>
      <c r="OWY90"/>
      <c r="OWZ90"/>
      <c r="OXA90"/>
      <c r="OXB90"/>
      <c r="OXC90"/>
      <c r="OXD90"/>
      <c r="OXE90"/>
      <c r="OXF90"/>
      <c r="OXG90"/>
      <c r="OXH90"/>
      <c r="OXI90"/>
      <c r="OXJ90"/>
      <c r="OXK90"/>
      <c r="OXL90"/>
      <c r="OXM90"/>
      <c r="OXN90"/>
      <c r="OXO90"/>
      <c r="OXP90"/>
      <c r="OXQ90"/>
      <c r="OXR90"/>
      <c r="OXS90"/>
      <c r="OXT90"/>
      <c r="OXU90"/>
      <c r="OXV90"/>
      <c r="OXW90"/>
      <c r="OXX90"/>
      <c r="OXY90"/>
      <c r="OXZ90"/>
      <c r="OYA90"/>
      <c r="OYB90"/>
      <c r="OYC90"/>
      <c r="OYD90"/>
      <c r="OYE90"/>
      <c r="OYF90"/>
      <c r="OYG90"/>
      <c r="OYH90"/>
      <c r="OYI90"/>
      <c r="OYJ90"/>
      <c r="OYK90"/>
      <c r="OYL90"/>
      <c r="OYM90"/>
      <c r="OYN90"/>
      <c r="OYO90"/>
      <c r="OYP90"/>
      <c r="OYQ90"/>
      <c r="OYR90"/>
      <c r="OYS90"/>
      <c r="OYT90"/>
      <c r="OYU90"/>
      <c r="OYV90"/>
      <c r="OYW90"/>
      <c r="OYX90"/>
      <c r="OYY90"/>
      <c r="OYZ90"/>
      <c r="OZA90"/>
      <c r="OZB90"/>
      <c r="OZC90"/>
      <c r="OZD90"/>
      <c r="OZE90"/>
      <c r="OZF90"/>
      <c r="OZG90"/>
      <c r="OZH90"/>
      <c r="OZI90"/>
      <c r="OZJ90"/>
      <c r="OZK90"/>
      <c r="OZL90"/>
      <c r="OZM90"/>
      <c r="OZN90"/>
      <c r="OZO90"/>
      <c r="OZP90"/>
      <c r="OZQ90"/>
      <c r="OZR90"/>
      <c r="OZS90"/>
      <c r="OZT90"/>
      <c r="OZU90"/>
      <c r="OZV90"/>
      <c r="OZW90"/>
      <c r="OZX90"/>
      <c r="OZY90"/>
      <c r="OZZ90"/>
      <c r="PAA90"/>
      <c r="PAB90"/>
      <c r="PAC90"/>
      <c r="PAD90"/>
      <c r="PAE90"/>
      <c r="PAF90"/>
      <c r="PAG90"/>
      <c r="PAH90"/>
      <c r="PAI90"/>
      <c r="PAJ90"/>
      <c r="PAK90"/>
      <c r="PAL90"/>
      <c r="PAM90"/>
      <c r="PAN90"/>
      <c r="PAO90"/>
      <c r="PAP90"/>
      <c r="PAQ90"/>
      <c r="PAR90"/>
      <c r="PAS90"/>
      <c r="PAT90"/>
      <c r="PAU90"/>
      <c r="PAV90"/>
      <c r="PAW90"/>
      <c r="PAX90"/>
      <c r="PAY90"/>
      <c r="PAZ90"/>
      <c r="PBA90"/>
      <c r="PBB90"/>
      <c r="PBC90"/>
      <c r="PBD90"/>
      <c r="PBE90"/>
      <c r="PBF90"/>
      <c r="PBG90"/>
      <c r="PBH90"/>
      <c r="PBI90"/>
      <c r="PBJ90"/>
      <c r="PBK90"/>
      <c r="PBL90"/>
      <c r="PBM90"/>
      <c r="PBN90"/>
      <c r="PBO90"/>
      <c r="PBP90"/>
      <c r="PBQ90"/>
      <c r="PBR90"/>
      <c r="PBS90"/>
      <c r="PBT90"/>
      <c r="PBU90"/>
      <c r="PBV90"/>
      <c r="PBW90"/>
      <c r="PBX90"/>
      <c r="PBY90"/>
      <c r="PBZ90"/>
      <c r="PCA90"/>
      <c r="PCB90"/>
      <c r="PCC90"/>
      <c r="PCD90"/>
      <c r="PCE90"/>
      <c r="PCF90"/>
      <c r="PCG90"/>
      <c r="PCH90"/>
      <c r="PCI90"/>
      <c r="PCJ90"/>
      <c r="PCK90"/>
      <c r="PCL90"/>
      <c r="PCM90"/>
      <c r="PCN90"/>
      <c r="PCO90"/>
      <c r="PCP90"/>
      <c r="PCQ90"/>
      <c r="PCR90"/>
      <c r="PCS90"/>
      <c r="PCT90"/>
      <c r="PCU90"/>
      <c r="PCV90"/>
      <c r="PCW90"/>
      <c r="PCX90"/>
      <c r="PCY90"/>
      <c r="PCZ90"/>
      <c r="PDA90"/>
      <c r="PDB90"/>
      <c r="PDC90"/>
      <c r="PDD90"/>
      <c r="PDE90"/>
      <c r="PDF90"/>
      <c r="PDG90"/>
      <c r="PDH90"/>
      <c r="PDI90"/>
      <c r="PDJ90"/>
      <c r="PDK90"/>
      <c r="PDL90"/>
      <c r="PDM90"/>
      <c r="PDN90"/>
      <c r="PDO90"/>
      <c r="PDP90"/>
      <c r="PDQ90"/>
      <c r="PDR90"/>
      <c r="PDS90"/>
      <c r="PDT90"/>
      <c r="PDU90"/>
      <c r="PDV90"/>
      <c r="PDW90"/>
      <c r="PDX90"/>
      <c r="PDY90"/>
      <c r="PDZ90"/>
      <c r="PEA90"/>
      <c r="PEB90"/>
      <c r="PEC90"/>
      <c r="PED90"/>
      <c r="PEE90"/>
      <c r="PEF90"/>
      <c r="PEG90"/>
      <c r="PEH90"/>
      <c r="PEI90"/>
      <c r="PEJ90"/>
      <c r="PEK90"/>
      <c r="PEL90"/>
      <c r="PEM90"/>
      <c r="PEN90"/>
      <c r="PEO90"/>
      <c r="PEP90"/>
      <c r="PEQ90"/>
      <c r="PER90"/>
      <c r="PES90"/>
      <c r="PET90"/>
      <c r="PEU90"/>
      <c r="PEV90"/>
      <c r="PEW90"/>
      <c r="PEX90"/>
      <c r="PEY90"/>
      <c r="PEZ90"/>
      <c r="PFA90"/>
      <c r="PFB90"/>
      <c r="PFC90"/>
      <c r="PFD90"/>
      <c r="PFE90"/>
      <c r="PFF90"/>
      <c r="PFG90"/>
      <c r="PFH90"/>
      <c r="PFI90"/>
      <c r="PFJ90"/>
      <c r="PFK90"/>
      <c r="PFL90"/>
      <c r="PFM90"/>
      <c r="PFN90"/>
      <c r="PFO90"/>
      <c r="PFP90"/>
      <c r="PFQ90"/>
      <c r="PFR90"/>
      <c r="PFS90"/>
      <c r="PFT90"/>
      <c r="PFU90"/>
      <c r="PFV90"/>
      <c r="PFW90"/>
      <c r="PFX90"/>
      <c r="PFY90"/>
      <c r="PFZ90"/>
      <c r="PGA90"/>
      <c r="PGB90"/>
      <c r="PGC90"/>
      <c r="PGD90"/>
      <c r="PGE90"/>
      <c r="PGF90"/>
      <c r="PGG90"/>
      <c r="PGH90"/>
      <c r="PGI90"/>
      <c r="PGJ90"/>
      <c r="PGK90"/>
      <c r="PGL90"/>
      <c r="PGM90"/>
      <c r="PGN90"/>
      <c r="PGO90"/>
      <c r="PGP90"/>
      <c r="PGQ90"/>
      <c r="PGR90"/>
      <c r="PGS90"/>
      <c r="PGT90"/>
      <c r="PGU90"/>
      <c r="PGV90"/>
      <c r="PGW90"/>
      <c r="PGX90"/>
      <c r="PGY90"/>
      <c r="PGZ90"/>
      <c r="PHA90"/>
      <c r="PHB90"/>
      <c r="PHC90"/>
      <c r="PHD90"/>
      <c r="PHE90"/>
      <c r="PHF90"/>
      <c r="PHG90"/>
      <c r="PHH90"/>
      <c r="PHI90"/>
      <c r="PHJ90"/>
      <c r="PHK90"/>
      <c r="PHL90"/>
      <c r="PHM90"/>
      <c r="PHN90"/>
      <c r="PHO90"/>
      <c r="PHP90"/>
      <c r="PHQ90"/>
      <c r="PHR90"/>
      <c r="PHS90"/>
      <c r="PHT90"/>
      <c r="PHU90"/>
      <c r="PHV90"/>
      <c r="PHW90"/>
      <c r="PHX90"/>
      <c r="PHY90"/>
      <c r="PHZ90"/>
      <c r="PIA90"/>
      <c r="PIB90"/>
      <c r="PIC90"/>
      <c r="PID90"/>
      <c r="PIE90"/>
      <c r="PIF90"/>
      <c r="PIG90"/>
      <c r="PIH90"/>
      <c r="PII90"/>
      <c r="PIJ90"/>
      <c r="PIK90"/>
      <c r="PIL90"/>
      <c r="PIM90"/>
      <c r="PIN90"/>
      <c r="PIO90"/>
      <c r="PIP90"/>
      <c r="PIQ90"/>
      <c r="PIR90"/>
      <c r="PIS90"/>
      <c r="PIT90"/>
      <c r="PIU90"/>
      <c r="PIV90"/>
      <c r="PIW90"/>
      <c r="PIX90"/>
      <c r="PIY90"/>
      <c r="PIZ90"/>
      <c r="PJA90"/>
      <c r="PJB90"/>
      <c r="PJC90"/>
      <c r="PJD90"/>
      <c r="PJE90"/>
      <c r="PJF90"/>
      <c r="PJG90"/>
      <c r="PJH90"/>
      <c r="PJI90"/>
      <c r="PJJ90"/>
      <c r="PJK90"/>
      <c r="PJL90"/>
      <c r="PJM90"/>
      <c r="PJN90"/>
      <c r="PJO90"/>
      <c r="PJP90"/>
      <c r="PJQ90"/>
      <c r="PJR90"/>
      <c r="PJS90"/>
      <c r="PJT90"/>
      <c r="PJU90"/>
      <c r="PJV90"/>
      <c r="PJW90"/>
      <c r="PJX90"/>
      <c r="PJY90"/>
      <c r="PJZ90"/>
      <c r="PKA90"/>
      <c r="PKB90"/>
      <c r="PKC90"/>
      <c r="PKD90"/>
      <c r="PKE90"/>
      <c r="PKF90"/>
      <c r="PKG90"/>
      <c r="PKH90"/>
      <c r="PKI90"/>
      <c r="PKJ90"/>
      <c r="PKK90"/>
      <c r="PKL90"/>
      <c r="PKM90"/>
      <c r="PKN90"/>
      <c r="PKO90"/>
      <c r="PKP90"/>
      <c r="PKQ90"/>
      <c r="PKR90"/>
      <c r="PKS90"/>
      <c r="PKT90"/>
      <c r="PKU90"/>
      <c r="PKV90"/>
      <c r="PKW90"/>
      <c r="PKX90"/>
      <c r="PKY90"/>
      <c r="PKZ90"/>
      <c r="PLA90"/>
      <c r="PLB90"/>
      <c r="PLC90"/>
      <c r="PLD90"/>
      <c r="PLE90"/>
      <c r="PLF90"/>
      <c r="PLG90"/>
      <c r="PLH90"/>
      <c r="PLI90"/>
      <c r="PLJ90"/>
      <c r="PLK90"/>
      <c r="PLL90"/>
      <c r="PLM90"/>
      <c r="PLN90"/>
      <c r="PLO90"/>
      <c r="PLP90"/>
      <c r="PLQ90"/>
      <c r="PLR90"/>
      <c r="PLS90"/>
      <c r="PLT90"/>
      <c r="PLU90"/>
      <c r="PLV90"/>
      <c r="PLW90"/>
      <c r="PLX90"/>
      <c r="PLY90"/>
      <c r="PLZ90"/>
      <c r="PMA90"/>
      <c r="PMB90"/>
      <c r="PMC90"/>
      <c r="PMD90"/>
      <c r="PME90"/>
      <c r="PMF90"/>
      <c r="PMG90"/>
      <c r="PMH90"/>
      <c r="PMI90"/>
      <c r="PMJ90"/>
      <c r="PMK90"/>
      <c r="PML90"/>
      <c r="PMM90"/>
      <c r="PMN90"/>
      <c r="PMO90"/>
      <c r="PMP90"/>
      <c r="PMQ90"/>
      <c r="PMR90"/>
      <c r="PMS90"/>
      <c r="PMT90"/>
      <c r="PMU90"/>
      <c r="PMV90"/>
      <c r="PMW90"/>
      <c r="PMX90"/>
      <c r="PMY90"/>
      <c r="PMZ90"/>
      <c r="PNA90"/>
      <c r="PNB90"/>
      <c r="PNC90"/>
      <c r="PND90"/>
      <c r="PNE90"/>
      <c r="PNF90"/>
      <c r="PNG90"/>
      <c r="PNH90"/>
      <c r="PNI90"/>
      <c r="PNJ90"/>
      <c r="PNK90"/>
      <c r="PNL90"/>
      <c r="PNM90"/>
      <c r="PNN90"/>
      <c r="PNO90"/>
      <c r="PNP90"/>
      <c r="PNQ90"/>
      <c r="PNR90"/>
      <c r="PNS90"/>
      <c r="PNT90"/>
      <c r="PNU90"/>
      <c r="PNV90"/>
      <c r="PNW90"/>
      <c r="PNX90"/>
      <c r="PNY90"/>
      <c r="PNZ90"/>
      <c r="POA90"/>
      <c r="POB90"/>
      <c r="POC90"/>
      <c r="POD90"/>
      <c r="POE90"/>
      <c r="POF90"/>
      <c r="POG90"/>
      <c r="POH90"/>
      <c r="POI90"/>
      <c r="POJ90"/>
      <c r="POK90"/>
      <c r="POL90"/>
      <c r="POM90"/>
      <c r="PON90"/>
      <c r="POO90"/>
      <c r="POP90"/>
      <c r="POQ90"/>
      <c r="POR90"/>
      <c r="POS90"/>
      <c r="POT90"/>
      <c r="POU90"/>
      <c r="POV90"/>
      <c r="POW90"/>
      <c r="POX90"/>
      <c r="POY90"/>
      <c r="POZ90"/>
      <c r="PPA90"/>
      <c r="PPB90"/>
      <c r="PPC90"/>
      <c r="PPD90"/>
      <c r="PPE90"/>
      <c r="PPF90"/>
      <c r="PPG90"/>
      <c r="PPH90"/>
      <c r="PPI90"/>
      <c r="PPJ90"/>
      <c r="PPK90"/>
      <c r="PPL90"/>
      <c r="PPM90"/>
      <c r="PPN90"/>
      <c r="PPO90"/>
      <c r="PPP90"/>
      <c r="PPQ90"/>
      <c r="PPR90"/>
      <c r="PPS90"/>
      <c r="PPT90"/>
      <c r="PPU90"/>
      <c r="PPV90"/>
      <c r="PPW90"/>
      <c r="PPX90"/>
      <c r="PPY90"/>
      <c r="PPZ90"/>
      <c r="PQA90"/>
      <c r="PQB90"/>
      <c r="PQC90"/>
      <c r="PQD90"/>
      <c r="PQE90"/>
      <c r="PQF90"/>
      <c r="PQG90"/>
      <c r="PQH90"/>
      <c r="PQI90"/>
      <c r="PQJ90"/>
      <c r="PQK90"/>
      <c r="PQL90"/>
      <c r="PQM90"/>
      <c r="PQN90"/>
      <c r="PQO90"/>
      <c r="PQP90"/>
      <c r="PQQ90"/>
      <c r="PQR90"/>
      <c r="PQS90"/>
      <c r="PQT90"/>
      <c r="PQU90"/>
      <c r="PQV90"/>
      <c r="PQW90"/>
      <c r="PQX90"/>
      <c r="PQY90"/>
      <c r="PQZ90"/>
      <c r="PRA90"/>
      <c r="PRB90"/>
      <c r="PRC90"/>
      <c r="PRD90"/>
      <c r="PRE90"/>
      <c r="PRF90"/>
      <c r="PRG90"/>
      <c r="PRH90"/>
      <c r="PRI90"/>
      <c r="PRJ90"/>
      <c r="PRK90"/>
      <c r="PRL90"/>
      <c r="PRM90"/>
      <c r="PRN90"/>
      <c r="PRO90"/>
      <c r="PRP90"/>
      <c r="PRQ90"/>
      <c r="PRR90"/>
      <c r="PRS90"/>
      <c r="PRT90"/>
      <c r="PRU90"/>
      <c r="PRV90"/>
      <c r="PRW90"/>
      <c r="PRX90"/>
      <c r="PRY90"/>
      <c r="PRZ90"/>
      <c r="PSA90"/>
      <c r="PSB90"/>
      <c r="PSC90"/>
      <c r="PSD90"/>
      <c r="PSE90"/>
      <c r="PSF90"/>
      <c r="PSG90"/>
      <c r="PSH90"/>
      <c r="PSI90"/>
      <c r="PSJ90"/>
      <c r="PSK90"/>
      <c r="PSL90"/>
      <c r="PSM90"/>
      <c r="PSN90"/>
      <c r="PSO90"/>
      <c r="PSP90"/>
      <c r="PSQ90"/>
      <c r="PSR90"/>
      <c r="PSS90"/>
      <c r="PST90"/>
      <c r="PSU90"/>
      <c r="PSV90"/>
      <c r="PSW90"/>
      <c r="PSX90"/>
      <c r="PSY90"/>
      <c r="PSZ90"/>
      <c r="PTA90"/>
      <c r="PTB90"/>
      <c r="PTC90"/>
      <c r="PTD90"/>
      <c r="PTE90"/>
      <c r="PTF90"/>
      <c r="PTG90"/>
      <c r="PTH90"/>
      <c r="PTI90"/>
      <c r="PTJ90"/>
      <c r="PTK90"/>
      <c r="PTL90"/>
      <c r="PTM90"/>
      <c r="PTN90"/>
      <c r="PTO90"/>
      <c r="PTP90"/>
      <c r="PTQ90"/>
      <c r="PTR90"/>
      <c r="PTS90"/>
      <c r="PTT90"/>
      <c r="PTU90"/>
      <c r="PTV90"/>
      <c r="PTW90"/>
      <c r="PTX90"/>
      <c r="PTY90"/>
      <c r="PTZ90"/>
      <c r="PUA90"/>
      <c r="PUB90"/>
      <c r="PUC90"/>
      <c r="PUD90"/>
      <c r="PUE90"/>
      <c r="PUF90"/>
      <c r="PUG90"/>
      <c r="PUH90"/>
      <c r="PUI90"/>
      <c r="PUJ90"/>
      <c r="PUK90"/>
      <c r="PUL90"/>
      <c r="PUM90"/>
      <c r="PUN90"/>
      <c r="PUO90"/>
      <c r="PUP90"/>
      <c r="PUQ90"/>
      <c r="PUR90"/>
      <c r="PUS90"/>
      <c r="PUT90"/>
      <c r="PUU90"/>
      <c r="PUV90"/>
      <c r="PUW90"/>
      <c r="PUX90"/>
      <c r="PUY90"/>
      <c r="PUZ90"/>
      <c r="PVA90"/>
      <c r="PVB90"/>
      <c r="PVC90"/>
      <c r="PVD90"/>
      <c r="PVE90"/>
      <c r="PVF90"/>
      <c r="PVG90"/>
      <c r="PVH90"/>
      <c r="PVI90"/>
      <c r="PVJ90"/>
      <c r="PVK90"/>
      <c r="PVL90"/>
      <c r="PVM90"/>
      <c r="PVN90"/>
      <c r="PVO90"/>
      <c r="PVP90"/>
      <c r="PVQ90"/>
      <c r="PVR90"/>
      <c r="PVS90"/>
      <c r="PVT90"/>
      <c r="PVU90"/>
      <c r="PVV90"/>
      <c r="PVW90"/>
      <c r="PVX90"/>
      <c r="PVY90"/>
      <c r="PVZ90"/>
      <c r="PWA90"/>
      <c r="PWB90"/>
      <c r="PWC90"/>
      <c r="PWD90"/>
      <c r="PWE90"/>
      <c r="PWF90"/>
      <c r="PWG90"/>
      <c r="PWH90"/>
      <c r="PWI90"/>
      <c r="PWJ90"/>
      <c r="PWK90"/>
      <c r="PWL90"/>
      <c r="PWM90"/>
      <c r="PWN90"/>
      <c r="PWO90"/>
      <c r="PWP90"/>
      <c r="PWQ90"/>
      <c r="PWR90"/>
      <c r="PWS90"/>
      <c r="PWT90"/>
      <c r="PWU90"/>
      <c r="PWV90"/>
      <c r="PWW90"/>
      <c r="PWX90"/>
      <c r="PWY90"/>
      <c r="PWZ90"/>
      <c r="PXA90"/>
      <c r="PXB90"/>
      <c r="PXC90"/>
      <c r="PXD90"/>
      <c r="PXE90"/>
      <c r="PXF90"/>
      <c r="PXG90"/>
      <c r="PXH90"/>
      <c r="PXI90"/>
      <c r="PXJ90"/>
      <c r="PXK90"/>
      <c r="PXL90"/>
      <c r="PXM90"/>
      <c r="PXN90"/>
      <c r="PXO90"/>
      <c r="PXP90"/>
      <c r="PXQ90"/>
      <c r="PXR90"/>
      <c r="PXS90"/>
      <c r="PXT90"/>
      <c r="PXU90"/>
      <c r="PXV90"/>
      <c r="PXW90"/>
      <c r="PXX90"/>
      <c r="PXY90"/>
      <c r="PXZ90"/>
      <c r="PYA90"/>
      <c r="PYB90"/>
      <c r="PYC90"/>
      <c r="PYD90"/>
      <c r="PYE90"/>
      <c r="PYF90"/>
      <c r="PYG90"/>
      <c r="PYH90"/>
      <c r="PYI90"/>
      <c r="PYJ90"/>
      <c r="PYK90"/>
      <c r="PYL90"/>
      <c r="PYM90"/>
      <c r="PYN90"/>
      <c r="PYO90"/>
      <c r="PYP90"/>
      <c r="PYQ90"/>
      <c r="PYR90"/>
      <c r="PYS90"/>
      <c r="PYT90"/>
      <c r="PYU90"/>
      <c r="PYV90"/>
      <c r="PYW90"/>
      <c r="PYX90"/>
      <c r="PYY90"/>
      <c r="PYZ90"/>
      <c r="PZA90"/>
      <c r="PZB90"/>
      <c r="PZC90"/>
      <c r="PZD90"/>
      <c r="PZE90"/>
      <c r="PZF90"/>
      <c r="PZG90"/>
      <c r="PZH90"/>
      <c r="PZI90"/>
      <c r="PZJ90"/>
      <c r="PZK90"/>
      <c r="PZL90"/>
      <c r="PZM90"/>
      <c r="PZN90"/>
      <c r="PZO90"/>
      <c r="PZP90"/>
      <c r="PZQ90"/>
      <c r="PZR90"/>
      <c r="PZS90"/>
      <c r="PZT90"/>
      <c r="PZU90"/>
      <c r="PZV90"/>
      <c r="PZW90"/>
      <c r="PZX90"/>
      <c r="PZY90"/>
      <c r="PZZ90"/>
      <c r="QAA90"/>
      <c r="QAB90"/>
      <c r="QAC90"/>
      <c r="QAD90"/>
      <c r="QAE90"/>
      <c r="QAF90"/>
      <c r="QAG90"/>
      <c r="QAH90"/>
      <c r="QAI90"/>
      <c r="QAJ90"/>
      <c r="QAK90"/>
      <c r="QAL90"/>
      <c r="QAM90"/>
      <c r="QAN90"/>
      <c r="QAO90"/>
      <c r="QAP90"/>
      <c r="QAQ90"/>
      <c r="QAR90"/>
      <c r="QAS90"/>
      <c r="QAT90"/>
      <c r="QAU90"/>
      <c r="QAV90"/>
      <c r="QAW90"/>
      <c r="QAX90"/>
      <c r="QAY90"/>
      <c r="QAZ90"/>
      <c r="QBA90"/>
      <c r="QBB90"/>
      <c r="QBC90"/>
      <c r="QBD90"/>
      <c r="QBE90"/>
      <c r="QBF90"/>
      <c r="QBG90"/>
      <c r="QBH90"/>
      <c r="QBI90"/>
      <c r="QBJ90"/>
      <c r="QBK90"/>
      <c r="QBL90"/>
      <c r="QBM90"/>
      <c r="QBN90"/>
      <c r="QBO90"/>
      <c r="QBP90"/>
      <c r="QBQ90"/>
      <c r="QBR90"/>
      <c r="QBS90"/>
      <c r="QBT90"/>
      <c r="QBU90"/>
      <c r="QBV90"/>
      <c r="QBW90"/>
      <c r="QBX90"/>
      <c r="QBY90"/>
      <c r="QBZ90"/>
      <c r="QCA90"/>
      <c r="QCB90"/>
      <c r="QCC90"/>
      <c r="QCD90"/>
      <c r="QCE90"/>
      <c r="QCF90"/>
      <c r="QCG90"/>
      <c r="QCH90"/>
      <c r="QCI90"/>
      <c r="QCJ90"/>
      <c r="QCK90"/>
      <c r="QCL90"/>
      <c r="QCM90"/>
      <c r="QCN90"/>
      <c r="QCO90"/>
      <c r="QCP90"/>
      <c r="QCQ90"/>
      <c r="QCR90"/>
      <c r="QCS90"/>
      <c r="QCT90"/>
      <c r="QCU90"/>
      <c r="QCV90"/>
      <c r="QCW90"/>
      <c r="QCX90"/>
      <c r="QCY90"/>
      <c r="QCZ90"/>
      <c r="QDA90"/>
      <c r="QDB90"/>
      <c r="QDC90"/>
      <c r="QDD90"/>
      <c r="QDE90"/>
      <c r="QDF90"/>
      <c r="QDG90"/>
      <c r="QDH90"/>
      <c r="QDI90"/>
      <c r="QDJ90"/>
      <c r="QDK90"/>
      <c r="QDL90"/>
      <c r="QDM90"/>
      <c r="QDN90"/>
      <c r="QDO90"/>
      <c r="QDP90"/>
      <c r="QDQ90"/>
      <c r="QDR90"/>
      <c r="QDS90"/>
      <c r="QDT90"/>
      <c r="QDU90"/>
      <c r="QDV90"/>
      <c r="QDW90"/>
      <c r="QDX90"/>
      <c r="QDY90"/>
      <c r="QDZ90"/>
      <c r="QEA90"/>
      <c r="QEB90"/>
      <c r="QEC90"/>
      <c r="QED90"/>
      <c r="QEE90"/>
      <c r="QEF90"/>
      <c r="QEG90"/>
      <c r="QEH90"/>
      <c r="QEI90"/>
      <c r="QEJ90"/>
      <c r="QEK90"/>
      <c r="QEL90"/>
      <c r="QEM90"/>
      <c r="QEN90"/>
      <c r="QEO90"/>
      <c r="QEP90"/>
      <c r="QEQ90"/>
      <c r="QER90"/>
      <c r="QES90"/>
      <c r="QET90"/>
      <c r="QEU90"/>
      <c r="QEV90"/>
      <c r="QEW90"/>
      <c r="QEX90"/>
      <c r="QEY90"/>
      <c r="QEZ90"/>
      <c r="QFA90"/>
      <c r="QFB90"/>
      <c r="QFC90"/>
      <c r="QFD90"/>
      <c r="QFE90"/>
      <c r="QFF90"/>
      <c r="QFG90"/>
      <c r="QFH90"/>
      <c r="QFI90"/>
      <c r="QFJ90"/>
      <c r="QFK90"/>
      <c r="QFL90"/>
      <c r="QFM90"/>
      <c r="QFN90"/>
      <c r="QFO90"/>
      <c r="QFP90"/>
      <c r="QFQ90"/>
      <c r="QFR90"/>
      <c r="QFS90"/>
      <c r="QFT90"/>
      <c r="QFU90"/>
      <c r="QFV90"/>
      <c r="QFW90"/>
      <c r="QFX90"/>
      <c r="QFY90"/>
      <c r="QFZ90"/>
      <c r="QGA90"/>
      <c r="QGB90"/>
      <c r="QGC90"/>
      <c r="QGD90"/>
      <c r="QGE90"/>
      <c r="QGF90"/>
      <c r="QGG90"/>
      <c r="QGH90"/>
      <c r="QGI90"/>
      <c r="QGJ90"/>
      <c r="QGK90"/>
      <c r="QGL90"/>
      <c r="QGM90"/>
      <c r="QGN90"/>
      <c r="QGO90"/>
      <c r="QGP90"/>
      <c r="QGQ90"/>
      <c r="QGR90"/>
      <c r="QGS90"/>
      <c r="QGT90"/>
      <c r="QGU90"/>
      <c r="QGV90"/>
      <c r="QGW90"/>
      <c r="QGX90"/>
      <c r="QGY90"/>
      <c r="QGZ90"/>
      <c r="QHA90"/>
      <c r="QHB90"/>
      <c r="QHC90"/>
      <c r="QHD90"/>
      <c r="QHE90"/>
      <c r="QHF90"/>
      <c r="QHG90"/>
      <c r="QHH90"/>
      <c r="QHI90"/>
      <c r="QHJ90"/>
      <c r="QHK90"/>
      <c r="QHL90"/>
      <c r="QHM90"/>
      <c r="QHN90"/>
      <c r="QHO90"/>
      <c r="QHP90"/>
      <c r="QHQ90"/>
      <c r="QHR90"/>
      <c r="QHS90"/>
      <c r="QHT90"/>
      <c r="QHU90"/>
      <c r="QHV90"/>
      <c r="QHW90"/>
      <c r="QHX90"/>
      <c r="QHY90"/>
      <c r="QHZ90"/>
      <c r="QIA90"/>
      <c r="QIB90"/>
      <c r="QIC90"/>
      <c r="QID90"/>
      <c r="QIE90"/>
      <c r="QIF90"/>
      <c r="QIG90"/>
      <c r="QIH90"/>
      <c r="QII90"/>
      <c r="QIJ90"/>
      <c r="QIK90"/>
      <c r="QIL90"/>
      <c r="QIM90"/>
      <c r="QIN90"/>
      <c r="QIO90"/>
      <c r="QIP90"/>
      <c r="QIQ90"/>
      <c r="QIR90"/>
      <c r="QIS90"/>
      <c r="QIT90"/>
      <c r="QIU90"/>
      <c r="QIV90"/>
      <c r="QIW90"/>
      <c r="QIX90"/>
      <c r="QIY90"/>
      <c r="QIZ90"/>
      <c r="QJA90"/>
      <c r="QJB90"/>
      <c r="QJC90"/>
      <c r="QJD90"/>
      <c r="QJE90"/>
      <c r="QJF90"/>
      <c r="QJG90"/>
      <c r="QJH90"/>
      <c r="QJI90"/>
      <c r="QJJ90"/>
      <c r="QJK90"/>
      <c r="QJL90"/>
      <c r="QJM90"/>
      <c r="QJN90"/>
      <c r="QJO90"/>
      <c r="QJP90"/>
      <c r="QJQ90"/>
      <c r="QJR90"/>
      <c r="QJS90"/>
      <c r="QJT90"/>
      <c r="QJU90"/>
      <c r="QJV90"/>
      <c r="QJW90"/>
      <c r="QJX90"/>
      <c r="QJY90"/>
      <c r="QJZ90"/>
      <c r="QKA90"/>
      <c r="QKB90"/>
      <c r="QKC90"/>
      <c r="QKD90"/>
      <c r="QKE90"/>
      <c r="QKF90"/>
      <c r="QKG90"/>
      <c r="QKH90"/>
      <c r="QKI90"/>
      <c r="QKJ90"/>
      <c r="QKK90"/>
      <c r="QKL90"/>
      <c r="QKM90"/>
      <c r="QKN90"/>
      <c r="QKO90"/>
      <c r="QKP90"/>
      <c r="QKQ90"/>
      <c r="QKR90"/>
      <c r="QKS90"/>
      <c r="QKT90"/>
      <c r="QKU90"/>
      <c r="QKV90"/>
      <c r="QKW90"/>
      <c r="QKX90"/>
      <c r="QKY90"/>
      <c r="QKZ90"/>
      <c r="QLA90"/>
      <c r="QLB90"/>
      <c r="QLC90"/>
      <c r="QLD90"/>
      <c r="QLE90"/>
      <c r="QLF90"/>
      <c r="QLG90"/>
      <c r="QLH90"/>
      <c r="QLI90"/>
      <c r="QLJ90"/>
      <c r="QLK90"/>
      <c r="QLL90"/>
      <c r="QLM90"/>
      <c r="QLN90"/>
      <c r="QLO90"/>
      <c r="QLP90"/>
      <c r="QLQ90"/>
      <c r="QLR90"/>
      <c r="QLS90"/>
      <c r="QLT90"/>
      <c r="QLU90"/>
      <c r="QLV90"/>
      <c r="QLW90"/>
      <c r="QLX90"/>
      <c r="QLY90"/>
      <c r="QLZ90"/>
      <c r="QMA90"/>
      <c r="QMB90"/>
      <c r="QMC90"/>
      <c r="QMD90"/>
      <c r="QME90"/>
      <c r="QMF90"/>
      <c r="QMG90"/>
      <c r="QMH90"/>
      <c r="QMI90"/>
      <c r="QMJ90"/>
      <c r="QMK90"/>
      <c r="QML90"/>
      <c r="QMM90"/>
      <c r="QMN90"/>
      <c r="QMO90"/>
      <c r="QMP90"/>
      <c r="QMQ90"/>
      <c r="QMR90"/>
      <c r="QMS90"/>
      <c r="QMT90"/>
      <c r="QMU90"/>
      <c r="QMV90"/>
      <c r="QMW90"/>
      <c r="QMX90"/>
      <c r="QMY90"/>
      <c r="QMZ90"/>
      <c r="QNA90"/>
      <c r="QNB90"/>
      <c r="QNC90"/>
      <c r="QND90"/>
      <c r="QNE90"/>
      <c r="QNF90"/>
      <c r="QNG90"/>
      <c r="QNH90"/>
      <c r="QNI90"/>
      <c r="QNJ90"/>
      <c r="QNK90"/>
      <c r="QNL90"/>
      <c r="QNM90"/>
      <c r="QNN90"/>
      <c r="QNO90"/>
      <c r="QNP90"/>
      <c r="QNQ90"/>
      <c r="QNR90"/>
      <c r="QNS90"/>
      <c r="QNT90"/>
      <c r="QNU90"/>
      <c r="QNV90"/>
      <c r="QNW90"/>
      <c r="QNX90"/>
      <c r="QNY90"/>
      <c r="QNZ90"/>
      <c r="QOA90"/>
      <c r="QOB90"/>
      <c r="QOC90"/>
      <c r="QOD90"/>
      <c r="QOE90"/>
      <c r="QOF90"/>
      <c r="QOG90"/>
      <c r="QOH90"/>
      <c r="QOI90"/>
      <c r="QOJ90"/>
      <c r="QOK90"/>
      <c r="QOL90"/>
      <c r="QOM90"/>
      <c r="QON90"/>
      <c r="QOO90"/>
      <c r="QOP90"/>
      <c r="QOQ90"/>
      <c r="QOR90"/>
      <c r="QOS90"/>
      <c r="QOT90"/>
      <c r="QOU90"/>
      <c r="QOV90"/>
      <c r="QOW90"/>
      <c r="QOX90"/>
      <c r="QOY90"/>
      <c r="QOZ90"/>
      <c r="QPA90"/>
      <c r="QPB90"/>
      <c r="QPC90"/>
      <c r="QPD90"/>
      <c r="QPE90"/>
      <c r="QPF90"/>
      <c r="QPG90"/>
      <c r="QPH90"/>
      <c r="QPI90"/>
      <c r="QPJ90"/>
      <c r="QPK90"/>
      <c r="QPL90"/>
      <c r="QPM90"/>
      <c r="QPN90"/>
      <c r="QPO90"/>
      <c r="QPP90"/>
      <c r="QPQ90"/>
      <c r="QPR90"/>
      <c r="QPS90"/>
      <c r="QPT90"/>
      <c r="QPU90"/>
      <c r="QPV90"/>
      <c r="QPW90"/>
      <c r="QPX90"/>
      <c r="QPY90"/>
      <c r="QPZ90"/>
      <c r="QQA90"/>
      <c r="QQB90"/>
      <c r="QQC90"/>
      <c r="QQD90"/>
      <c r="QQE90"/>
      <c r="QQF90"/>
      <c r="QQG90"/>
      <c r="QQH90"/>
      <c r="QQI90"/>
      <c r="QQJ90"/>
      <c r="QQK90"/>
      <c r="QQL90"/>
      <c r="QQM90"/>
      <c r="QQN90"/>
      <c r="QQO90"/>
      <c r="QQP90"/>
      <c r="QQQ90"/>
      <c r="QQR90"/>
      <c r="QQS90"/>
      <c r="QQT90"/>
      <c r="QQU90"/>
      <c r="QQV90"/>
      <c r="QQW90"/>
      <c r="QQX90"/>
      <c r="QQY90"/>
      <c r="QQZ90"/>
      <c r="QRA90"/>
      <c r="QRB90"/>
      <c r="QRC90"/>
      <c r="QRD90"/>
      <c r="QRE90"/>
      <c r="QRF90"/>
      <c r="QRG90"/>
      <c r="QRH90"/>
      <c r="QRI90"/>
      <c r="QRJ90"/>
      <c r="QRK90"/>
      <c r="QRL90"/>
      <c r="QRM90"/>
      <c r="QRN90"/>
      <c r="QRO90"/>
      <c r="QRP90"/>
      <c r="QRQ90"/>
      <c r="QRR90"/>
      <c r="QRS90"/>
      <c r="QRT90"/>
      <c r="QRU90"/>
      <c r="QRV90"/>
      <c r="QRW90"/>
      <c r="QRX90"/>
      <c r="QRY90"/>
      <c r="QRZ90"/>
      <c r="QSA90"/>
      <c r="QSB90"/>
      <c r="QSC90"/>
      <c r="QSD90"/>
      <c r="QSE90"/>
      <c r="QSF90"/>
      <c r="QSG90"/>
      <c r="QSH90"/>
      <c r="QSI90"/>
      <c r="QSJ90"/>
      <c r="QSK90"/>
      <c r="QSL90"/>
      <c r="QSM90"/>
      <c r="QSN90"/>
      <c r="QSO90"/>
      <c r="QSP90"/>
      <c r="QSQ90"/>
      <c r="QSR90"/>
      <c r="QSS90"/>
      <c r="QST90"/>
      <c r="QSU90"/>
      <c r="QSV90"/>
      <c r="QSW90"/>
      <c r="QSX90"/>
      <c r="QSY90"/>
      <c r="QSZ90"/>
      <c r="QTA90"/>
      <c r="QTB90"/>
      <c r="QTC90"/>
      <c r="QTD90"/>
      <c r="QTE90"/>
      <c r="QTF90"/>
      <c r="QTG90"/>
      <c r="QTH90"/>
      <c r="QTI90"/>
      <c r="QTJ90"/>
      <c r="QTK90"/>
      <c r="QTL90"/>
      <c r="QTM90"/>
      <c r="QTN90"/>
      <c r="QTO90"/>
      <c r="QTP90"/>
      <c r="QTQ90"/>
      <c r="QTR90"/>
      <c r="QTS90"/>
      <c r="QTT90"/>
      <c r="QTU90"/>
      <c r="QTV90"/>
      <c r="QTW90"/>
      <c r="QTX90"/>
      <c r="QTY90"/>
      <c r="QTZ90"/>
      <c r="QUA90"/>
      <c r="QUB90"/>
      <c r="QUC90"/>
      <c r="QUD90"/>
      <c r="QUE90"/>
      <c r="QUF90"/>
      <c r="QUG90"/>
      <c r="QUH90"/>
      <c r="QUI90"/>
      <c r="QUJ90"/>
      <c r="QUK90"/>
      <c r="QUL90"/>
      <c r="QUM90"/>
      <c r="QUN90"/>
      <c r="QUO90"/>
      <c r="QUP90"/>
      <c r="QUQ90"/>
      <c r="QUR90"/>
      <c r="QUS90"/>
      <c r="QUT90"/>
      <c r="QUU90"/>
      <c r="QUV90"/>
      <c r="QUW90"/>
      <c r="QUX90"/>
      <c r="QUY90"/>
      <c r="QUZ90"/>
      <c r="QVA90"/>
      <c r="QVB90"/>
      <c r="QVC90"/>
      <c r="QVD90"/>
      <c r="QVE90"/>
      <c r="QVF90"/>
      <c r="QVG90"/>
      <c r="QVH90"/>
      <c r="QVI90"/>
      <c r="QVJ90"/>
      <c r="QVK90"/>
      <c r="QVL90"/>
      <c r="QVM90"/>
      <c r="QVN90"/>
      <c r="QVO90"/>
      <c r="QVP90"/>
      <c r="QVQ90"/>
      <c r="QVR90"/>
      <c r="QVS90"/>
      <c r="QVT90"/>
      <c r="QVU90"/>
      <c r="QVV90"/>
      <c r="QVW90"/>
      <c r="QVX90"/>
      <c r="QVY90"/>
      <c r="QVZ90"/>
      <c r="QWA90"/>
      <c r="QWB90"/>
      <c r="QWC90"/>
      <c r="QWD90"/>
      <c r="QWE90"/>
      <c r="QWF90"/>
      <c r="QWG90"/>
      <c r="QWH90"/>
      <c r="QWI90"/>
      <c r="QWJ90"/>
      <c r="QWK90"/>
      <c r="QWL90"/>
      <c r="QWM90"/>
      <c r="QWN90"/>
      <c r="QWO90"/>
      <c r="QWP90"/>
      <c r="QWQ90"/>
      <c r="QWR90"/>
      <c r="QWS90"/>
      <c r="QWT90"/>
      <c r="QWU90"/>
      <c r="QWV90"/>
      <c r="QWW90"/>
      <c r="QWX90"/>
      <c r="QWY90"/>
      <c r="QWZ90"/>
      <c r="QXA90"/>
      <c r="QXB90"/>
      <c r="QXC90"/>
      <c r="QXD90"/>
      <c r="QXE90"/>
      <c r="QXF90"/>
      <c r="QXG90"/>
      <c r="QXH90"/>
      <c r="QXI90"/>
      <c r="QXJ90"/>
      <c r="QXK90"/>
      <c r="QXL90"/>
      <c r="QXM90"/>
      <c r="QXN90"/>
      <c r="QXO90"/>
      <c r="QXP90"/>
      <c r="QXQ90"/>
      <c r="QXR90"/>
      <c r="QXS90"/>
      <c r="QXT90"/>
      <c r="QXU90"/>
      <c r="QXV90"/>
      <c r="QXW90"/>
      <c r="QXX90"/>
      <c r="QXY90"/>
      <c r="QXZ90"/>
      <c r="QYA90"/>
      <c r="QYB90"/>
      <c r="QYC90"/>
      <c r="QYD90"/>
      <c r="QYE90"/>
      <c r="QYF90"/>
      <c r="QYG90"/>
      <c r="QYH90"/>
      <c r="QYI90"/>
      <c r="QYJ90"/>
      <c r="QYK90"/>
      <c r="QYL90"/>
      <c r="QYM90"/>
      <c r="QYN90"/>
      <c r="QYO90"/>
      <c r="QYP90"/>
      <c r="QYQ90"/>
      <c r="QYR90"/>
      <c r="QYS90"/>
      <c r="QYT90"/>
      <c r="QYU90"/>
      <c r="QYV90"/>
      <c r="QYW90"/>
      <c r="QYX90"/>
      <c r="QYY90"/>
      <c r="QYZ90"/>
      <c r="QZA90"/>
      <c r="QZB90"/>
      <c r="QZC90"/>
      <c r="QZD90"/>
      <c r="QZE90"/>
      <c r="QZF90"/>
      <c r="QZG90"/>
      <c r="QZH90"/>
      <c r="QZI90"/>
      <c r="QZJ90"/>
      <c r="QZK90"/>
      <c r="QZL90"/>
      <c r="QZM90"/>
      <c r="QZN90"/>
      <c r="QZO90"/>
      <c r="QZP90"/>
      <c r="QZQ90"/>
      <c r="QZR90"/>
      <c r="QZS90"/>
      <c r="QZT90"/>
      <c r="QZU90"/>
      <c r="QZV90"/>
      <c r="QZW90"/>
      <c r="QZX90"/>
      <c r="QZY90"/>
      <c r="QZZ90"/>
      <c r="RAA90"/>
      <c r="RAB90"/>
      <c r="RAC90"/>
      <c r="RAD90"/>
      <c r="RAE90"/>
      <c r="RAF90"/>
      <c r="RAG90"/>
      <c r="RAH90"/>
      <c r="RAI90"/>
      <c r="RAJ90"/>
      <c r="RAK90"/>
      <c r="RAL90"/>
      <c r="RAM90"/>
      <c r="RAN90"/>
      <c r="RAO90"/>
      <c r="RAP90"/>
      <c r="RAQ90"/>
      <c r="RAR90"/>
      <c r="RAS90"/>
      <c r="RAT90"/>
      <c r="RAU90"/>
      <c r="RAV90"/>
      <c r="RAW90"/>
      <c r="RAX90"/>
      <c r="RAY90"/>
      <c r="RAZ90"/>
      <c r="RBA90"/>
      <c r="RBB90"/>
      <c r="RBC90"/>
      <c r="RBD90"/>
      <c r="RBE90"/>
      <c r="RBF90"/>
      <c r="RBG90"/>
      <c r="RBH90"/>
      <c r="RBI90"/>
      <c r="RBJ90"/>
      <c r="RBK90"/>
      <c r="RBL90"/>
      <c r="RBM90"/>
      <c r="RBN90"/>
      <c r="RBO90"/>
      <c r="RBP90"/>
      <c r="RBQ90"/>
      <c r="RBR90"/>
      <c r="RBS90"/>
      <c r="RBT90"/>
      <c r="RBU90"/>
      <c r="RBV90"/>
      <c r="RBW90"/>
      <c r="RBX90"/>
      <c r="RBY90"/>
      <c r="RBZ90"/>
      <c r="RCA90"/>
      <c r="RCB90"/>
      <c r="RCC90"/>
      <c r="RCD90"/>
      <c r="RCE90"/>
      <c r="RCF90"/>
      <c r="RCG90"/>
      <c r="RCH90"/>
      <c r="RCI90"/>
      <c r="RCJ90"/>
      <c r="RCK90"/>
      <c r="RCL90"/>
      <c r="RCM90"/>
      <c r="RCN90"/>
      <c r="RCO90"/>
      <c r="RCP90"/>
      <c r="RCQ90"/>
      <c r="RCR90"/>
      <c r="RCS90"/>
      <c r="RCT90"/>
      <c r="RCU90"/>
      <c r="RCV90"/>
      <c r="RCW90"/>
      <c r="RCX90"/>
      <c r="RCY90"/>
      <c r="RCZ90"/>
      <c r="RDA90"/>
      <c r="RDB90"/>
      <c r="RDC90"/>
      <c r="RDD90"/>
      <c r="RDE90"/>
      <c r="RDF90"/>
      <c r="RDG90"/>
      <c r="RDH90"/>
      <c r="RDI90"/>
      <c r="RDJ90"/>
      <c r="RDK90"/>
      <c r="RDL90"/>
      <c r="RDM90"/>
      <c r="RDN90"/>
      <c r="RDO90"/>
      <c r="RDP90"/>
      <c r="RDQ90"/>
      <c r="RDR90"/>
      <c r="RDS90"/>
      <c r="RDT90"/>
      <c r="RDU90"/>
      <c r="RDV90"/>
      <c r="RDW90"/>
      <c r="RDX90"/>
      <c r="RDY90"/>
      <c r="RDZ90"/>
      <c r="REA90"/>
      <c r="REB90"/>
      <c r="REC90"/>
      <c r="RED90"/>
      <c r="REE90"/>
      <c r="REF90"/>
      <c r="REG90"/>
      <c r="REH90"/>
      <c r="REI90"/>
      <c r="REJ90"/>
      <c r="REK90"/>
      <c r="REL90"/>
      <c r="REM90"/>
      <c r="REN90"/>
      <c r="REO90"/>
      <c r="REP90"/>
      <c r="REQ90"/>
      <c r="RER90"/>
      <c r="RES90"/>
      <c r="RET90"/>
      <c r="REU90"/>
      <c r="REV90"/>
      <c r="REW90"/>
      <c r="REX90"/>
      <c r="REY90"/>
      <c r="REZ90"/>
      <c r="RFA90"/>
      <c r="RFB90"/>
      <c r="RFC90"/>
      <c r="RFD90"/>
      <c r="RFE90"/>
      <c r="RFF90"/>
      <c r="RFG90"/>
      <c r="RFH90"/>
      <c r="RFI90"/>
      <c r="RFJ90"/>
      <c r="RFK90"/>
      <c r="RFL90"/>
      <c r="RFM90"/>
      <c r="RFN90"/>
      <c r="RFO90"/>
      <c r="RFP90"/>
      <c r="RFQ90"/>
      <c r="RFR90"/>
      <c r="RFS90"/>
      <c r="RFT90"/>
      <c r="RFU90"/>
      <c r="RFV90"/>
      <c r="RFW90"/>
      <c r="RFX90"/>
      <c r="RFY90"/>
      <c r="RFZ90"/>
      <c r="RGA90"/>
      <c r="RGB90"/>
      <c r="RGC90"/>
      <c r="RGD90"/>
      <c r="RGE90"/>
      <c r="RGF90"/>
      <c r="RGG90"/>
      <c r="RGH90"/>
      <c r="RGI90"/>
      <c r="RGJ90"/>
      <c r="RGK90"/>
      <c r="RGL90"/>
      <c r="RGM90"/>
      <c r="RGN90"/>
      <c r="RGO90"/>
      <c r="RGP90"/>
      <c r="RGQ90"/>
      <c r="RGR90"/>
      <c r="RGS90"/>
      <c r="RGT90"/>
      <c r="RGU90"/>
      <c r="RGV90"/>
      <c r="RGW90"/>
      <c r="RGX90"/>
      <c r="RGY90"/>
      <c r="RGZ90"/>
      <c r="RHA90"/>
      <c r="RHB90"/>
      <c r="RHC90"/>
      <c r="RHD90"/>
      <c r="RHE90"/>
      <c r="RHF90"/>
      <c r="RHG90"/>
      <c r="RHH90"/>
      <c r="RHI90"/>
      <c r="RHJ90"/>
      <c r="RHK90"/>
      <c r="RHL90"/>
      <c r="RHM90"/>
      <c r="RHN90"/>
      <c r="RHO90"/>
      <c r="RHP90"/>
      <c r="RHQ90"/>
      <c r="RHR90"/>
      <c r="RHS90"/>
      <c r="RHT90"/>
      <c r="RHU90"/>
      <c r="RHV90"/>
      <c r="RHW90"/>
      <c r="RHX90"/>
      <c r="RHY90"/>
      <c r="RHZ90"/>
      <c r="RIA90"/>
      <c r="RIB90"/>
      <c r="RIC90"/>
      <c r="RID90"/>
      <c r="RIE90"/>
      <c r="RIF90"/>
      <c r="RIG90"/>
      <c r="RIH90"/>
      <c r="RII90"/>
      <c r="RIJ90"/>
      <c r="RIK90"/>
      <c r="RIL90"/>
      <c r="RIM90"/>
      <c r="RIN90"/>
      <c r="RIO90"/>
      <c r="RIP90"/>
      <c r="RIQ90"/>
      <c r="RIR90"/>
      <c r="RIS90"/>
      <c r="RIT90"/>
      <c r="RIU90"/>
      <c r="RIV90"/>
      <c r="RIW90"/>
      <c r="RIX90"/>
      <c r="RIY90"/>
      <c r="RIZ90"/>
      <c r="RJA90"/>
      <c r="RJB90"/>
      <c r="RJC90"/>
      <c r="RJD90"/>
      <c r="RJE90"/>
      <c r="RJF90"/>
      <c r="RJG90"/>
      <c r="RJH90"/>
      <c r="RJI90"/>
      <c r="RJJ90"/>
      <c r="RJK90"/>
      <c r="RJL90"/>
      <c r="RJM90"/>
      <c r="RJN90"/>
      <c r="RJO90"/>
      <c r="RJP90"/>
      <c r="RJQ90"/>
      <c r="RJR90"/>
      <c r="RJS90"/>
      <c r="RJT90"/>
      <c r="RJU90"/>
      <c r="RJV90"/>
      <c r="RJW90"/>
      <c r="RJX90"/>
      <c r="RJY90"/>
      <c r="RJZ90"/>
      <c r="RKA90"/>
      <c r="RKB90"/>
      <c r="RKC90"/>
      <c r="RKD90"/>
      <c r="RKE90"/>
      <c r="RKF90"/>
      <c r="RKG90"/>
      <c r="RKH90"/>
      <c r="RKI90"/>
      <c r="RKJ90"/>
      <c r="RKK90"/>
      <c r="RKL90"/>
      <c r="RKM90"/>
      <c r="RKN90"/>
      <c r="RKO90"/>
      <c r="RKP90"/>
      <c r="RKQ90"/>
      <c r="RKR90"/>
      <c r="RKS90"/>
      <c r="RKT90"/>
      <c r="RKU90"/>
      <c r="RKV90"/>
      <c r="RKW90"/>
      <c r="RKX90"/>
      <c r="RKY90"/>
      <c r="RKZ90"/>
      <c r="RLA90"/>
      <c r="RLB90"/>
      <c r="RLC90"/>
      <c r="RLD90"/>
      <c r="RLE90"/>
      <c r="RLF90"/>
      <c r="RLG90"/>
      <c r="RLH90"/>
      <c r="RLI90"/>
      <c r="RLJ90"/>
      <c r="RLK90"/>
      <c r="RLL90"/>
      <c r="RLM90"/>
      <c r="RLN90"/>
      <c r="RLO90"/>
      <c r="RLP90"/>
      <c r="RLQ90"/>
      <c r="RLR90"/>
      <c r="RLS90"/>
      <c r="RLT90"/>
      <c r="RLU90"/>
      <c r="RLV90"/>
      <c r="RLW90"/>
      <c r="RLX90"/>
      <c r="RLY90"/>
      <c r="RLZ90"/>
      <c r="RMA90"/>
      <c r="RMB90"/>
      <c r="RMC90"/>
      <c r="RMD90"/>
      <c r="RME90"/>
      <c r="RMF90"/>
      <c r="RMG90"/>
      <c r="RMH90"/>
      <c r="RMI90"/>
      <c r="RMJ90"/>
      <c r="RMK90"/>
      <c r="RML90"/>
      <c r="RMM90"/>
      <c r="RMN90"/>
      <c r="RMO90"/>
      <c r="RMP90"/>
      <c r="RMQ90"/>
      <c r="RMR90"/>
      <c r="RMS90"/>
      <c r="RMT90"/>
      <c r="RMU90"/>
      <c r="RMV90"/>
      <c r="RMW90"/>
      <c r="RMX90"/>
      <c r="RMY90"/>
      <c r="RMZ90"/>
      <c r="RNA90"/>
      <c r="RNB90"/>
      <c r="RNC90"/>
      <c r="RND90"/>
      <c r="RNE90"/>
      <c r="RNF90"/>
      <c r="RNG90"/>
      <c r="RNH90"/>
      <c r="RNI90"/>
      <c r="RNJ90"/>
      <c r="RNK90"/>
      <c r="RNL90"/>
      <c r="RNM90"/>
      <c r="RNN90"/>
      <c r="RNO90"/>
      <c r="RNP90"/>
      <c r="RNQ90"/>
      <c r="RNR90"/>
      <c r="RNS90"/>
      <c r="RNT90"/>
      <c r="RNU90"/>
      <c r="RNV90"/>
      <c r="RNW90"/>
      <c r="RNX90"/>
      <c r="RNY90"/>
      <c r="RNZ90"/>
      <c r="ROA90"/>
      <c r="ROB90"/>
      <c r="ROC90"/>
      <c r="ROD90"/>
      <c r="ROE90"/>
      <c r="ROF90"/>
      <c r="ROG90"/>
      <c r="ROH90"/>
      <c r="ROI90"/>
      <c r="ROJ90"/>
      <c r="ROK90"/>
      <c r="ROL90"/>
      <c r="ROM90"/>
      <c r="RON90"/>
      <c r="ROO90"/>
      <c r="ROP90"/>
      <c r="ROQ90"/>
      <c r="ROR90"/>
      <c r="ROS90"/>
      <c r="ROT90"/>
      <c r="ROU90"/>
      <c r="ROV90"/>
      <c r="ROW90"/>
      <c r="ROX90"/>
      <c r="ROY90"/>
      <c r="ROZ90"/>
      <c r="RPA90"/>
      <c r="RPB90"/>
      <c r="RPC90"/>
      <c r="RPD90"/>
      <c r="RPE90"/>
      <c r="RPF90"/>
      <c r="RPG90"/>
      <c r="RPH90"/>
      <c r="RPI90"/>
      <c r="RPJ90"/>
      <c r="RPK90"/>
      <c r="RPL90"/>
      <c r="RPM90"/>
      <c r="RPN90"/>
      <c r="RPO90"/>
      <c r="RPP90"/>
      <c r="RPQ90"/>
      <c r="RPR90"/>
      <c r="RPS90"/>
      <c r="RPT90"/>
      <c r="RPU90"/>
      <c r="RPV90"/>
      <c r="RPW90"/>
      <c r="RPX90"/>
      <c r="RPY90"/>
      <c r="RPZ90"/>
      <c r="RQA90"/>
      <c r="RQB90"/>
      <c r="RQC90"/>
      <c r="RQD90"/>
      <c r="RQE90"/>
      <c r="RQF90"/>
      <c r="RQG90"/>
      <c r="RQH90"/>
      <c r="RQI90"/>
      <c r="RQJ90"/>
      <c r="RQK90"/>
      <c r="RQL90"/>
      <c r="RQM90"/>
      <c r="RQN90"/>
      <c r="RQO90"/>
      <c r="RQP90"/>
      <c r="RQQ90"/>
      <c r="RQR90"/>
      <c r="RQS90"/>
      <c r="RQT90"/>
      <c r="RQU90"/>
      <c r="RQV90"/>
      <c r="RQW90"/>
      <c r="RQX90"/>
      <c r="RQY90"/>
      <c r="RQZ90"/>
      <c r="RRA90"/>
      <c r="RRB90"/>
      <c r="RRC90"/>
      <c r="RRD90"/>
      <c r="RRE90"/>
      <c r="RRF90"/>
      <c r="RRG90"/>
      <c r="RRH90"/>
      <c r="RRI90"/>
      <c r="RRJ90"/>
      <c r="RRK90"/>
      <c r="RRL90"/>
      <c r="RRM90"/>
      <c r="RRN90"/>
      <c r="RRO90"/>
      <c r="RRP90"/>
      <c r="RRQ90"/>
      <c r="RRR90"/>
      <c r="RRS90"/>
      <c r="RRT90"/>
      <c r="RRU90"/>
      <c r="RRV90"/>
      <c r="RRW90"/>
      <c r="RRX90"/>
      <c r="RRY90"/>
      <c r="RRZ90"/>
      <c r="RSA90"/>
      <c r="RSB90"/>
      <c r="RSC90"/>
      <c r="RSD90"/>
      <c r="RSE90"/>
      <c r="RSF90"/>
      <c r="RSG90"/>
      <c r="RSH90"/>
      <c r="RSI90"/>
      <c r="RSJ90"/>
      <c r="RSK90"/>
      <c r="RSL90"/>
      <c r="RSM90"/>
      <c r="RSN90"/>
      <c r="RSO90"/>
      <c r="RSP90"/>
      <c r="RSQ90"/>
      <c r="RSR90"/>
      <c r="RSS90"/>
      <c r="RST90"/>
      <c r="RSU90"/>
      <c r="RSV90"/>
      <c r="RSW90"/>
      <c r="RSX90"/>
      <c r="RSY90"/>
      <c r="RSZ90"/>
      <c r="RTA90"/>
      <c r="RTB90"/>
      <c r="RTC90"/>
      <c r="RTD90"/>
      <c r="RTE90"/>
      <c r="RTF90"/>
      <c r="RTG90"/>
      <c r="RTH90"/>
      <c r="RTI90"/>
      <c r="RTJ90"/>
      <c r="RTK90"/>
      <c r="RTL90"/>
      <c r="RTM90"/>
      <c r="RTN90"/>
      <c r="RTO90"/>
      <c r="RTP90"/>
      <c r="RTQ90"/>
      <c r="RTR90"/>
      <c r="RTS90"/>
      <c r="RTT90"/>
      <c r="RTU90"/>
      <c r="RTV90"/>
      <c r="RTW90"/>
      <c r="RTX90"/>
      <c r="RTY90"/>
      <c r="RTZ90"/>
      <c r="RUA90"/>
      <c r="RUB90"/>
      <c r="RUC90"/>
      <c r="RUD90"/>
      <c r="RUE90"/>
      <c r="RUF90"/>
      <c r="RUG90"/>
      <c r="RUH90"/>
      <c r="RUI90"/>
      <c r="RUJ90"/>
      <c r="RUK90"/>
      <c r="RUL90"/>
      <c r="RUM90"/>
      <c r="RUN90"/>
      <c r="RUO90"/>
      <c r="RUP90"/>
      <c r="RUQ90"/>
      <c r="RUR90"/>
      <c r="RUS90"/>
      <c r="RUT90"/>
      <c r="RUU90"/>
      <c r="RUV90"/>
      <c r="RUW90"/>
      <c r="RUX90"/>
      <c r="RUY90"/>
      <c r="RUZ90"/>
      <c r="RVA90"/>
      <c r="RVB90"/>
      <c r="RVC90"/>
      <c r="RVD90"/>
      <c r="RVE90"/>
      <c r="RVF90"/>
      <c r="RVG90"/>
      <c r="RVH90"/>
      <c r="RVI90"/>
      <c r="RVJ90"/>
      <c r="RVK90"/>
      <c r="RVL90"/>
      <c r="RVM90"/>
      <c r="RVN90"/>
      <c r="RVO90"/>
      <c r="RVP90"/>
      <c r="RVQ90"/>
      <c r="RVR90"/>
      <c r="RVS90"/>
      <c r="RVT90"/>
      <c r="RVU90"/>
      <c r="RVV90"/>
      <c r="RVW90"/>
      <c r="RVX90"/>
      <c r="RVY90"/>
      <c r="RVZ90"/>
      <c r="RWA90"/>
      <c r="RWB90"/>
      <c r="RWC90"/>
      <c r="RWD90"/>
      <c r="RWE90"/>
      <c r="RWF90"/>
      <c r="RWG90"/>
      <c r="RWH90"/>
      <c r="RWI90"/>
      <c r="RWJ90"/>
      <c r="RWK90"/>
      <c r="RWL90"/>
      <c r="RWM90"/>
      <c r="RWN90"/>
      <c r="RWO90"/>
      <c r="RWP90"/>
      <c r="RWQ90"/>
      <c r="RWR90"/>
      <c r="RWS90"/>
      <c r="RWT90"/>
      <c r="RWU90"/>
      <c r="RWV90"/>
      <c r="RWW90"/>
      <c r="RWX90"/>
      <c r="RWY90"/>
      <c r="RWZ90"/>
      <c r="RXA90"/>
      <c r="RXB90"/>
      <c r="RXC90"/>
      <c r="RXD90"/>
      <c r="RXE90"/>
      <c r="RXF90"/>
      <c r="RXG90"/>
      <c r="RXH90"/>
      <c r="RXI90"/>
      <c r="RXJ90"/>
      <c r="RXK90"/>
      <c r="RXL90"/>
      <c r="RXM90"/>
      <c r="RXN90"/>
      <c r="RXO90"/>
      <c r="RXP90"/>
      <c r="RXQ90"/>
      <c r="RXR90"/>
      <c r="RXS90"/>
      <c r="RXT90"/>
      <c r="RXU90"/>
      <c r="RXV90"/>
      <c r="RXW90"/>
      <c r="RXX90"/>
      <c r="RXY90"/>
      <c r="RXZ90"/>
      <c r="RYA90"/>
      <c r="RYB90"/>
      <c r="RYC90"/>
      <c r="RYD90"/>
      <c r="RYE90"/>
      <c r="RYF90"/>
      <c r="RYG90"/>
      <c r="RYH90"/>
      <c r="RYI90"/>
      <c r="RYJ90"/>
      <c r="RYK90"/>
      <c r="RYL90"/>
      <c r="RYM90"/>
      <c r="RYN90"/>
      <c r="RYO90"/>
      <c r="RYP90"/>
      <c r="RYQ90"/>
      <c r="RYR90"/>
      <c r="RYS90"/>
      <c r="RYT90"/>
      <c r="RYU90"/>
      <c r="RYV90"/>
      <c r="RYW90"/>
      <c r="RYX90"/>
      <c r="RYY90"/>
      <c r="RYZ90"/>
      <c r="RZA90"/>
      <c r="RZB90"/>
      <c r="RZC90"/>
      <c r="RZD90"/>
      <c r="RZE90"/>
      <c r="RZF90"/>
      <c r="RZG90"/>
      <c r="RZH90"/>
      <c r="RZI90"/>
      <c r="RZJ90"/>
      <c r="RZK90"/>
      <c r="RZL90"/>
      <c r="RZM90"/>
      <c r="RZN90"/>
      <c r="RZO90"/>
      <c r="RZP90"/>
      <c r="RZQ90"/>
      <c r="RZR90"/>
      <c r="RZS90"/>
      <c r="RZT90"/>
      <c r="RZU90"/>
      <c r="RZV90"/>
      <c r="RZW90"/>
      <c r="RZX90"/>
      <c r="RZY90"/>
      <c r="RZZ90"/>
      <c r="SAA90"/>
      <c r="SAB90"/>
      <c r="SAC90"/>
      <c r="SAD90"/>
      <c r="SAE90"/>
      <c r="SAF90"/>
      <c r="SAG90"/>
      <c r="SAH90"/>
      <c r="SAI90"/>
      <c r="SAJ90"/>
      <c r="SAK90"/>
      <c r="SAL90"/>
      <c r="SAM90"/>
      <c r="SAN90"/>
      <c r="SAO90"/>
      <c r="SAP90"/>
      <c r="SAQ90"/>
      <c r="SAR90"/>
      <c r="SAS90"/>
      <c r="SAT90"/>
      <c r="SAU90"/>
      <c r="SAV90"/>
      <c r="SAW90"/>
      <c r="SAX90"/>
      <c r="SAY90"/>
      <c r="SAZ90"/>
      <c r="SBA90"/>
      <c r="SBB90"/>
      <c r="SBC90"/>
      <c r="SBD90"/>
      <c r="SBE90"/>
      <c r="SBF90"/>
      <c r="SBG90"/>
      <c r="SBH90"/>
      <c r="SBI90"/>
      <c r="SBJ90"/>
      <c r="SBK90"/>
      <c r="SBL90"/>
      <c r="SBM90"/>
      <c r="SBN90"/>
      <c r="SBO90"/>
      <c r="SBP90"/>
      <c r="SBQ90"/>
      <c r="SBR90"/>
      <c r="SBS90"/>
      <c r="SBT90"/>
      <c r="SBU90"/>
      <c r="SBV90"/>
      <c r="SBW90"/>
      <c r="SBX90"/>
      <c r="SBY90"/>
      <c r="SBZ90"/>
      <c r="SCA90"/>
      <c r="SCB90"/>
      <c r="SCC90"/>
      <c r="SCD90"/>
      <c r="SCE90"/>
      <c r="SCF90"/>
      <c r="SCG90"/>
      <c r="SCH90"/>
      <c r="SCI90"/>
      <c r="SCJ90"/>
      <c r="SCK90"/>
      <c r="SCL90"/>
      <c r="SCM90"/>
      <c r="SCN90"/>
      <c r="SCO90"/>
      <c r="SCP90"/>
      <c r="SCQ90"/>
      <c r="SCR90"/>
      <c r="SCS90"/>
      <c r="SCT90"/>
      <c r="SCU90"/>
      <c r="SCV90"/>
      <c r="SCW90"/>
      <c r="SCX90"/>
      <c r="SCY90"/>
      <c r="SCZ90"/>
      <c r="SDA90"/>
      <c r="SDB90"/>
      <c r="SDC90"/>
      <c r="SDD90"/>
      <c r="SDE90"/>
      <c r="SDF90"/>
      <c r="SDG90"/>
      <c r="SDH90"/>
      <c r="SDI90"/>
      <c r="SDJ90"/>
      <c r="SDK90"/>
      <c r="SDL90"/>
      <c r="SDM90"/>
      <c r="SDN90"/>
      <c r="SDO90"/>
      <c r="SDP90"/>
      <c r="SDQ90"/>
      <c r="SDR90"/>
      <c r="SDS90"/>
      <c r="SDT90"/>
      <c r="SDU90"/>
      <c r="SDV90"/>
      <c r="SDW90"/>
      <c r="SDX90"/>
      <c r="SDY90"/>
      <c r="SDZ90"/>
      <c r="SEA90"/>
      <c r="SEB90"/>
      <c r="SEC90"/>
      <c r="SED90"/>
      <c r="SEE90"/>
      <c r="SEF90"/>
      <c r="SEG90"/>
      <c r="SEH90"/>
      <c r="SEI90"/>
      <c r="SEJ90"/>
      <c r="SEK90"/>
      <c r="SEL90"/>
      <c r="SEM90"/>
      <c r="SEN90"/>
      <c r="SEO90"/>
      <c r="SEP90"/>
      <c r="SEQ90"/>
      <c r="SER90"/>
      <c r="SES90"/>
      <c r="SET90"/>
      <c r="SEU90"/>
      <c r="SEV90"/>
      <c r="SEW90"/>
      <c r="SEX90"/>
      <c r="SEY90"/>
      <c r="SEZ90"/>
      <c r="SFA90"/>
      <c r="SFB90"/>
      <c r="SFC90"/>
      <c r="SFD90"/>
      <c r="SFE90"/>
      <c r="SFF90"/>
      <c r="SFG90"/>
      <c r="SFH90"/>
      <c r="SFI90"/>
      <c r="SFJ90"/>
      <c r="SFK90"/>
      <c r="SFL90"/>
      <c r="SFM90"/>
      <c r="SFN90"/>
      <c r="SFO90"/>
      <c r="SFP90"/>
      <c r="SFQ90"/>
      <c r="SFR90"/>
      <c r="SFS90"/>
      <c r="SFT90"/>
      <c r="SFU90"/>
      <c r="SFV90"/>
      <c r="SFW90"/>
      <c r="SFX90"/>
      <c r="SFY90"/>
      <c r="SFZ90"/>
      <c r="SGA90"/>
      <c r="SGB90"/>
      <c r="SGC90"/>
      <c r="SGD90"/>
      <c r="SGE90"/>
      <c r="SGF90"/>
      <c r="SGG90"/>
      <c r="SGH90"/>
      <c r="SGI90"/>
      <c r="SGJ90"/>
      <c r="SGK90"/>
      <c r="SGL90"/>
      <c r="SGM90"/>
      <c r="SGN90"/>
      <c r="SGO90"/>
      <c r="SGP90"/>
      <c r="SGQ90"/>
      <c r="SGR90"/>
      <c r="SGS90"/>
      <c r="SGT90"/>
      <c r="SGU90"/>
      <c r="SGV90"/>
      <c r="SGW90"/>
      <c r="SGX90"/>
      <c r="SGY90"/>
      <c r="SGZ90"/>
      <c r="SHA90"/>
      <c r="SHB90"/>
      <c r="SHC90"/>
      <c r="SHD90"/>
      <c r="SHE90"/>
      <c r="SHF90"/>
      <c r="SHG90"/>
      <c r="SHH90"/>
      <c r="SHI90"/>
      <c r="SHJ90"/>
      <c r="SHK90"/>
      <c r="SHL90"/>
      <c r="SHM90"/>
      <c r="SHN90"/>
      <c r="SHO90"/>
      <c r="SHP90"/>
      <c r="SHQ90"/>
      <c r="SHR90"/>
      <c r="SHS90"/>
      <c r="SHT90"/>
      <c r="SHU90"/>
      <c r="SHV90"/>
      <c r="SHW90"/>
      <c r="SHX90"/>
      <c r="SHY90"/>
      <c r="SHZ90"/>
      <c r="SIA90"/>
      <c r="SIB90"/>
      <c r="SIC90"/>
      <c r="SID90"/>
      <c r="SIE90"/>
      <c r="SIF90"/>
      <c r="SIG90"/>
      <c r="SIH90"/>
      <c r="SII90"/>
      <c r="SIJ90"/>
      <c r="SIK90"/>
      <c r="SIL90"/>
      <c r="SIM90"/>
      <c r="SIN90"/>
      <c r="SIO90"/>
      <c r="SIP90"/>
      <c r="SIQ90"/>
      <c r="SIR90"/>
      <c r="SIS90"/>
      <c r="SIT90"/>
      <c r="SIU90"/>
      <c r="SIV90"/>
      <c r="SIW90"/>
      <c r="SIX90"/>
      <c r="SIY90"/>
      <c r="SIZ90"/>
      <c r="SJA90"/>
      <c r="SJB90"/>
      <c r="SJC90"/>
      <c r="SJD90"/>
      <c r="SJE90"/>
      <c r="SJF90"/>
      <c r="SJG90"/>
      <c r="SJH90"/>
      <c r="SJI90"/>
      <c r="SJJ90"/>
      <c r="SJK90"/>
      <c r="SJL90"/>
      <c r="SJM90"/>
      <c r="SJN90"/>
      <c r="SJO90"/>
      <c r="SJP90"/>
      <c r="SJQ90"/>
      <c r="SJR90"/>
      <c r="SJS90"/>
      <c r="SJT90"/>
      <c r="SJU90"/>
      <c r="SJV90"/>
      <c r="SJW90"/>
      <c r="SJX90"/>
      <c r="SJY90"/>
      <c r="SJZ90"/>
      <c r="SKA90"/>
      <c r="SKB90"/>
      <c r="SKC90"/>
      <c r="SKD90"/>
      <c r="SKE90"/>
      <c r="SKF90"/>
      <c r="SKG90"/>
      <c r="SKH90"/>
      <c r="SKI90"/>
      <c r="SKJ90"/>
      <c r="SKK90"/>
      <c r="SKL90"/>
      <c r="SKM90"/>
      <c r="SKN90"/>
      <c r="SKO90"/>
      <c r="SKP90"/>
      <c r="SKQ90"/>
      <c r="SKR90"/>
      <c r="SKS90"/>
      <c r="SKT90"/>
      <c r="SKU90"/>
      <c r="SKV90"/>
      <c r="SKW90"/>
      <c r="SKX90"/>
      <c r="SKY90"/>
      <c r="SKZ90"/>
      <c r="SLA90"/>
      <c r="SLB90"/>
      <c r="SLC90"/>
      <c r="SLD90"/>
      <c r="SLE90"/>
      <c r="SLF90"/>
      <c r="SLG90"/>
      <c r="SLH90"/>
      <c r="SLI90"/>
      <c r="SLJ90"/>
      <c r="SLK90"/>
      <c r="SLL90"/>
      <c r="SLM90"/>
      <c r="SLN90"/>
      <c r="SLO90"/>
      <c r="SLP90"/>
      <c r="SLQ90"/>
      <c r="SLR90"/>
      <c r="SLS90"/>
      <c r="SLT90"/>
      <c r="SLU90"/>
      <c r="SLV90"/>
      <c r="SLW90"/>
      <c r="SLX90"/>
      <c r="SLY90"/>
      <c r="SLZ90"/>
      <c r="SMA90"/>
      <c r="SMB90"/>
      <c r="SMC90"/>
      <c r="SMD90"/>
      <c r="SME90"/>
      <c r="SMF90"/>
      <c r="SMG90"/>
      <c r="SMH90"/>
      <c r="SMI90"/>
      <c r="SMJ90"/>
      <c r="SMK90"/>
      <c r="SML90"/>
      <c r="SMM90"/>
      <c r="SMN90"/>
      <c r="SMO90"/>
      <c r="SMP90"/>
      <c r="SMQ90"/>
      <c r="SMR90"/>
      <c r="SMS90"/>
      <c r="SMT90"/>
      <c r="SMU90"/>
      <c r="SMV90"/>
      <c r="SMW90"/>
      <c r="SMX90"/>
      <c r="SMY90"/>
      <c r="SMZ90"/>
      <c r="SNA90"/>
      <c r="SNB90"/>
      <c r="SNC90"/>
      <c r="SND90"/>
      <c r="SNE90"/>
      <c r="SNF90"/>
      <c r="SNG90"/>
      <c r="SNH90"/>
      <c r="SNI90"/>
      <c r="SNJ90"/>
      <c r="SNK90"/>
      <c r="SNL90"/>
      <c r="SNM90"/>
      <c r="SNN90"/>
      <c r="SNO90"/>
      <c r="SNP90"/>
      <c r="SNQ90"/>
      <c r="SNR90"/>
      <c r="SNS90"/>
      <c r="SNT90"/>
      <c r="SNU90"/>
      <c r="SNV90"/>
      <c r="SNW90"/>
      <c r="SNX90"/>
      <c r="SNY90"/>
      <c r="SNZ90"/>
      <c r="SOA90"/>
      <c r="SOB90"/>
      <c r="SOC90"/>
      <c r="SOD90"/>
      <c r="SOE90"/>
      <c r="SOF90"/>
      <c r="SOG90"/>
      <c r="SOH90"/>
      <c r="SOI90"/>
      <c r="SOJ90"/>
      <c r="SOK90"/>
      <c r="SOL90"/>
      <c r="SOM90"/>
      <c r="SON90"/>
      <c r="SOO90"/>
      <c r="SOP90"/>
      <c r="SOQ90"/>
      <c r="SOR90"/>
      <c r="SOS90"/>
      <c r="SOT90"/>
      <c r="SOU90"/>
      <c r="SOV90"/>
      <c r="SOW90"/>
      <c r="SOX90"/>
      <c r="SOY90"/>
      <c r="SOZ90"/>
      <c r="SPA90"/>
      <c r="SPB90"/>
      <c r="SPC90"/>
      <c r="SPD90"/>
      <c r="SPE90"/>
      <c r="SPF90"/>
      <c r="SPG90"/>
      <c r="SPH90"/>
      <c r="SPI90"/>
      <c r="SPJ90"/>
      <c r="SPK90"/>
      <c r="SPL90"/>
      <c r="SPM90"/>
      <c r="SPN90"/>
      <c r="SPO90"/>
      <c r="SPP90"/>
      <c r="SPQ90"/>
      <c r="SPR90"/>
      <c r="SPS90"/>
      <c r="SPT90"/>
      <c r="SPU90"/>
      <c r="SPV90"/>
      <c r="SPW90"/>
      <c r="SPX90"/>
      <c r="SPY90"/>
      <c r="SPZ90"/>
      <c r="SQA90"/>
      <c r="SQB90"/>
      <c r="SQC90"/>
      <c r="SQD90"/>
      <c r="SQE90"/>
      <c r="SQF90"/>
      <c r="SQG90"/>
      <c r="SQH90"/>
      <c r="SQI90"/>
      <c r="SQJ90"/>
      <c r="SQK90"/>
      <c r="SQL90"/>
      <c r="SQM90"/>
      <c r="SQN90"/>
      <c r="SQO90"/>
      <c r="SQP90"/>
      <c r="SQQ90"/>
      <c r="SQR90"/>
      <c r="SQS90"/>
      <c r="SQT90"/>
      <c r="SQU90"/>
      <c r="SQV90"/>
      <c r="SQW90"/>
      <c r="SQX90"/>
      <c r="SQY90"/>
      <c r="SQZ90"/>
      <c r="SRA90"/>
      <c r="SRB90"/>
      <c r="SRC90"/>
      <c r="SRD90"/>
      <c r="SRE90"/>
      <c r="SRF90"/>
      <c r="SRG90"/>
      <c r="SRH90"/>
      <c r="SRI90"/>
      <c r="SRJ90"/>
      <c r="SRK90"/>
      <c r="SRL90"/>
      <c r="SRM90"/>
      <c r="SRN90"/>
      <c r="SRO90"/>
      <c r="SRP90"/>
      <c r="SRQ90"/>
      <c r="SRR90"/>
      <c r="SRS90"/>
      <c r="SRT90"/>
      <c r="SRU90"/>
      <c r="SRV90"/>
      <c r="SRW90"/>
      <c r="SRX90"/>
      <c r="SRY90"/>
      <c r="SRZ90"/>
      <c r="SSA90"/>
      <c r="SSB90"/>
      <c r="SSC90"/>
      <c r="SSD90"/>
      <c r="SSE90"/>
      <c r="SSF90"/>
      <c r="SSG90"/>
      <c r="SSH90"/>
      <c r="SSI90"/>
      <c r="SSJ90"/>
      <c r="SSK90"/>
      <c r="SSL90"/>
      <c r="SSM90"/>
      <c r="SSN90"/>
      <c r="SSO90"/>
      <c r="SSP90"/>
      <c r="SSQ90"/>
      <c r="SSR90"/>
      <c r="SSS90"/>
      <c r="SST90"/>
      <c r="SSU90"/>
      <c r="SSV90"/>
      <c r="SSW90"/>
      <c r="SSX90"/>
      <c r="SSY90"/>
      <c r="SSZ90"/>
      <c r="STA90"/>
      <c r="STB90"/>
      <c r="STC90"/>
      <c r="STD90"/>
      <c r="STE90"/>
      <c r="STF90"/>
      <c r="STG90"/>
      <c r="STH90"/>
      <c r="STI90"/>
      <c r="STJ90"/>
      <c r="STK90"/>
      <c r="STL90"/>
      <c r="STM90"/>
      <c r="STN90"/>
      <c r="STO90"/>
      <c r="STP90"/>
      <c r="STQ90"/>
      <c r="STR90"/>
      <c r="STS90"/>
      <c r="STT90"/>
      <c r="STU90"/>
      <c r="STV90"/>
      <c r="STW90"/>
      <c r="STX90"/>
      <c r="STY90"/>
      <c r="STZ90"/>
      <c r="SUA90"/>
      <c r="SUB90"/>
      <c r="SUC90"/>
      <c r="SUD90"/>
      <c r="SUE90"/>
      <c r="SUF90"/>
      <c r="SUG90"/>
      <c r="SUH90"/>
      <c r="SUI90"/>
      <c r="SUJ90"/>
      <c r="SUK90"/>
      <c r="SUL90"/>
      <c r="SUM90"/>
      <c r="SUN90"/>
      <c r="SUO90"/>
      <c r="SUP90"/>
      <c r="SUQ90"/>
      <c r="SUR90"/>
      <c r="SUS90"/>
      <c r="SUT90"/>
      <c r="SUU90"/>
      <c r="SUV90"/>
      <c r="SUW90"/>
      <c r="SUX90"/>
      <c r="SUY90"/>
      <c r="SUZ90"/>
      <c r="SVA90"/>
      <c r="SVB90"/>
      <c r="SVC90"/>
      <c r="SVD90"/>
      <c r="SVE90"/>
      <c r="SVF90"/>
      <c r="SVG90"/>
      <c r="SVH90"/>
      <c r="SVI90"/>
      <c r="SVJ90"/>
      <c r="SVK90"/>
      <c r="SVL90"/>
      <c r="SVM90"/>
      <c r="SVN90"/>
      <c r="SVO90"/>
      <c r="SVP90"/>
      <c r="SVQ90"/>
      <c r="SVR90"/>
      <c r="SVS90"/>
      <c r="SVT90"/>
      <c r="SVU90"/>
      <c r="SVV90"/>
      <c r="SVW90"/>
      <c r="SVX90"/>
      <c r="SVY90"/>
      <c r="SVZ90"/>
      <c r="SWA90"/>
      <c r="SWB90"/>
      <c r="SWC90"/>
      <c r="SWD90"/>
      <c r="SWE90"/>
      <c r="SWF90"/>
      <c r="SWG90"/>
      <c r="SWH90"/>
      <c r="SWI90"/>
      <c r="SWJ90"/>
      <c r="SWK90"/>
      <c r="SWL90"/>
      <c r="SWM90"/>
      <c r="SWN90"/>
      <c r="SWO90"/>
      <c r="SWP90"/>
      <c r="SWQ90"/>
      <c r="SWR90"/>
      <c r="SWS90"/>
      <c r="SWT90"/>
      <c r="SWU90"/>
      <c r="SWV90"/>
      <c r="SWW90"/>
      <c r="SWX90"/>
      <c r="SWY90"/>
      <c r="SWZ90"/>
      <c r="SXA90"/>
      <c r="SXB90"/>
      <c r="SXC90"/>
      <c r="SXD90"/>
      <c r="SXE90"/>
      <c r="SXF90"/>
      <c r="SXG90"/>
      <c r="SXH90"/>
      <c r="SXI90"/>
      <c r="SXJ90"/>
      <c r="SXK90"/>
      <c r="SXL90"/>
      <c r="SXM90"/>
      <c r="SXN90"/>
      <c r="SXO90"/>
      <c r="SXP90"/>
      <c r="SXQ90"/>
      <c r="SXR90"/>
      <c r="SXS90"/>
      <c r="SXT90"/>
      <c r="SXU90"/>
      <c r="SXV90"/>
      <c r="SXW90"/>
      <c r="SXX90"/>
      <c r="SXY90"/>
      <c r="SXZ90"/>
      <c r="SYA90"/>
      <c r="SYB90"/>
      <c r="SYC90"/>
      <c r="SYD90"/>
      <c r="SYE90"/>
      <c r="SYF90"/>
      <c r="SYG90"/>
      <c r="SYH90"/>
      <c r="SYI90"/>
      <c r="SYJ90"/>
      <c r="SYK90"/>
      <c r="SYL90"/>
      <c r="SYM90"/>
      <c r="SYN90"/>
      <c r="SYO90"/>
      <c r="SYP90"/>
      <c r="SYQ90"/>
      <c r="SYR90"/>
      <c r="SYS90"/>
      <c r="SYT90"/>
      <c r="SYU90"/>
      <c r="SYV90"/>
      <c r="SYW90"/>
      <c r="SYX90"/>
      <c r="SYY90"/>
      <c r="SYZ90"/>
      <c r="SZA90"/>
      <c r="SZB90"/>
      <c r="SZC90"/>
      <c r="SZD90"/>
      <c r="SZE90"/>
      <c r="SZF90"/>
      <c r="SZG90"/>
      <c r="SZH90"/>
      <c r="SZI90"/>
      <c r="SZJ90"/>
      <c r="SZK90"/>
      <c r="SZL90"/>
      <c r="SZM90"/>
      <c r="SZN90"/>
      <c r="SZO90"/>
      <c r="SZP90"/>
      <c r="SZQ90"/>
      <c r="SZR90"/>
      <c r="SZS90"/>
      <c r="SZT90"/>
      <c r="SZU90"/>
      <c r="SZV90"/>
      <c r="SZW90"/>
      <c r="SZX90"/>
      <c r="SZY90"/>
      <c r="SZZ90"/>
      <c r="TAA90"/>
      <c r="TAB90"/>
      <c r="TAC90"/>
      <c r="TAD90"/>
      <c r="TAE90"/>
      <c r="TAF90"/>
      <c r="TAG90"/>
      <c r="TAH90"/>
      <c r="TAI90"/>
      <c r="TAJ90"/>
      <c r="TAK90"/>
      <c r="TAL90"/>
      <c r="TAM90"/>
      <c r="TAN90"/>
      <c r="TAO90"/>
      <c r="TAP90"/>
      <c r="TAQ90"/>
      <c r="TAR90"/>
      <c r="TAS90"/>
      <c r="TAT90"/>
      <c r="TAU90"/>
      <c r="TAV90"/>
      <c r="TAW90"/>
      <c r="TAX90"/>
      <c r="TAY90"/>
      <c r="TAZ90"/>
      <c r="TBA90"/>
      <c r="TBB90"/>
      <c r="TBC90"/>
      <c r="TBD90"/>
      <c r="TBE90"/>
      <c r="TBF90"/>
      <c r="TBG90"/>
      <c r="TBH90"/>
      <c r="TBI90"/>
      <c r="TBJ90"/>
      <c r="TBK90"/>
      <c r="TBL90"/>
      <c r="TBM90"/>
      <c r="TBN90"/>
      <c r="TBO90"/>
      <c r="TBP90"/>
      <c r="TBQ90"/>
      <c r="TBR90"/>
      <c r="TBS90"/>
      <c r="TBT90"/>
      <c r="TBU90"/>
      <c r="TBV90"/>
      <c r="TBW90"/>
      <c r="TBX90"/>
      <c r="TBY90"/>
      <c r="TBZ90"/>
      <c r="TCA90"/>
      <c r="TCB90"/>
      <c r="TCC90"/>
      <c r="TCD90"/>
      <c r="TCE90"/>
      <c r="TCF90"/>
      <c r="TCG90"/>
      <c r="TCH90"/>
      <c r="TCI90"/>
      <c r="TCJ90"/>
      <c r="TCK90"/>
      <c r="TCL90"/>
      <c r="TCM90"/>
      <c r="TCN90"/>
      <c r="TCO90"/>
      <c r="TCP90"/>
      <c r="TCQ90"/>
      <c r="TCR90"/>
      <c r="TCS90"/>
      <c r="TCT90"/>
      <c r="TCU90"/>
      <c r="TCV90"/>
      <c r="TCW90"/>
      <c r="TCX90"/>
      <c r="TCY90"/>
      <c r="TCZ90"/>
      <c r="TDA90"/>
      <c r="TDB90"/>
      <c r="TDC90"/>
      <c r="TDD90"/>
      <c r="TDE90"/>
      <c r="TDF90"/>
      <c r="TDG90"/>
      <c r="TDH90"/>
      <c r="TDI90"/>
      <c r="TDJ90"/>
      <c r="TDK90"/>
      <c r="TDL90"/>
      <c r="TDM90"/>
      <c r="TDN90"/>
      <c r="TDO90"/>
      <c r="TDP90"/>
      <c r="TDQ90"/>
      <c r="TDR90"/>
      <c r="TDS90"/>
      <c r="TDT90"/>
      <c r="TDU90"/>
      <c r="TDV90"/>
      <c r="TDW90"/>
      <c r="TDX90"/>
      <c r="TDY90"/>
      <c r="TDZ90"/>
      <c r="TEA90"/>
      <c r="TEB90"/>
      <c r="TEC90"/>
      <c r="TED90"/>
      <c r="TEE90"/>
      <c r="TEF90"/>
      <c r="TEG90"/>
      <c r="TEH90"/>
      <c r="TEI90"/>
      <c r="TEJ90"/>
      <c r="TEK90"/>
      <c r="TEL90"/>
      <c r="TEM90"/>
      <c r="TEN90"/>
      <c r="TEO90"/>
      <c r="TEP90"/>
      <c r="TEQ90"/>
      <c r="TER90"/>
      <c r="TES90"/>
      <c r="TET90"/>
      <c r="TEU90"/>
      <c r="TEV90"/>
      <c r="TEW90"/>
      <c r="TEX90"/>
      <c r="TEY90"/>
      <c r="TEZ90"/>
      <c r="TFA90"/>
      <c r="TFB90"/>
      <c r="TFC90"/>
      <c r="TFD90"/>
      <c r="TFE90"/>
      <c r="TFF90"/>
      <c r="TFG90"/>
      <c r="TFH90"/>
      <c r="TFI90"/>
      <c r="TFJ90"/>
      <c r="TFK90"/>
      <c r="TFL90"/>
      <c r="TFM90"/>
      <c r="TFN90"/>
      <c r="TFO90"/>
      <c r="TFP90"/>
      <c r="TFQ90"/>
      <c r="TFR90"/>
      <c r="TFS90"/>
      <c r="TFT90"/>
      <c r="TFU90"/>
      <c r="TFV90"/>
      <c r="TFW90"/>
      <c r="TFX90"/>
      <c r="TFY90"/>
      <c r="TFZ90"/>
      <c r="TGA90"/>
      <c r="TGB90"/>
      <c r="TGC90"/>
      <c r="TGD90"/>
      <c r="TGE90"/>
      <c r="TGF90"/>
      <c r="TGG90"/>
      <c r="TGH90"/>
      <c r="TGI90"/>
      <c r="TGJ90"/>
      <c r="TGK90"/>
      <c r="TGL90"/>
      <c r="TGM90"/>
      <c r="TGN90"/>
      <c r="TGO90"/>
      <c r="TGP90"/>
      <c r="TGQ90"/>
      <c r="TGR90"/>
      <c r="TGS90"/>
      <c r="TGT90"/>
      <c r="TGU90"/>
      <c r="TGV90"/>
      <c r="TGW90"/>
      <c r="TGX90"/>
      <c r="TGY90"/>
      <c r="TGZ90"/>
      <c r="THA90"/>
      <c r="THB90"/>
      <c r="THC90"/>
      <c r="THD90"/>
      <c r="THE90"/>
      <c r="THF90"/>
      <c r="THG90"/>
      <c r="THH90"/>
      <c r="THI90"/>
      <c r="THJ90"/>
      <c r="THK90"/>
      <c r="THL90"/>
      <c r="THM90"/>
      <c r="THN90"/>
      <c r="THO90"/>
      <c r="THP90"/>
      <c r="THQ90"/>
      <c r="THR90"/>
      <c r="THS90"/>
      <c r="THT90"/>
      <c r="THU90"/>
      <c r="THV90"/>
      <c r="THW90"/>
      <c r="THX90"/>
      <c r="THY90"/>
      <c r="THZ90"/>
      <c r="TIA90"/>
      <c r="TIB90"/>
      <c r="TIC90"/>
      <c r="TID90"/>
      <c r="TIE90"/>
      <c r="TIF90"/>
      <c r="TIG90"/>
      <c r="TIH90"/>
      <c r="TII90"/>
      <c r="TIJ90"/>
      <c r="TIK90"/>
      <c r="TIL90"/>
      <c r="TIM90"/>
      <c r="TIN90"/>
      <c r="TIO90"/>
      <c r="TIP90"/>
      <c r="TIQ90"/>
      <c r="TIR90"/>
      <c r="TIS90"/>
      <c r="TIT90"/>
      <c r="TIU90"/>
      <c r="TIV90"/>
      <c r="TIW90"/>
      <c r="TIX90"/>
      <c r="TIY90"/>
      <c r="TIZ90"/>
      <c r="TJA90"/>
      <c r="TJB90"/>
      <c r="TJC90"/>
      <c r="TJD90"/>
      <c r="TJE90"/>
      <c r="TJF90"/>
      <c r="TJG90"/>
      <c r="TJH90"/>
      <c r="TJI90"/>
      <c r="TJJ90"/>
      <c r="TJK90"/>
      <c r="TJL90"/>
      <c r="TJM90"/>
      <c r="TJN90"/>
      <c r="TJO90"/>
      <c r="TJP90"/>
      <c r="TJQ90"/>
      <c r="TJR90"/>
      <c r="TJS90"/>
      <c r="TJT90"/>
      <c r="TJU90"/>
      <c r="TJV90"/>
      <c r="TJW90"/>
      <c r="TJX90"/>
      <c r="TJY90"/>
      <c r="TJZ90"/>
      <c r="TKA90"/>
      <c r="TKB90"/>
      <c r="TKC90"/>
      <c r="TKD90"/>
      <c r="TKE90"/>
      <c r="TKF90"/>
      <c r="TKG90"/>
      <c r="TKH90"/>
      <c r="TKI90"/>
      <c r="TKJ90"/>
      <c r="TKK90"/>
      <c r="TKL90"/>
      <c r="TKM90"/>
      <c r="TKN90"/>
      <c r="TKO90"/>
      <c r="TKP90"/>
      <c r="TKQ90"/>
      <c r="TKR90"/>
      <c r="TKS90"/>
      <c r="TKT90"/>
      <c r="TKU90"/>
      <c r="TKV90"/>
      <c r="TKW90"/>
      <c r="TKX90"/>
      <c r="TKY90"/>
      <c r="TKZ90"/>
      <c r="TLA90"/>
      <c r="TLB90"/>
      <c r="TLC90"/>
      <c r="TLD90"/>
      <c r="TLE90"/>
      <c r="TLF90"/>
      <c r="TLG90"/>
      <c r="TLH90"/>
      <c r="TLI90"/>
      <c r="TLJ90"/>
      <c r="TLK90"/>
      <c r="TLL90"/>
      <c r="TLM90"/>
      <c r="TLN90"/>
      <c r="TLO90"/>
      <c r="TLP90"/>
      <c r="TLQ90"/>
      <c r="TLR90"/>
      <c r="TLS90"/>
      <c r="TLT90"/>
      <c r="TLU90"/>
      <c r="TLV90"/>
      <c r="TLW90"/>
      <c r="TLX90"/>
      <c r="TLY90"/>
      <c r="TLZ90"/>
      <c r="TMA90"/>
      <c r="TMB90"/>
      <c r="TMC90"/>
      <c r="TMD90"/>
      <c r="TME90"/>
      <c r="TMF90"/>
      <c r="TMG90"/>
      <c r="TMH90"/>
      <c r="TMI90"/>
      <c r="TMJ90"/>
      <c r="TMK90"/>
      <c r="TML90"/>
      <c r="TMM90"/>
      <c r="TMN90"/>
      <c r="TMO90"/>
      <c r="TMP90"/>
      <c r="TMQ90"/>
      <c r="TMR90"/>
      <c r="TMS90"/>
      <c r="TMT90"/>
      <c r="TMU90"/>
      <c r="TMV90"/>
      <c r="TMW90"/>
      <c r="TMX90"/>
      <c r="TMY90"/>
      <c r="TMZ90"/>
      <c r="TNA90"/>
      <c r="TNB90"/>
      <c r="TNC90"/>
      <c r="TND90"/>
      <c r="TNE90"/>
      <c r="TNF90"/>
      <c r="TNG90"/>
      <c r="TNH90"/>
      <c r="TNI90"/>
      <c r="TNJ90"/>
      <c r="TNK90"/>
      <c r="TNL90"/>
      <c r="TNM90"/>
      <c r="TNN90"/>
      <c r="TNO90"/>
      <c r="TNP90"/>
      <c r="TNQ90"/>
      <c r="TNR90"/>
      <c r="TNS90"/>
      <c r="TNT90"/>
      <c r="TNU90"/>
      <c r="TNV90"/>
      <c r="TNW90"/>
      <c r="TNX90"/>
      <c r="TNY90"/>
      <c r="TNZ90"/>
      <c r="TOA90"/>
      <c r="TOB90"/>
      <c r="TOC90"/>
      <c r="TOD90"/>
      <c r="TOE90"/>
      <c r="TOF90"/>
      <c r="TOG90"/>
      <c r="TOH90"/>
      <c r="TOI90"/>
      <c r="TOJ90"/>
      <c r="TOK90"/>
      <c r="TOL90"/>
      <c r="TOM90"/>
      <c r="TON90"/>
      <c r="TOO90"/>
      <c r="TOP90"/>
      <c r="TOQ90"/>
      <c r="TOR90"/>
      <c r="TOS90"/>
      <c r="TOT90"/>
      <c r="TOU90"/>
      <c r="TOV90"/>
      <c r="TOW90"/>
      <c r="TOX90"/>
      <c r="TOY90"/>
      <c r="TOZ90"/>
      <c r="TPA90"/>
      <c r="TPB90"/>
      <c r="TPC90"/>
      <c r="TPD90"/>
      <c r="TPE90"/>
      <c r="TPF90"/>
      <c r="TPG90"/>
      <c r="TPH90"/>
      <c r="TPI90"/>
      <c r="TPJ90"/>
      <c r="TPK90"/>
      <c r="TPL90"/>
      <c r="TPM90"/>
      <c r="TPN90"/>
      <c r="TPO90"/>
      <c r="TPP90"/>
      <c r="TPQ90"/>
      <c r="TPR90"/>
      <c r="TPS90"/>
      <c r="TPT90"/>
      <c r="TPU90"/>
      <c r="TPV90"/>
      <c r="TPW90"/>
      <c r="TPX90"/>
      <c r="TPY90"/>
      <c r="TPZ90"/>
      <c r="TQA90"/>
      <c r="TQB90"/>
      <c r="TQC90"/>
      <c r="TQD90"/>
      <c r="TQE90"/>
      <c r="TQF90"/>
      <c r="TQG90"/>
      <c r="TQH90"/>
      <c r="TQI90"/>
      <c r="TQJ90"/>
      <c r="TQK90"/>
      <c r="TQL90"/>
      <c r="TQM90"/>
      <c r="TQN90"/>
      <c r="TQO90"/>
      <c r="TQP90"/>
      <c r="TQQ90"/>
      <c r="TQR90"/>
      <c r="TQS90"/>
      <c r="TQT90"/>
      <c r="TQU90"/>
      <c r="TQV90"/>
      <c r="TQW90"/>
      <c r="TQX90"/>
      <c r="TQY90"/>
      <c r="TQZ90"/>
      <c r="TRA90"/>
      <c r="TRB90"/>
      <c r="TRC90"/>
      <c r="TRD90"/>
      <c r="TRE90"/>
      <c r="TRF90"/>
      <c r="TRG90"/>
      <c r="TRH90"/>
      <c r="TRI90"/>
      <c r="TRJ90"/>
      <c r="TRK90"/>
      <c r="TRL90"/>
      <c r="TRM90"/>
      <c r="TRN90"/>
      <c r="TRO90"/>
      <c r="TRP90"/>
      <c r="TRQ90"/>
      <c r="TRR90"/>
      <c r="TRS90"/>
      <c r="TRT90"/>
      <c r="TRU90"/>
      <c r="TRV90"/>
      <c r="TRW90"/>
      <c r="TRX90"/>
      <c r="TRY90"/>
      <c r="TRZ90"/>
      <c r="TSA90"/>
      <c r="TSB90"/>
      <c r="TSC90"/>
      <c r="TSD90"/>
      <c r="TSE90"/>
      <c r="TSF90"/>
      <c r="TSG90"/>
      <c r="TSH90"/>
      <c r="TSI90"/>
      <c r="TSJ90"/>
      <c r="TSK90"/>
      <c r="TSL90"/>
      <c r="TSM90"/>
      <c r="TSN90"/>
      <c r="TSO90"/>
      <c r="TSP90"/>
      <c r="TSQ90"/>
      <c r="TSR90"/>
      <c r="TSS90"/>
      <c r="TST90"/>
      <c r="TSU90"/>
      <c r="TSV90"/>
      <c r="TSW90"/>
      <c r="TSX90"/>
      <c r="TSY90"/>
      <c r="TSZ90"/>
      <c r="TTA90"/>
      <c r="TTB90"/>
      <c r="TTC90"/>
      <c r="TTD90"/>
      <c r="TTE90"/>
      <c r="TTF90"/>
      <c r="TTG90"/>
      <c r="TTH90"/>
      <c r="TTI90"/>
      <c r="TTJ90"/>
      <c r="TTK90"/>
      <c r="TTL90"/>
      <c r="TTM90"/>
      <c r="TTN90"/>
      <c r="TTO90"/>
      <c r="TTP90"/>
      <c r="TTQ90"/>
      <c r="TTR90"/>
      <c r="TTS90"/>
      <c r="TTT90"/>
      <c r="TTU90"/>
      <c r="TTV90"/>
      <c r="TTW90"/>
      <c r="TTX90"/>
      <c r="TTY90"/>
      <c r="TTZ90"/>
      <c r="TUA90"/>
      <c r="TUB90"/>
      <c r="TUC90"/>
      <c r="TUD90"/>
      <c r="TUE90"/>
      <c r="TUF90"/>
      <c r="TUG90"/>
      <c r="TUH90"/>
      <c r="TUI90"/>
      <c r="TUJ90"/>
      <c r="TUK90"/>
      <c r="TUL90"/>
      <c r="TUM90"/>
      <c r="TUN90"/>
      <c r="TUO90"/>
      <c r="TUP90"/>
      <c r="TUQ90"/>
      <c r="TUR90"/>
      <c r="TUS90"/>
      <c r="TUT90"/>
      <c r="TUU90"/>
      <c r="TUV90"/>
      <c r="TUW90"/>
      <c r="TUX90"/>
      <c r="TUY90"/>
      <c r="TUZ90"/>
      <c r="TVA90"/>
      <c r="TVB90"/>
      <c r="TVC90"/>
      <c r="TVD90"/>
      <c r="TVE90"/>
      <c r="TVF90"/>
      <c r="TVG90"/>
      <c r="TVH90"/>
      <c r="TVI90"/>
      <c r="TVJ90"/>
      <c r="TVK90"/>
      <c r="TVL90"/>
      <c r="TVM90"/>
      <c r="TVN90"/>
      <c r="TVO90"/>
      <c r="TVP90"/>
      <c r="TVQ90"/>
      <c r="TVR90"/>
      <c r="TVS90"/>
      <c r="TVT90"/>
      <c r="TVU90"/>
      <c r="TVV90"/>
      <c r="TVW90"/>
      <c r="TVX90"/>
      <c r="TVY90"/>
      <c r="TVZ90"/>
      <c r="TWA90"/>
      <c r="TWB90"/>
      <c r="TWC90"/>
      <c r="TWD90"/>
      <c r="TWE90"/>
      <c r="TWF90"/>
      <c r="TWG90"/>
      <c r="TWH90"/>
      <c r="TWI90"/>
      <c r="TWJ90"/>
      <c r="TWK90"/>
      <c r="TWL90"/>
      <c r="TWM90"/>
      <c r="TWN90"/>
      <c r="TWO90"/>
      <c r="TWP90"/>
      <c r="TWQ90"/>
      <c r="TWR90"/>
      <c r="TWS90"/>
      <c r="TWT90"/>
      <c r="TWU90"/>
      <c r="TWV90"/>
      <c r="TWW90"/>
      <c r="TWX90"/>
      <c r="TWY90"/>
      <c r="TWZ90"/>
      <c r="TXA90"/>
      <c r="TXB90"/>
      <c r="TXC90"/>
      <c r="TXD90"/>
      <c r="TXE90"/>
      <c r="TXF90"/>
      <c r="TXG90"/>
      <c r="TXH90"/>
      <c r="TXI90"/>
      <c r="TXJ90"/>
      <c r="TXK90"/>
      <c r="TXL90"/>
      <c r="TXM90"/>
      <c r="TXN90"/>
      <c r="TXO90"/>
      <c r="TXP90"/>
      <c r="TXQ90"/>
      <c r="TXR90"/>
      <c r="TXS90"/>
      <c r="TXT90"/>
      <c r="TXU90"/>
      <c r="TXV90"/>
      <c r="TXW90"/>
      <c r="TXX90"/>
      <c r="TXY90"/>
      <c r="TXZ90"/>
      <c r="TYA90"/>
      <c r="TYB90"/>
      <c r="TYC90"/>
      <c r="TYD90"/>
      <c r="TYE90"/>
      <c r="TYF90"/>
      <c r="TYG90"/>
      <c r="TYH90"/>
      <c r="TYI90"/>
      <c r="TYJ90"/>
      <c r="TYK90"/>
      <c r="TYL90"/>
      <c r="TYM90"/>
      <c r="TYN90"/>
      <c r="TYO90"/>
      <c r="TYP90"/>
      <c r="TYQ90"/>
      <c r="TYR90"/>
      <c r="TYS90"/>
      <c r="TYT90"/>
      <c r="TYU90"/>
      <c r="TYV90"/>
      <c r="TYW90"/>
      <c r="TYX90"/>
      <c r="TYY90"/>
      <c r="TYZ90"/>
      <c r="TZA90"/>
      <c r="TZB90"/>
      <c r="TZC90"/>
      <c r="TZD90"/>
      <c r="TZE90"/>
      <c r="TZF90"/>
      <c r="TZG90"/>
      <c r="TZH90"/>
      <c r="TZI90"/>
      <c r="TZJ90"/>
      <c r="TZK90"/>
      <c r="TZL90"/>
      <c r="TZM90"/>
      <c r="TZN90"/>
      <c r="TZO90"/>
      <c r="TZP90"/>
      <c r="TZQ90"/>
      <c r="TZR90"/>
      <c r="TZS90"/>
      <c r="TZT90"/>
      <c r="TZU90"/>
      <c r="TZV90"/>
      <c r="TZW90"/>
      <c r="TZX90"/>
      <c r="TZY90"/>
      <c r="TZZ90"/>
      <c r="UAA90"/>
      <c r="UAB90"/>
      <c r="UAC90"/>
      <c r="UAD90"/>
      <c r="UAE90"/>
      <c r="UAF90"/>
      <c r="UAG90"/>
      <c r="UAH90"/>
      <c r="UAI90"/>
      <c r="UAJ90"/>
      <c r="UAK90"/>
      <c r="UAL90"/>
      <c r="UAM90"/>
      <c r="UAN90"/>
      <c r="UAO90"/>
      <c r="UAP90"/>
      <c r="UAQ90"/>
      <c r="UAR90"/>
      <c r="UAS90"/>
      <c r="UAT90"/>
      <c r="UAU90"/>
      <c r="UAV90"/>
      <c r="UAW90"/>
      <c r="UAX90"/>
      <c r="UAY90"/>
      <c r="UAZ90"/>
      <c r="UBA90"/>
      <c r="UBB90"/>
      <c r="UBC90"/>
      <c r="UBD90"/>
      <c r="UBE90"/>
      <c r="UBF90"/>
      <c r="UBG90"/>
      <c r="UBH90"/>
      <c r="UBI90"/>
      <c r="UBJ90"/>
      <c r="UBK90"/>
      <c r="UBL90"/>
      <c r="UBM90"/>
      <c r="UBN90"/>
      <c r="UBO90"/>
      <c r="UBP90"/>
      <c r="UBQ90"/>
      <c r="UBR90"/>
      <c r="UBS90"/>
      <c r="UBT90"/>
      <c r="UBU90"/>
      <c r="UBV90"/>
      <c r="UBW90"/>
      <c r="UBX90"/>
      <c r="UBY90"/>
      <c r="UBZ90"/>
      <c r="UCA90"/>
      <c r="UCB90"/>
      <c r="UCC90"/>
      <c r="UCD90"/>
      <c r="UCE90"/>
      <c r="UCF90"/>
      <c r="UCG90"/>
      <c r="UCH90"/>
      <c r="UCI90"/>
      <c r="UCJ90"/>
      <c r="UCK90"/>
      <c r="UCL90"/>
      <c r="UCM90"/>
      <c r="UCN90"/>
      <c r="UCO90"/>
      <c r="UCP90"/>
      <c r="UCQ90"/>
      <c r="UCR90"/>
      <c r="UCS90"/>
      <c r="UCT90"/>
      <c r="UCU90"/>
      <c r="UCV90"/>
      <c r="UCW90"/>
      <c r="UCX90"/>
      <c r="UCY90"/>
      <c r="UCZ90"/>
      <c r="UDA90"/>
      <c r="UDB90"/>
      <c r="UDC90"/>
      <c r="UDD90"/>
      <c r="UDE90"/>
      <c r="UDF90"/>
      <c r="UDG90"/>
      <c r="UDH90"/>
      <c r="UDI90"/>
      <c r="UDJ90"/>
      <c r="UDK90"/>
      <c r="UDL90"/>
      <c r="UDM90"/>
      <c r="UDN90"/>
      <c r="UDO90"/>
      <c r="UDP90"/>
      <c r="UDQ90"/>
      <c r="UDR90"/>
      <c r="UDS90"/>
      <c r="UDT90"/>
      <c r="UDU90"/>
      <c r="UDV90"/>
      <c r="UDW90"/>
      <c r="UDX90"/>
      <c r="UDY90"/>
      <c r="UDZ90"/>
      <c r="UEA90"/>
      <c r="UEB90"/>
      <c r="UEC90"/>
      <c r="UED90"/>
      <c r="UEE90"/>
      <c r="UEF90"/>
      <c r="UEG90"/>
      <c r="UEH90"/>
      <c r="UEI90"/>
      <c r="UEJ90"/>
      <c r="UEK90"/>
      <c r="UEL90"/>
      <c r="UEM90"/>
      <c r="UEN90"/>
      <c r="UEO90"/>
      <c r="UEP90"/>
      <c r="UEQ90"/>
      <c r="UER90"/>
      <c r="UES90"/>
      <c r="UET90"/>
      <c r="UEU90"/>
      <c r="UEV90"/>
      <c r="UEW90"/>
      <c r="UEX90"/>
      <c r="UEY90"/>
      <c r="UEZ90"/>
      <c r="UFA90"/>
      <c r="UFB90"/>
      <c r="UFC90"/>
      <c r="UFD90"/>
      <c r="UFE90"/>
      <c r="UFF90"/>
      <c r="UFG90"/>
      <c r="UFH90"/>
      <c r="UFI90"/>
      <c r="UFJ90"/>
      <c r="UFK90"/>
      <c r="UFL90"/>
      <c r="UFM90"/>
      <c r="UFN90"/>
      <c r="UFO90"/>
      <c r="UFP90"/>
      <c r="UFQ90"/>
      <c r="UFR90"/>
      <c r="UFS90"/>
      <c r="UFT90"/>
      <c r="UFU90"/>
      <c r="UFV90"/>
      <c r="UFW90"/>
      <c r="UFX90"/>
      <c r="UFY90"/>
      <c r="UFZ90"/>
      <c r="UGA90"/>
      <c r="UGB90"/>
      <c r="UGC90"/>
      <c r="UGD90"/>
      <c r="UGE90"/>
      <c r="UGF90"/>
      <c r="UGG90"/>
      <c r="UGH90"/>
      <c r="UGI90"/>
      <c r="UGJ90"/>
      <c r="UGK90"/>
      <c r="UGL90"/>
      <c r="UGM90"/>
      <c r="UGN90"/>
      <c r="UGO90"/>
      <c r="UGP90"/>
      <c r="UGQ90"/>
      <c r="UGR90"/>
      <c r="UGS90"/>
      <c r="UGT90"/>
      <c r="UGU90"/>
      <c r="UGV90"/>
      <c r="UGW90"/>
      <c r="UGX90"/>
      <c r="UGY90"/>
      <c r="UGZ90"/>
      <c r="UHA90"/>
      <c r="UHB90"/>
      <c r="UHC90"/>
      <c r="UHD90"/>
      <c r="UHE90"/>
      <c r="UHF90"/>
      <c r="UHG90"/>
      <c r="UHH90"/>
      <c r="UHI90"/>
      <c r="UHJ90"/>
      <c r="UHK90"/>
      <c r="UHL90"/>
      <c r="UHM90"/>
      <c r="UHN90"/>
      <c r="UHO90"/>
      <c r="UHP90"/>
      <c r="UHQ90"/>
      <c r="UHR90"/>
      <c r="UHS90"/>
      <c r="UHT90"/>
      <c r="UHU90"/>
      <c r="UHV90"/>
      <c r="UHW90"/>
      <c r="UHX90"/>
      <c r="UHY90"/>
      <c r="UHZ90"/>
      <c r="UIA90"/>
      <c r="UIB90"/>
      <c r="UIC90"/>
      <c r="UID90"/>
      <c r="UIE90"/>
      <c r="UIF90"/>
      <c r="UIG90"/>
      <c r="UIH90"/>
      <c r="UII90"/>
      <c r="UIJ90"/>
      <c r="UIK90"/>
      <c r="UIL90"/>
      <c r="UIM90"/>
      <c r="UIN90"/>
      <c r="UIO90"/>
      <c r="UIP90"/>
      <c r="UIQ90"/>
      <c r="UIR90"/>
      <c r="UIS90"/>
      <c r="UIT90"/>
      <c r="UIU90"/>
      <c r="UIV90"/>
      <c r="UIW90"/>
      <c r="UIX90"/>
      <c r="UIY90"/>
      <c r="UIZ90"/>
      <c r="UJA90"/>
      <c r="UJB90"/>
      <c r="UJC90"/>
      <c r="UJD90"/>
      <c r="UJE90"/>
      <c r="UJF90"/>
      <c r="UJG90"/>
      <c r="UJH90"/>
      <c r="UJI90"/>
      <c r="UJJ90"/>
      <c r="UJK90"/>
      <c r="UJL90"/>
      <c r="UJM90"/>
      <c r="UJN90"/>
      <c r="UJO90"/>
      <c r="UJP90"/>
      <c r="UJQ90"/>
      <c r="UJR90"/>
      <c r="UJS90"/>
      <c r="UJT90"/>
      <c r="UJU90"/>
      <c r="UJV90"/>
      <c r="UJW90"/>
      <c r="UJX90"/>
      <c r="UJY90"/>
      <c r="UJZ90"/>
      <c r="UKA90"/>
      <c r="UKB90"/>
      <c r="UKC90"/>
      <c r="UKD90"/>
      <c r="UKE90"/>
      <c r="UKF90"/>
      <c r="UKG90"/>
      <c r="UKH90"/>
      <c r="UKI90"/>
      <c r="UKJ90"/>
      <c r="UKK90"/>
      <c r="UKL90"/>
      <c r="UKM90"/>
      <c r="UKN90"/>
      <c r="UKO90"/>
      <c r="UKP90"/>
      <c r="UKQ90"/>
      <c r="UKR90"/>
      <c r="UKS90"/>
      <c r="UKT90"/>
      <c r="UKU90"/>
      <c r="UKV90"/>
      <c r="UKW90"/>
      <c r="UKX90"/>
      <c r="UKY90"/>
      <c r="UKZ90"/>
      <c r="ULA90"/>
      <c r="ULB90"/>
      <c r="ULC90"/>
      <c r="ULD90"/>
      <c r="ULE90"/>
      <c r="ULF90"/>
      <c r="ULG90"/>
      <c r="ULH90"/>
      <c r="ULI90"/>
      <c r="ULJ90"/>
      <c r="ULK90"/>
      <c r="ULL90"/>
      <c r="ULM90"/>
      <c r="ULN90"/>
      <c r="ULO90"/>
      <c r="ULP90"/>
      <c r="ULQ90"/>
      <c r="ULR90"/>
      <c r="ULS90"/>
      <c r="ULT90"/>
      <c r="ULU90"/>
      <c r="ULV90"/>
      <c r="ULW90"/>
      <c r="ULX90"/>
      <c r="ULY90"/>
      <c r="ULZ90"/>
      <c r="UMA90"/>
      <c r="UMB90"/>
      <c r="UMC90"/>
      <c r="UMD90"/>
      <c r="UME90"/>
      <c r="UMF90"/>
      <c r="UMG90"/>
      <c r="UMH90"/>
      <c r="UMI90"/>
      <c r="UMJ90"/>
      <c r="UMK90"/>
      <c r="UML90"/>
      <c r="UMM90"/>
      <c r="UMN90"/>
      <c r="UMO90"/>
      <c r="UMP90"/>
      <c r="UMQ90"/>
      <c r="UMR90"/>
      <c r="UMS90"/>
      <c r="UMT90"/>
      <c r="UMU90"/>
      <c r="UMV90"/>
      <c r="UMW90"/>
      <c r="UMX90"/>
      <c r="UMY90"/>
      <c r="UMZ90"/>
      <c r="UNA90"/>
      <c r="UNB90"/>
      <c r="UNC90"/>
      <c r="UND90"/>
      <c r="UNE90"/>
      <c r="UNF90"/>
      <c r="UNG90"/>
      <c r="UNH90"/>
      <c r="UNI90"/>
      <c r="UNJ90"/>
      <c r="UNK90"/>
      <c r="UNL90"/>
      <c r="UNM90"/>
      <c r="UNN90"/>
      <c r="UNO90"/>
      <c r="UNP90"/>
      <c r="UNQ90"/>
      <c r="UNR90"/>
      <c r="UNS90"/>
      <c r="UNT90"/>
      <c r="UNU90"/>
      <c r="UNV90"/>
      <c r="UNW90"/>
      <c r="UNX90"/>
      <c r="UNY90"/>
      <c r="UNZ90"/>
      <c r="UOA90"/>
      <c r="UOB90"/>
      <c r="UOC90"/>
      <c r="UOD90"/>
      <c r="UOE90"/>
      <c r="UOF90"/>
      <c r="UOG90"/>
      <c r="UOH90"/>
      <c r="UOI90"/>
      <c r="UOJ90"/>
      <c r="UOK90"/>
      <c r="UOL90"/>
      <c r="UOM90"/>
      <c r="UON90"/>
      <c r="UOO90"/>
      <c r="UOP90"/>
      <c r="UOQ90"/>
      <c r="UOR90"/>
      <c r="UOS90"/>
      <c r="UOT90"/>
      <c r="UOU90"/>
      <c r="UOV90"/>
      <c r="UOW90"/>
      <c r="UOX90"/>
      <c r="UOY90"/>
      <c r="UOZ90"/>
      <c r="UPA90"/>
      <c r="UPB90"/>
      <c r="UPC90"/>
      <c r="UPD90"/>
      <c r="UPE90"/>
      <c r="UPF90"/>
      <c r="UPG90"/>
      <c r="UPH90"/>
      <c r="UPI90"/>
      <c r="UPJ90"/>
      <c r="UPK90"/>
      <c r="UPL90"/>
      <c r="UPM90"/>
      <c r="UPN90"/>
      <c r="UPO90"/>
      <c r="UPP90"/>
      <c r="UPQ90"/>
      <c r="UPR90"/>
      <c r="UPS90"/>
      <c r="UPT90"/>
      <c r="UPU90"/>
      <c r="UPV90"/>
      <c r="UPW90"/>
      <c r="UPX90"/>
      <c r="UPY90"/>
      <c r="UPZ90"/>
      <c r="UQA90"/>
      <c r="UQB90"/>
      <c r="UQC90"/>
      <c r="UQD90"/>
      <c r="UQE90"/>
      <c r="UQF90"/>
      <c r="UQG90"/>
      <c r="UQH90"/>
      <c r="UQI90"/>
      <c r="UQJ90"/>
      <c r="UQK90"/>
      <c r="UQL90"/>
      <c r="UQM90"/>
      <c r="UQN90"/>
      <c r="UQO90"/>
      <c r="UQP90"/>
      <c r="UQQ90"/>
      <c r="UQR90"/>
      <c r="UQS90"/>
      <c r="UQT90"/>
      <c r="UQU90"/>
      <c r="UQV90"/>
      <c r="UQW90"/>
      <c r="UQX90"/>
      <c r="UQY90"/>
      <c r="UQZ90"/>
      <c r="URA90"/>
      <c r="URB90"/>
      <c r="URC90"/>
      <c r="URD90"/>
      <c r="URE90"/>
      <c r="URF90"/>
      <c r="URG90"/>
      <c r="URH90"/>
      <c r="URI90"/>
      <c r="URJ90"/>
      <c r="URK90"/>
      <c r="URL90"/>
      <c r="URM90"/>
      <c r="URN90"/>
      <c r="URO90"/>
      <c r="URP90"/>
      <c r="URQ90"/>
      <c r="URR90"/>
      <c r="URS90"/>
      <c r="URT90"/>
      <c r="URU90"/>
      <c r="URV90"/>
      <c r="URW90"/>
      <c r="URX90"/>
      <c r="URY90"/>
      <c r="URZ90"/>
      <c r="USA90"/>
      <c r="USB90"/>
      <c r="USC90"/>
      <c r="USD90"/>
      <c r="USE90"/>
      <c r="USF90"/>
      <c r="USG90"/>
      <c r="USH90"/>
      <c r="USI90"/>
      <c r="USJ90"/>
      <c r="USK90"/>
      <c r="USL90"/>
      <c r="USM90"/>
      <c r="USN90"/>
      <c r="USO90"/>
      <c r="USP90"/>
      <c r="USQ90"/>
      <c r="USR90"/>
      <c r="USS90"/>
      <c r="UST90"/>
      <c r="USU90"/>
      <c r="USV90"/>
      <c r="USW90"/>
      <c r="USX90"/>
      <c r="USY90"/>
      <c r="USZ90"/>
      <c r="UTA90"/>
      <c r="UTB90"/>
      <c r="UTC90"/>
      <c r="UTD90"/>
      <c r="UTE90"/>
      <c r="UTF90"/>
      <c r="UTG90"/>
      <c r="UTH90"/>
      <c r="UTI90"/>
      <c r="UTJ90"/>
      <c r="UTK90"/>
      <c r="UTL90"/>
      <c r="UTM90"/>
      <c r="UTN90"/>
      <c r="UTO90"/>
      <c r="UTP90"/>
      <c r="UTQ90"/>
      <c r="UTR90"/>
      <c r="UTS90"/>
      <c r="UTT90"/>
      <c r="UTU90"/>
      <c r="UTV90"/>
      <c r="UTW90"/>
      <c r="UTX90"/>
      <c r="UTY90"/>
      <c r="UTZ90"/>
      <c r="UUA90"/>
      <c r="UUB90"/>
      <c r="UUC90"/>
      <c r="UUD90"/>
      <c r="UUE90"/>
      <c r="UUF90"/>
      <c r="UUG90"/>
      <c r="UUH90"/>
      <c r="UUI90"/>
      <c r="UUJ90"/>
      <c r="UUK90"/>
      <c r="UUL90"/>
      <c r="UUM90"/>
      <c r="UUN90"/>
      <c r="UUO90"/>
      <c r="UUP90"/>
      <c r="UUQ90"/>
      <c r="UUR90"/>
      <c r="UUS90"/>
      <c r="UUT90"/>
      <c r="UUU90"/>
      <c r="UUV90"/>
      <c r="UUW90"/>
      <c r="UUX90"/>
      <c r="UUY90"/>
      <c r="UUZ90"/>
      <c r="UVA90"/>
      <c r="UVB90"/>
      <c r="UVC90"/>
      <c r="UVD90"/>
      <c r="UVE90"/>
      <c r="UVF90"/>
      <c r="UVG90"/>
      <c r="UVH90"/>
      <c r="UVI90"/>
      <c r="UVJ90"/>
      <c r="UVK90"/>
      <c r="UVL90"/>
      <c r="UVM90"/>
      <c r="UVN90"/>
      <c r="UVO90"/>
      <c r="UVP90"/>
      <c r="UVQ90"/>
      <c r="UVR90"/>
      <c r="UVS90"/>
      <c r="UVT90"/>
      <c r="UVU90"/>
      <c r="UVV90"/>
      <c r="UVW90"/>
      <c r="UVX90"/>
      <c r="UVY90"/>
      <c r="UVZ90"/>
      <c r="UWA90"/>
      <c r="UWB90"/>
      <c r="UWC90"/>
      <c r="UWD90"/>
      <c r="UWE90"/>
      <c r="UWF90"/>
      <c r="UWG90"/>
      <c r="UWH90"/>
      <c r="UWI90"/>
      <c r="UWJ90"/>
      <c r="UWK90"/>
      <c r="UWL90"/>
      <c r="UWM90"/>
      <c r="UWN90"/>
      <c r="UWO90"/>
      <c r="UWP90"/>
      <c r="UWQ90"/>
      <c r="UWR90"/>
      <c r="UWS90"/>
      <c r="UWT90"/>
      <c r="UWU90"/>
      <c r="UWV90"/>
      <c r="UWW90"/>
      <c r="UWX90"/>
      <c r="UWY90"/>
      <c r="UWZ90"/>
      <c r="UXA90"/>
      <c r="UXB90"/>
      <c r="UXC90"/>
      <c r="UXD90"/>
      <c r="UXE90"/>
      <c r="UXF90"/>
      <c r="UXG90"/>
      <c r="UXH90"/>
      <c r="UXI90"/>
      <c r="UXJ90"/>
      <c r="UXK90"/>
      <c r="UXL90"/>
      <c r="UXM90"/>
      <c r="UXN90"/>
      <c r="UXO90"/>
      <c r="UXP90"/>
      <c r="UXQ90"/>
      <c r="UXR90"/>
      <c r="UXS90"/>
      <c r="UXT90"/>
      <c r="UXU90"/>
      <c r="UXV90"/>
      <c r="UXW90"/>
      <c r="UXX90"/>
      <c r="UXY90"/>
      <c r="UXZ90"/>
      <c r="UYA90"/>
      <c r="UYB90"/>
      <c r="UYC90"/>
      <c r="UYD90"/>
      <c r="UYE90"/>
      <c r="UYF90"/>
      <c r="UYG90"/>
      <c r="UYH90"/>
      <c r="UYI90"/>
      <c r="UYJ90"/>
      <c r="UYK90"/>
      <c r="UYL90"/>
      <c r="UYM90"/>
      <c r="UYN90"/>
      <c r="UYO90"/>
      <c r="UYP90"/>
      <c r="UYQ90"/>
      <c r="UYR90"/>
      <c r="UYS90"/>
      <c r="UYT90"/>
      <c r="UYU90"/>
      <c r="UYV90"/>
      <c r="UYW90"/>
      <c r="UYX90"/>
      <c r="UYY90"/>
      <c r="UYZ90"/>
      <c r="UZA90"/>
      <c r="UZB90"/>
      <c r="UZC90"/>
      <c r="UZD90"/>
      <c r="UZE90"/>
      <c r="UZF90"/>
      <c r="UZG90"/>
      <c r="UZH90"/>
      <c r="UZI90"/>
      <c r="UZJ90"/>
      <c r="UZK90"/>
      <c r="UZL90"/>
      <c r="UZM90"/>
      <c r="UZN90"/>
      <c r="UZO90"/>
      <c r="UZP90"/>
      <c r="UZQ90"/>
      <c r="UZR90"/>
      <c r="UZS90"/>
      <c r="UZT90"/>
      <c r="UZU90"/>
      <c r="UZV90"/>
      <c r="UZW90"/>
      <c r="UZX90"/>
      <c r="UZY90"/>
      <c r="UZZ90"/>
      <c r="VAA90"/>
      <c r="VAB90"/>
      <c r="VAC90"/>
      <c r="VAD90"/>
      <c r="VAE90"/>
      <c r="VAF90"/>
      <c r="VAG90"/>
      <c r="VAH90"/>
      <c r="VAI90"/>
      <c r="VAJ90"/>
      <c r="VAK90"/>
      <c r="VAL90"/>
      <c r="VAM90"/>
      <c r="VAN90"/>
      <c r="VAO90"/>
      <c r="VAP90"/>
      <c r="VAQ90"/>
      <c r="VAR90"/>
      <c r="VAS90"/>
      <c r="VAT90"/>
      <c r="VAU90"/>
      <c r="VAV90"/>
      <c r="VAW90"/>
      <c r="VAX90"/>
      <c r="VAY90"/>
      <c r="VAZ90"/>
      <c r="VBA90"/>
      <c r="VBB90"/>
      <c r="VBC90"/>
      <c r="VBD90"/>
      <c r="VBE90"/>
      <c r="VBF90"/>
      <c r="VBG90"/>
      <c r="VBH90"/>
      <c r="VBI90"/>
      <c r="VBJ90"/>
      <c r="VBK90"/>
      <c r="VBL90"/>
      <c r="VBM90"/>
      <c r="VBN90"/>
      <c r="VBO90"/>
      <c r="VBP90"/>
      <c r="VBQ90"/>
      <c r="VBR90"/>
      <c r="VBS90"/>
      <c r="VBT90"/>
      <c r="VBU90"/>
      <c r="VBV90"/>
      <c r="VBW90"/>
      <c r="VBX90"/>
      <c r="VBY90"/>
      <c r="VBZ90"/>
      <c r="VCA90"/>
      <c r="VCB90"/>
      <c r="VCC90"/>
      <c r="VCD90"/>
      <c r="VCE90"/>
      <c r="VCF90"/>
      <c r="VCG90"/>
      <c r="VCH90"/>
      <c r="VCI90"/>
      <c r="VCJ90"/>
      <c r="VCK90"/>
      <c r="VCL90"/>
      <c r="VCM90"/>
      <c r="VCN90"/>
      <c r="VCO90"/>
      <c r="VCP90"/>
      <c r="VCQ90"/>
      <c r="VCR90"/>
      <c r="VCS90"/>
      <c r="VCT90"/>
      <c r="VCU90"/>
      <c r="VCV90"/>
      <c r="VCW90"/>
      <c r="VCX90"/>
      <c r="VCY90"/>
      <c r="VCZ90"/>
      <c r="VDA90"/>
      <c r="VDB90"/>
      <c r="VDC90"/>
      <c r="VDD90"/>
      <c r="VDE90"/>
      <c r="VDF90"/>
      <c r="VDG90"/>
      <c r="VDH90"/>
      <c r="VDI90"/>
      <c r="VDJ90"/>
      <c r="VDK90"/>
      <c r="VDL90"/>
      <c r="VDM90"/>
      <c r="VDN90"/>
      <c r="VDO90"/>
      <c r="VDP90"/>
      <c r="VDQ90"/>
      <c r="VDR90"/>
      <c r="VDS90"/>
      <c r="VDT90"/>
      <c r="VDU90"/>
      <c r="VDV90"/>
      <c r="VDW90"/>
      <c r="VDX90"/>
      <c r="VDY90"/>
      <c r="VDZ90"/>
      <c r="VEA90"/>
      <c r="VEB90"/>
      <c r="VEC90"/>
      <c r="VED90"/>
      <c r="VEE90"/>
      <c r="VEF90"/>
      <c r="VEG90"/>
      <c r="VEH90"/>
      <c r="VEI90"/>
      <c r="VEJ90"/>
      <c r="VEK90"/>
      <c r="VEL90"/>
      <c r="VEM90"/>
      <c r="VEN90"/>
      <c r="VEO90"/>
      <c r="VEP90"/>
      <c r="VEQ90"/>
      <c r="VER90"/>
      <c r="VES90"/>
      <c r="VET90"/>
      <c r="VEU90"/>
      <c r="VEV90"/>
      <c r="VEW90"/>
      <c r="VEX90"/>
      <c r="VEY90"/>
      <c r="VEZ90"/>
      <c r="VFA90"/>
      <c r="VFB90"/>
      <c r="VFC90"/>
      <c r="VFD90"/>
      <c r="VFE90"/>
      <c r="VFF90"/>
      <c r="VFG90"/>
      <c r="VFH90"/>
      <c r="VFI90"/>
      <c r="VFJ90"/>
      <c r="VFK90"/>
      <c r="VFL90"/>
      <c r="VFM90"/>
      <c r="VFN90"/>
      <c r="VFO90"/>
      <c r="VFP90"/>
      <c r="VFQ90"/>
      <c r="VFR90"/>
      <c r="VFS90"/>
      <c r="VFT90"/>
      <c r="VFU90"/>
      <c r="VFV90"/>
      <c r="VFW90"/>
      <c r="VFX90"/>
      <c r="VFY90"/>
      <c r="VFZ90"/>
      <c r="VGA90"/>
      <c r="VGB90"/>
      <c r="VGC90"/>
      <c r="VGD90"/>
      <c r="VGE90"/>
      <c r="VGF90"/>
      <c r="VGG90"/>
      <c r="VGH90"/>
      <c r="VGI90"/>
      <c r="VGJ90"/>
      <c r="VGK90"/>
      <c r="VGL90"/>
      <c r="VGM90"/>
      <c r="VGN90"/>
      <c r="VGO90"/>
      <c r="VGP90"/>
      <c r="VGQ90"/>
      <c r="VGR90"/>
      <c r="VGS90"/>
      <c r="VGT90"/>
      <c r="VGU90"/>
      <c r="VGV90"/>
      <c r="VGW90"/>
      <c r="VGX90"/>
      <c r="VGY90"/>
      <c r="VGZ90"/>
      <c r="VHA90"/>
      <c r="VHB90"/>
      <c r="VHC90"/>
      <c r="VHD90"/>
      <c r="VHE90"/>
      <c r="VHF90"/>
      <c r="VHG90"/>
      <c r="VHH90"/>
      <c r="VHI90"/>
      <c r="VHJ90"/>
      <c r="VHK90"/>
      <c r="VHL90"/>
      <c r="VHM90"/>
      <c r="VHN90"/>
      <c r="VHO90"/>
      <c r="VHP90"/>
      <c r="VHQ90"/>
      <c r="VHR90"/>
      <c r="VHS90"/>
      <c r="VHT90"/>
      <c r="VHU90"/>
      <c r="VHV90"/>
      <c r="VHW90"/>
      <c r="VHX90"/>
      <c r="VHY90"/>
      <c r="VHZ90"/>
      <c r="VIA90"/>
      <c r="VIB90"/>
      <c r="VIC90"/>
      <c r="VID90"/>
      <c r="VIE90"/>
      <c r="VIF90"/>
      <c r="VIG90"/>
      <c r="VIH90"/>
      <c r="VII90"/>
      <c r="VIJ90"/>
      <c r="VIK90"/>
      <c r="VIL90"/>
      <c r="VIM90"/>
      <c r="VIN90"/>
      <c r="VIO90"/>
      <c r="VIP90"/>
      <c r="VIQ90"/>
      <c r="VIR90"/>
      <c r="VIS90"/>
      <c r="VIT90"/>
      <c r="VIU90"/>
      <c r="VIV90"/>
      <c r="VIW90"/>
      <c r="VIX90"/>
      <c r="VIY90"/>
      <c r="VIZ90"/>
      <c r="VJA90"/>
      <c r="VJB90"/>
      <c r="VJC90"/>
      <c r="VJD90"/>
      <c r="VJE90"/>
      <c r="VJF90"/>
      <c r="VJG90"/>
      <c r="VJH90"/>
      <c r="VJI90"/>
      <c r="VJJ90"/>
      <c r="VJK90"/>
      <c r="VJL90"/>
      <c r="VJM90"/>
      <c r="VJN90"/>
      <c r="VJO90"/>
      <c r="VJP90"/>
      <c r="VJQ90"/>
      <c r="VJR90"/>
      <c r="VJS90"/>
      <c r="VJT90"/>
      <c r="VJU90"/>
      <c r="VJV90"/>
      <c r="VJW90"/>
      <c r="VJX90"/>
      <c r="VJY90"/>
      <c r="VJZ90"/>
      <c r="VKA90"/>
      <c r="VKB90"/>
      <c r="VKC90"/>
      <c r="VKD90"/>
      <c r="VKE90"/>
      <c r="VKF90"/>
      <c r="VKG90"/>
      <c r="VKH90"/>
      <c r="VKI90"/>
      <c r="VKJ90"/>
      <c r="VKK90"/>
      <c r="VKL90"/>
      <c r="VKM90"/>
      <c r="VKN90"/>
      <c r="VKO90"/>
      <c r="VKP90"/>
      <c r="VKQ90"/>
      <c r="VKR90"/>
      <c r="VKS90"/>
      <c r="VKT90"/>
      <c r="VKU90"/>
      <c r="VKV90"/>
      <c r="VKW90"/>
      <c r="VKX90"/>
      <c r="VKY90"/>
      <c r="VKZ90"/>
      <c r="VLA90"/>
      <c r="VLB90"/>
      <c r="VLC90"/>
      <c r="VLD90"/>
      <c r="VLE90"/>
      <c r="VLF90"/>
      <c r="VLG90"/>
      <c r="VLH90"/>
      <c r="VLI90"/>
      <c r="VLJ90"/>
      <c r="VLK90"/>
      <c r="VLL90"/>
      <c r="VLM90"/>
      <c r="VLN90"/>
      <c r="VLO90"/>
      <c r="VLP90"/>
      <c r="VLQ90"/>
      <c r="VLR90"/>
      <c r="VLS90"/>
      <c r="VLT90"/>
      <c r="VLU90"/>
      <c r="VLV90"/>
      <c r="VLW90"/>
      <c r="VLX90"/>
      <c r="VLY90"/>
      <c r="VLZ90"/>
      <c r="VMA90"/>
      <c r="VMB90"/>
      <c r="VMC90"/>
      <c r="VMD90"/>
      <c r="VME90"/>
      <c r="VMF90"/>
      <c r="VMG90"/>
      <c r="VMH90"/>
      <c r="VMI90"/>
      <c r="VMJ90"/>
      <c r="VMK90"/>
      <c r="VML90"/>
      <c r="VMM90"/>
      <c r="VMN90"/>
      <c r="VMO90"/>
      <c r="VMP90"/>
      <c r="VMQ90"/>
      <c r="VMR90"/>
      <c r="VMS90"/>
      <c r="VMT90"/>
      <c r="VMU90"/>
      <c r="VMV90"/>
      <c r="VMW90"/>
      <c r="VMX90"/>
      <c r="VMY90"/>
      <c r="VMZ90"/>
      <c r="VNA90"/>
      <c r="VNB90"/>
      <c r="VNC90"/>
      <c r="VND90"/>
      <c r="VNE90"/>
      <c r="VNF90"/>
      <c r="VNG90"/>
      <c r="VNH90"/>
      <c r="VNI90"/>
      <c r="VNJ90"/>
      <c r="VNK90"/>
      <c r="VNL90"/>
      <c r="VNM90"/>
      <c r="VNN90"/>
      <c r="VNO90"/>
      <c r="VNP90"/>
      <c r="VNQ90"/>
      <c r="VNR90"/>
      <c r="VNS90"/>
      <c r="VNT90"/>
      <c r="VNU90"/>
      <c r="VNV90"/>
      <c r="VNW90"/>
      <c r="VNX90"/>
      <c r="VNY90"/>
      <c r="VNZ90"/>
      <c r="VOA90"/>
      <c r="VOB90"/>
      <c r="VOC90"/>
      <c r="VOD90"/>
      <c r="VOE90"/>
      <c r="VOF90"/>
      <c r="VOG90"/>
      <c r="VOH90"/>
      <c r="VOI90"/>
      <c r="VOJ90"/>
      <c r="VOK90"/>
      <c r="VOL90"/>
      <c r="VOM90"/>
      <c r="VON90"/>
      <c r="VOO90"/>
      <c r="VOP90"/>
      <c r="VOQ90"/>
      <c r="VOR90"/>
      <c r="VOS90"/>
      <c r="VOT90"/>
      <c r="VOU90"/>
      <c r="VOV90"/>
      <c r="VOW90"/>
      <c r="VOX90"/>
      <c r="VOY90"/>
      <c r="VOZ90"/>
      <c r="VPA90"/>
      <c r="VPB90"/>
      <c r="VPC90"/>
      <c r="VPD90"/>
      <c r="VPE90"/>
      <c r="VPF90"/>
      <c r="VPG90"/>
      <c r="VPH90"/>
      <c r="VPI90"/>
      <c r="VPJ90"/>
      <c r="VPK90"/>
      <c r="VPL90"/>
      <c r="VPM90"/>
      <c r="VPN90"/>
      <c r="VPO90"/>
      <c r="VPP90"/>
      <c r="VPQ90"/>
      <c r="VPR90"/>
      <c r="VPS90"/>
      <c r="VPT90"/>
      <c r="VPU90"/>
      <c r="VPV90"/>
      <c r="VPW90"/>
      <c r="VPX90"/>
      <c r="VPY90"/>
      <c r="VPZ90"/>
      <c r="VQA90"/>
      <c r="VQB90"/>
      <c r="VQC90"/>
      <c r="VQD90"/>
      <c r="VQE90"/>
      <c r="VQF90"/>
      <c r="VQG90"/>
      <c r="VQH90"/>
      <c r="VQI90"/>
      <c r="VQJ90"/>
      <c r="VQK90"/>
      <c r="VQL90"/>
      <c r="VQM90"/>
      <c r="VQN90"/>
      <c r="VQO90"/>
      <c r="VQP90"/>
      <c r="VQQ90"/>
      <c r="VQR90"/>
      <c r="VQS90"/>
      <c r="VQT90"/>
      <c r="VQU90"/>
      <c r="VQV90"/>
      <c r="VQW90"/>
      <c r="VQX90"/>
      <c r="VQY90"/>
      <c r="VQZ90"/>
      <c r="VRA90"/>
      <c r="VRB90"/>
      <c r="VRC90"/>
      <c r="VRD90"/>
      <c r="VRE90"/>
      <c r="VRF90"/>
      <c r="VRG90"/>
      <c r="VRH90"/>
      <c r="VRI90"/>
      <c r="VRJ90"/>
      <c r="VRK90"/>
      <c r="VRL90"/>
      <c r="VRM90"/>
      <c r="VRN90"/>
      <c r="VRO90"/>
      <c r="VRP90"/>
      <c r="VRQ90"/>
      <c r="VRR90"/>
      <c r="VRS90"/>
      <c r="VRT90"/>
      <c r="VRU90"/>
      <c r="VRV90"/>
      <c r="VRW90"/>
      <c r="VRX90"/>
      <c r="VRY90"/>
      <c r="VRZ90"/>
      <c r="VSA90"/>
      <c r="VSB90"/>
      <c r="VSC90"/>
      <c r="VSD90"/>
      <c r="VSE90"/>
      <c r="VSF90"/>
      <c r="VSG90"/>
      <c r="VSH90"/>
      <c r="VSI90"/>
      <c r="VSJ90"/>
      <c r="VSK90"/>
      <c r="VSL90"/>
      <c r="VSM90"/>
      <c r="VSN90"/>
      <c r="VSO90"/>
      <c r="VSP90"/>
      <c r="VSQ90"/>
      <c r="VSR90"/>
      <c r="VSS90"/>
      <c r="VST90"/>
      <c r="VSU90"/>
      <c r="VSV90"/>
      <c r="VSW90"/>
      <c r="VSX90"/>
      <c r="VSY90"/>
      <c r="VSZ90"/>
      <c r="VTA90"/>
      <c r="VTB90"/>
      <c r="VTC90"/>
      <c r="VTD90"/>
      <c r="VTE90"/>
      <c r="VTF90"/>
      <c r="VTG90"/>
      <c r="VTH90"/>
      <c r="VTI90"/>
      <c r="VTJ90"/>
      <c r="VTK90"/>
      <c r="VTL90"/>
      <c r="VTM90"/>
      <c r="VTN90"/>
      <c r="VTO90"/>
      <c r="VTP90"/>
      <c r="VTQ90"/>
      <c r="VTR90"/>
      <c r="VTS90"/>
      <c r="VTT90"/>
      <c r="VTU90"/>
      <c r="VTV90"/>
      <c r="VTW90"/>
      <c r="VTX90"/>
      <c r="VTY90"/>
      <c r="VTZ90"/>
      <c r="VUA90"/>
      <c r="VUB90"/>
      <c r="VUC90"/>
      <c r="VUD90"/>
      <c r="VUE90"/>
      <c r="VUF90"/>
      <c r="VUG90"/>
      <c r="VUH90"/>
      <c r="VUI90"/>
      <c r="VUJ90"/>
      <c r="VUK90"/>
      <c r="VUL90"/>
      <c r="VUM90"/>
      <c r="VUN90"/>
      <c r="VUO90"/>
      <c r="VUP90"/>
      <c r="VUQ90"/>
      <c r="VUR90"/>
      <c r="VUS90"/>
      <c r="VUT90"/>
      <c r="VUU90"/>
      <c r="VUV90"/>
      <c r="VUW90"/>
      <c r="VUX90"/>
      <c r="VUY90"/>
      <c r="VUZ90"/>
      <c r="VVA90"/>
      <c r="VVB90"/>
      <c r="VVC90"/>
      <c r="VVD90"/>
      <c r="VVE90"/>
      <c r="VVF90"/>
      <c r="VVG90"/>
      <c r="VVH90"/>
      <c r="VVI90"/>
      <c r="VVJ90"/>
      <c r="VVK90"/>
      <c r="VVL90"/>
      <c r="VVM90"/>
      <c r="VVN90"/>
      <c r="VVO90"/>
      <c r="VVP90"/>
      <c r="VVQ90"/>
      <c r="VVR90"/>
      <c r="VVS90"/>
      <c r="VVT90"/>
      <c r="VVU90"/>
      <c r="VVV90"/>
      <c r="VVW90"/>
      <c r="VVX90"/>
      <c r="VVY90"/>
      <c r="VVZ90"/>
      <c r="VWA90"/>
      <c r="VWB90"/>
      <c r="VWC90"/>
      <c r="VWD90"/>
      <c r="VWE90"/>
      <c r="VWF90"/>
      <c r="VWG90"/>
      <c r="VWH90"/>
      <c r="VWI90"/>
      <c r="VWJ90"/>
      <c r="VWK90"/>
      <c r="VWL90"/>
      <c r="VWM90"/>
      <c r="VWN90"/>
      <c r="VWO90"/>
      <c r="VWP90"/>
      <c r="VWQ90"/>
      <c r="VWR90"/>
      <c r="VWS90"/>
      <c r="VWT90"/>
      <c r="VWU90"/>
      <c r="VWV90"/>
      <c r="VWW90"/>
      <c r="VWX90"/>
      <c r="VWY90"/>
      <c r="VWZ90"/>
      <c r="VXA90"/>
      <c r="VXB90"/>
      <c r="VXC90"/>
      <c r="VXD90"/>
      <c r="VXE90"/>
      <c r="VXF90"/>
      <c r="VXG90"/>
      <c r="VXH90"/>
      <c r="VXI90"/>
      <c r="VXJ90"/>
      <c r="VXK90"/>
      <c r="VXL90"/>
      <c r="VXM90"/>
      <c r="VXN90"/>
      <c r="VXO90"/>
      <c r="VXP90"/>
      <c r="VXQ90"/>
      <c r="VXR90"/>
      <c r="VXS90"/>
      <c r="VXT90"/>
      <c r="VXU90"/>
      <c r="VXV90"/>
      <c r="VXW90"/>
      <c r="VXX90"/>
      <c r="VXY90"/>
      <c r="VXZ90"/>
      <c r="VYA90"/>
      <c r="VYB90"/>
      <c r="VYC90"/>
      <c r="VYD90"/>
      <c r="VYE90"/>
      <c r="VYF90"/>
      <c r="VYG90"/>
      <c r="VYH90"/>
      <c r="VYI90"/>
      <c r="VYJ90"/>
      <c r="VYK90"/>
      <c r="VYL90"/>
      <c r="VYM90"/>
      <c r="VYN90"/>
      <c r="VYO90"/>
      <c r="VYP90"/>
      <c r="VYQ90"/>
      <c r="VYR90"/>
      <c r="VYS90"/>
      <c r="VYT90"/>
      <c r="VYU90"/>
      <c r="VYV90"/>
      <c r="VYW90"/>
      <c r="VYX90"/>
      <c r="VYY90"/>
      <c r="VYZ90"/>
      <c r="VZA90"/>
      <c r="VZB90"/>
      <c r="VZC90"/>
      <c r="VZD90"/>
      <c r="VZE90"/>
      <c r="VZF90"/>
      <c r="VZG90"/>
      <c r="VZH90"/>
      <c r="VZI90"/>
      <c r="VZJ90"/>
      <c r="VZK90"/>
      <c r="VZL90"/>
      <c r="VZM90"/>
      <c r="VZN90"/>
      <c r="VZO90"/>
      <c r="VZP90"/>
      <c r="VZQ90"/>
      <c r="VZR90"/>
      <c r="VZS90"/>
      <c r="VZT90"/>
      <c r="VZU90"/>
      <c r="VZV90"/>
      <c r="VZW90"/>
      <c r="VZX90"/>
      <c r="VZY90"/>
      <c r="VZZ90"/>
      <c r="WAA90"/>
      <c r="WAB90"/>
      <c r="WAC90"/>
      <c r="WAD90"/>
      <c r="WAE90"/>
      <c r="WAF90"/>
      <c r="WAG90"/>
      <c r="WAH90"/>
      <c r="WAI90"/>
      <c r="WAJ90"/>
      <c r="WAK90"/>
      <c r="WAL90"/>
      <c r="WAM90"/>
      <c r="WAN90"/>
      <c r="WAO90"/>
      <c r="WAP90"/>
      <c r="WAQ90"/>
      <c r="WAR90"/>
      <c r="WAS90"/>
      <c r="WAT90"/>
      <c r="WAU90"/>
      <c r="WAV90"/>
      <c r="WAW90"/>
      <c r="WAX90"/>
      <c r="WAY90"/>
      <c r="WAZ90"/>
      <c r="WBA90"/>
      <c r="WBB90"/>
      <c r="WBC90"/>
      <c r="WBD90"/>
      <c r="WBE90"/>
      <c r="WBF90"/>
      <c r="WBG90"/>
      <c r="WBH90"/>
      <c r="WBI90"/>
      <c r="WBJ90"/>
      <c r="WBK90"/>
      <c r="WBL90"/>
      <c r="WBM90"/>
      <c r="WBN90"/>
      <c r="WBO90"/>
      <c r="WBP90"/>
      <c r="WBQ90"/>
      <c r="WBR90"/>
      <c r="WBS90"/>
      <c r="WBT90"/>
      <c r="WBU90"/>
      <c r="WBV90"/>
      <c r="WBW90"/>
      <c r="WBX90"/>
      <c r="WBY90"/>
      <c r="WBZ90"/>
      <c r="WCA90"/>
      <c r="WCB90"/>
      <c r="WCC90"/>
      <c r="WCD90"/>
      <c r="WCE90"/>
      <c r="WCF90"/>
      <c r="WCG90"/>
      <c r="WCH90"/>
      <c r="WCI90"/>
      <c r="WCJ90"/>
      <c r="WCK90"/>
      <c r="WCL90"/>
      <c r="WCM90"/>
      <c r="WCN90"/>
      <c r="WCO90"/>
      <c r="WCP90"/>
      <c r="WCQ90"/>
      <c r="WCR90"/>
      <c r="WCS90"/>
      <c r="WCT90"/>
      <c r="WCU90"/>
      <c r="WCV90"/>
      <c r="WCW90"/>
      <c r="WCX90"/>
      <c r="WCY90"/>
      <c r="WCZ90"/>
      <c r="WDA90"/>
      <c r="WDB90"/>
      <c r="WDC90"/>
      <c r="WDD90"/>
      <c r="WDE90"/>
      <c r="WDF90"/>
      <c r="WDG90"/>
      <c r="WDH90"/>
      <c r="WDI90"/>
      <c r="WDJ90"/>
      <c r="WDK90"/>
      <c r="WDL90"/>
      <c r="WDM90"/>
      <c r="WDN90"/>
      <c r="WDO90"/>
      <c r="WDP90"/>
      <c r="WDQ90"/>
      <c r="WDR90"/>
      <c r="WDS90"/>
      <c r="WDT90"/>
      <c r="WDU90"/>
      <c r="WDV90"/>
      <c r="WDW90"/>
      <c r="WDX90"/>
      <c r="WDY90"/>
      <c r="WDZ90"/>
      <c r="WEA90"/>
      <c r="WEB90"/>
      <c r="WEC90"/>
      <c r="WED90"/>
      <c r="WEE90"/>
      <c r="WEF90"/>
      <c r="WEG90"/>
      <c r="WEH90"/>
      <c r="WEI90"/>
      <c r="WEJ90"/>
      <c r="WEK90"/>
      <c r="WEL90"/>
      <c r="WEM90"/>
      <c r="WEN90"/>
      <c r="WEO90"/>
      <c r="WEP90"/>
      <c r="WEQ90"/>
      <c r="WER90"/>
      <c r="WES90"/>
      <c r="WET90"/>
      <c r="WEU90"/>
      <c r="WEV90"/>
      <c r="WEW90"/>
      <c r="WEX90"/>
      <c r="WEY90"/>
      <c r="WEZ90"/>
      <c r="WFA90"/>
      <c r="WFB90"/>
      <c r="WFC90"/>
      <c r="WFD90"/>
      <c r="WFE90"/>
      <c r="WFF90"/>
      <c r="WFG90"/>
      <c r="WFH90"/>
      <c r="WFI90"/>
      <c r="WFJ90"/>
      <c r="WFK90"/>
      <c r="WFL90"/>
      <c r="WFM90"/>
      <c r="WFN90"/>
      <c r="WFO90"/>
      <c r="WFP90"/>
      <c r="WFQ90"/>
      <c r="WFR90"/>
      <c r="WFS90"/>
      <c r="WFT90"/>
      <c r="WFU90"/>
      <c r="WFV90"/>
      <c r="WFW90"/>
      <c r="WFX90"/>
      <c r="WFY90"/>
      <c r="WFZ90"/>
      <c r="WGA90"/>
      <c r="WGB90"/>
      <c r="WGC90"/>
      <c r="WGD90"/>
      <c r="WGE90"/>
      <c r="WGF90"/>
      <c r="WGG90"/>
      <c r="WGH90"/>
      <c r="WGI90"/>
      <c r="WGJ90"/>
      <c r="WGK90"/>
      <c r="WGL90"/>
      <c r="WGM90"/>
      <c r="WGN90"/>
      <c r="WGO90"/>
      <c r="WGP90"/>
      <c r="WGQ90"/>
      <c r="WGR90"/>
      <c r="WGS90"/>
      <c r="WGT90"/>
      <c r="WGU90"/>
      <c r="WGV90"/>
      <c r="WGW90"/>
      <c r="WGX90"/>
      <c r="WGY90"/>
      <c r="WGZ90"/>
      <c r="WHA90"/>
      <c r="WHB90"/>
      <c r="WHC90"/>
      <c r="WHD90"/>
      <c r="WHE90"/>
      <c r="WHF90"/>
      <c r="WHG90"/>
      <c r="WHH90"/>
      <c r="WHI90"/>
      <c r="WHJ90"/>
      <c r="WHK90"/>
      <c r="WHL90"/>
      <c r="WHM90"/>
      <c r="WHN90"/>
      <c r="WHO90"/>
      <c r="WHP90"/>
      <c r="WHQ90"/>
      <c r="WHR90"/>
      <c r="WHS90"/>
      <c r="WHT90"/>
      <c r="WHU90"/>
      <c r="WHV90"/>
      <c r="WHW90"/>
      <c r="WHX90"/>
      <c r="WHY90"/>
      <c r="WHZ90"/>
      <c r="WIA90"/>
      <c r="WIB90"/>
      <c r="WIC90"/>
      <c r="WID90"/>
      <c r="WIE90"/>
      <c r="WIF90"/>
      <c r="WIG90"/>
      <c r="WIH90"/>
      <c r="WII90"/>
      <c r="WIJ90"/>
      <c r="WIK90"/>
      <c r="WIL90"/>
      <c r="WIM90"/>
      <c r="WIN90"/>
      <c r="WIO90"/>
      <c r="WIP90"/>
      <c r="WIQ90"/>
      <c r="WIR90"/>
      <c r="WIS90"/>
      <c r="WIT90"/>
      <c r="WIU90"/>
      <c r="WIV90"/>
      <c r="WIW90"/>
      <c r="WIX90"/>
      <c r="WIY90"/>
      <c r="WIZ90"/>
      <c r="WJA90"/>
      <c r="WJB90"/>
      <c r="WJC90"/>
      <c r="WJD90"/>
      <c r="WJE90"/>
      <c r="WJF90"/>
      <c r="WJG90"/>
      <c r="WJH90"/>
      <c r="WJI90"/>
      <c r="WJJ90"/>
      <c r="WJK90"/>
      <c r="WJL90"/>
      <c r="WJM90"/>
      <c r="WJN90"/>
      <c r="WJO90"/>
      <c r="WJP90"/>
      <c r="WJQ90"/>
      <c r="WJR90"/>
      <c r="WJS90"/>
      <c r="WJT90"/>
      <c r="WJU90"/>
      <c r="WJV90"/>
      <c r="WJW90"/>
      <c r="WJX90"/>
      <c r="WJY90"/>
      <c r="WJZ90"/>
      <c r="WKA90"/>
      <c r="WKB90"/>
      <c r="WKC90"/>
      <c r="WKD90"/>
      <c r="WKE90"/>
      <c r="WKF90"/>
      <c r="WKG90"/>
      <c r="WKH90"/>
      <c r="WKI90"/>
      <c r="WKJ90"/>
      <c r="WKK90"/>
      <c r="WKL90"/>
      <c r="WKM90"/>
      <c r="WKN90"/>
      <c r="WKO90"/>
      <c r="WKP90"/>
      <c r="WKQ90"/>
      <c r="WKR90"/>
      <c r="WKS90"/>
      <c r="WKT90"/>
      <c r="WKU90"/>
      <c r="WKV90"/>
      <c r="WKW90"/>
      <c r="WKX90"/>
      <c r="WKY90"/>
      <c r="WKZ90"/>
      <c r="WLA90"/>
      <c r="WLB90"/>
      <c r="WLC90"/>
      <c r="WLD90"/>
      <c r="WLE90"/>
      <c r="WLF90"/>
      <c r="WLG90"/>
      <c r="WLH90"/>
      <c r="WLI90"/>
      <c r="WLJ90"/>
      <c r="WLK90"/>
      <c r="WLL90"/>
      <c r="WLM90"/>
      <c r="WLN90"/>
      <c r="WLO90"/>
      <c r="WLP90"/>
      <c r="WLQ90"/>
      <c r="WLR90"/>
      <c r="WLS90"/>
      <c r="WLT90"/>
      <c r="WLU90"/>
      <c r="WLV90"/>
      <c r="WLW90"/>
      <c r="WLX90"/>
      <c r="WLY90"/>
      <c r="WLZ90"/>
      <c r="WMA90"/>
      <c r="WMB90"/>
      <c r="WMC90"/>
      <c r="WMD90"/>
      <c r="WME90"/>
      <c r="WMF90"/>
      <c r="WMG90"/>
      <c r="WMH90"/>
      <c r="WMI90"/>
      <c r="WMJ90"/>
      <c r="WMK90"/>
      <c r="WML90"/>
      <c r="WMM90"/>
      <c r="WMN90"/>
      <c r="WMO90"/>
      <c r="WMP90"/>
      <c r="WMQ90"/>
      <c r="WMR90"/>
      <c r="WMS90"/>
      <c r="WMT90"/>
      <c r="WMU90"/>
      <c r="WMV90"/>
      <c r="WMW90"/>
      <c r="WMX90"/>
      <c r="WMY90"/>
      <c r="WMZ90"/>
      <c r="WNA90"/>
      <c r="WNB90"/>
      <c r="WNC90"/>
      <c r="WND90"/>
      <c r="WNE90"/>
      <c r="WNF90"/>
      <c r="WNG90"/>
      <c r="WNH90"/>
      <c r="WNI90"/>
      <c r="WNJ90"/>
      <c r="WNK90"/>
      <c r="WNL90"/>
      <c r="WNM90"/>
      <c r="WNN90"/>
      <c r="WNO90"/>
      <c r="WNP90"/>
      <c r="WNQ90"/>
      <c r="WNR90"/>
      <c r="WNS90"/>
      <c r="WNT90"/>
      <c r="WNU90"/>
      <c r="WNV90"/>
      <c r="WNW90"/>
      <c r="WNX90"/>
      <c r="WNY90"/>
      <c r="WNZ90"/>
      <c r="WOA90"/>
      <c r="WOB90"/>
      <c r="WOC90"/>
      <c r="WOD90"/>
      <c r="WOE90"/>
      <c r="WOF90"/>
      <c r="WOG90"/>
      <c r="WOH90"/>
      <c r="WOI90"/>
      <c r="WOJ90"/>
      <c r="WOK90"/>
      <c r="WOL90"/>
      <c r="WOM90"/>
      <c r="WON90"/>
      <c r="WOO90"/>
      <c r="WOP90"/>
      <c r="WOQ90"/>
      <c r="WOR90"/>
      <c r="WOS90"/>
      <c r="WOT90"/>
      <c r="WOU90"/>
      <c r="WOV90"/>
      <c r="WOW90"/>
      <c r="WOX90"/>
      <c r="WOY90"/>
      <c r="WOZ90"/>
      <c r="WPA90"/>
      <c r="WPB90"/>
      <c r="WPC90"/>
      <c r="WPD90"/>
      <c r="WPE90"/>
      <c r="WPF90"/>
      <c r="WPG90"/>
      <c r="WPH90"/>
      <c r="WPI90"/>
      <c r="WPJ90"/>
      <c r="WPK90"/>
      <c r="WPL90"/>
      <c r="WPM90"/>
      <c r="WPN90"/>
      <c r="WPO90"/>
      <c r="WPP90"/>
      <c r="WPQ90"/>
      <c r="WPR90"/>
      <c r="WPS90"/>
      <c r="WPT90"/>
      <c r="WPU90"/>
      <c r="WPV90"/>
      <c r="WPW90"/>
      <c r="WPX90"/>
      <c r="WPY90"/>
      <c r="WPZ90"/>
      <c r="WQA90"/>
      <c r="WQB90"/>
      <c r="WQC90"/>
      <c r="WQD90"/>
      <c r="WQE90"/>
      <c r="WQF90"/>
      <c r="WQG90"/>
      <c r="WQH90"/>
      <c r="WQI90"/>
      <c r="WQJ90"/>
      <c r="WQK90"/>
      <c r="WQL90"/>
      <c r="WQM90"/>
      <c r="WQN90"/>
      <c r="WQO90"/>
      <c r="WQP90"/>
      <c r="WQQ90"/>
      <c r="WQR90"/>
      <c r="WQS90"/>
      <c r="WQT90"/>
      <c r="WQU90"/>
      <c r="WQV90"/>
      <c r="WQW90"/>
      <c r="WQX90"/>
      <c r="WQY90"/>
      <c r="WQZ90"/>
      <c r="WRA90"/>
      <c r="WRB90"/>
      <c r="WRC90"/>
      <c r="WRD90"/>
      <c r="WRE90"/>
      <c r="WRF90"/>
      <c r="WRG90"/>
      <c r="WRH90"/>
      <c r="WRI90"/>
      <c r="WRJ90"/>
      <c r="WRK90"/>
      <c r="WRL90"/>
      <c r="WRM90"/>
      <c r="WRN90"/>
      <c r="WRO90"/>
      <c r="WRP90"/>
      <c r="WRQ90"/>
      <c r="WRR90"/>
      <c r="WRS90"/>
      <c r="WRT90"/>
      <c r="WRU90"/>
      <c r="WRV90"/>
      <c r="WRW90"/>
      <c r="WRX90"/>
      <c r="WRY90"/>
      <c r="WRZ90"/>
      <c r="WSA90"/>
      <c r="WSB90"/>
      <c r="WSC90"/>
      <c r="WSD90"/>
      <c r="WSE90"/>
      <c r="WSF90"/>
      <c r="WSG90"/>
      <c r="WSH90"/>
      <c r="WSI90"/>
      <c r="WSJ90"/>
      <c r="WSK90"/>
      <c r="WSL90"/>
      <c r="WSM90"/>
      <c r="WSN90"/>
      <c r="WSO90"/>
      <c r="WSP90"/>
      <c r="WSQ90"/>
      <c r="WSR90"/>
      <c r="WSS90"/>
      <c r="WST90"/>
      <c r="WSU90"/>
      <c r="WSV90"/>
      <c r="WSW90"/>
      <c r="WSX90"/>
      <c r="WSY90"/>
      <c r="WSZ90"/>
      <c r="WTA90"/>
      <c r="WTB90"/>
      <c r="WTC90"/>
      <c r="WTD90"/>
      <c r="WTE90"/>
      <c r="WTF90"/>
      <c r="WTG90"/>
      <c r="WTH90"/>
      <c r="WTI90"/>
      <c r="WTJ90"/>
      <c r="WTK90"/>
      <c r="WTL90"/>
      <c r="WTM90"/>
      <c r="WTN90"/>
      <c r="WTO90"/>
      <c r="WTP90"/>
      <c r="WTQ90"/>
      <c r="WTR90"/>
      <c r="WTS90"/>
      <c r="WTT90"/>
      <c r="WTU90"/>
      <c r="WTV90"/>
      <c r="WTW90"/>
      <c r="WTX90"/>
      <c r="WTY90"/>
      <c r="WTZ90"/>
      <c r="WUA90"/>
      <c r="WUB90"/>
      <c r="WUC90"/>
      <c r="WUD90"/>
      <c r="WUE90"/>
      <c r="WUF90"/>
      <c r="WUG90"/>
      <c r="WUH90"/>
      <c r="WUI90"/>
      <c r="WUJ90"/>
      <c r="WUK90"/>
      <c r="WUL90"/>
      <c r="WUM90"/>
      <c r="WUN90"/>
      <c r="WUO90"/>
      <c r="WUP90"/>
      <c r="WUQ90"/>
      <c r="WUR90"/>
      <c r="WUS90"/>
      <c r="WUT90"/>
      <c r="WUU90"/>
      <c r="WUV90"/>
      <c r="WUW90"/>
      <c r="WUX90"/>
      <c r="WUY90"/>
      <c r="WUZ90"/>
      <c r="WVA90"/>
      <c r="WVB90"/>
      <c r="WVC90"/>
      <c r="WVD90"/>
      <c r="WVE90"/>
      <c r="WVF90"/>
      <c r="WVG90"/>
      <c r="WVH90"/>
      <c r="WVI90"/>
      <c r="WVJ90"/>
      <c r="WVK90"/>
      <c r="WVL90"/>
      <c r="WVM90"/>
      <c r="WVN90"/>
      <c r="WVO90"/>
      <c r="WVP90"/>
      <c r="WVQ90"/>
      <c r="WVR90"/>
      <c r="WVS90"/>
      <c r="WVT90"/>
      <c r="WVU90"/>
      <c r="WVV90"/>
      <c r="WVW90"/>
      <c r="WVX90"/>
      <c r="WVY90"/>
      <c r="WVZ90"/>
      <c r="WWA90"/>
      <c r="WWB90"/>
      <c r="WWC90"/>
      <c r="WWD90"/>
      <c r="WWE90"/>
      <c r="WWF90"/>
      <c r="WWG90"/>
      <c r="WWH90"/>
      <c r="WWI90"/>
      <c r="WWJ90"/>
      <c r="WWK90"/>
      <c r="WWL90"/>
      <c r="WWM90"/>
      <c r="WWN90"/>
      <c r="WWO90"/>
      <c r="WWP90"/>
      <c r="WWQ90"/>
      <c r="WWR90"/>
      <c r="WWS90"/>
      <c r="WWT90"/>
      <c r="WWU90"/>
      <c r="WWV90"/>
      <c r="WWW90"/>
      <c r="WWX90"/>
      <c r="WWY90"/>
      <c r="WWZ90"/>
      <c r="WXA90"/>
      <c r="WXB90"/>
      <c r="WXC90"/>
      <c r="WXD90"/>
      <c r="WXE90"/>
      <c r="WXF90"/>
      <c r="WXG90"/>
      <c r="WXH90"/>
      <c r="WXI90"/>
      <c r="WXJ90"/>
      <c r="WXK90"/>
      <c r="WXL90"/>
      <c r="WXM90"/>
      <c r="WXN90"/>
      <c r="WXO90"/>
      <c r="WXP90"/>
      <c r="WXQ90"/>
      <c r="WXR90"/>
      <c r="WXS90"/>
      <c r="WXT90"/>
      <c r="WXU90"/>
      <c r="WXV90"/>
      <c r="WXW90"/>
      <c r="WXX90"/>
      <c r="WXY90"/>
      <c r="WXZ90"/>
      <c r="WYA90"/>
      <c r="WYB90"/>
      <c r="WYC90"/>
      <c r="WYD90"/>
      <c r="WYE90"/>
      <c r="WYF90"/>
      <c r="WYG90"/>
      <c r="WYH90"/>
      <c r="WYI90"/>
      <c r="WYJ90"/>
      <c r="WYK90"/>
      <c r="WYL90"/>
      <c r="WYM90"/>
      <c r="WYN90"/>
      <c r="WYO90"/>
      <c r="WYP90"/>
      <c r="WYQ90"/>
      <c r="WYR90"/>
      <c r="WYS90"/>
      <c r="WYT90"/>
      <c r="WYU90"/>
      <c r="WYV90"/>
      <c r="WYW90"/>
      <c r="WYX90"/>
      <c r="WYY90"/>
      <c r="WYZ90"/>
      <c r="WZA90"/>
      <c r="WZB90"/>
      <c r="WZC90"/>
      <c r="WZD90"/>
      <c r="WZE90"/>
      <c r="WZF90"/>
      <c r="WZG90"/>
      <c r="WZH90"/>
      <c r="WZI90"/>
      <c r="WZJ90"/>
      <c r="WZK90"/>
      <c r="WZL90"/>
      <c r="WZM90"/>
      <c r="WZN90"/>
      <c r="WZO90"/>
      <c r="WZP90"/>
      <c r="WZQ90"/>
      <c r="WZR90"/>
      <c r="WZS90"/>
      <c r="WZT90"/>
      <c r="WZU90"/>
      <c r="WZV90"/>
      <c r="WZW90"/>
      <c r="WZX90"/>
      <c r="WZY90"/>
      <c r="WZZ90"/>
      <c r="XAA90"/>
      <c r="XAB90"/>
      <c r="XAC90"/>
      <c r="XAD90"/>
      <c r="XAE90"/>
      <c r="XAF90"/>
      <c r="XAG90"/>
      <c r="XAH90"/>
      <c r="XAI90"/>
      <c r="XAJ90"/>
      <c r="XAK90"/>
      <c r="XAL90"/>
      <c r="XAM90"/>
      <c r="XAN90"/>
      <c r="XAO90"/>
      <c r="XAP90"/>
      <c r="XAQ90"/>
      <c r="XAR90"/>
      <c r="XAS90"/>
      <c r="XAT90"/>
      <c r="XAU90"/>
      <c r="XAV90"/>
      <c r="XAW90"/>
      <c r="XAX90"/>
      <c r="XAY90"/>
      <c r="XAZ90"/>
      <c r="XBA90"/>
      <c r="XBB90"/>
      <c r="XBC90"/>
      <c r="XBD90"/>
      <c r="XBE90"/>
      <c r="XBF90"/>
      <c r="XBG90"/>
      <c r="XBH90"/>
      <c r="XBI90"/>
      <c r="XBJ90"/>
      <c r="XBK90"/>
      <c r="XBL90"/>
      <c r="XBM90"/>
      <c r="XBN90"/>
      <c r="XBO90"/>
      <c r="XBP90"/>
      <c r="XBQ90"/>
      <c r="XBR90"/>
      <c r="XBS90"/>
      <c r="XBT90"/>
      <c r="XBU90"/>
      <c r="XBV90"/>
      <c r="XBW90"/>
      <c r="XBX90"/>
      <c r="XBY90"/>
      <c r="XBZ90"/>
      <c r="XCA90"/>
      <c r="XCB90"/>
      <c r="XCC90"/>
      <c r="XCD90"/>
      <c r="XCE90"/>
      <c r="XCF90"/>
      <c r="XCG90"/>
      <c r="XCH90"/>
      <c r="XCI90"/>
      <c r="XCJ90"/>
      <c r="XCK90"/>
      <c r="XCL90"/>
      <c r="XCM90"/>
      <c r="XCN90"/>
      <c r="XCO90"/>
      <c r="XCP90"/>
      <c r="XCQ90"/>
      <c r="XCR90"/>
      <c r="XCS90"/>
      <c r="XCT90"/>
      <c r="XCU90"/>
      <c r="XCV90"/>
      <c r="XCW90"/>
      <c r="XCX90"/>
      <c r="XCY90"/>
      <c r="XCZ90"/>
      <c r="XDA90"/>
      <c r="XDB90"/>
      <c r="XDC90"/>
      <c r="XDD90"/>
      <c r="XDE90"/>
      <c r="XDF90"/>
      <c r="XDG90"/>
      <c r="XDH90"/>
      <c r="XDI90"/>
      <c r="XDJ90"/>
      <c r="XDK90"/>
      <c r="XDL90"/>
      <c r="XDM90"/>
      <c r="XDN90"/>
      <c r="XDO90"/>
      <c r="XDP90"/>
      <c r="XDQ90"/>
      <c r="XDR90"/>
      <c r="XDS90"/>
      <c r="XDT90"/>
      <c r="XDU90"/>
      <c r="XDV90"/>
      <c r="XDW90"/>
      <c r="XDX90"/>
      <c r="XDY90"/>
      <c r="XDZ90"/>
      <c r="XEA90"/>
      <c r="XEB90"/>
      <c r="XEC90"/>
      <c r="XED90"/>
      <c r="XEE90"/>
      <c r="XEF90"/>
      <c r="XEG90"/>
      <c r="XEH90"/>
      <c r="XEI90"/>
      <c r="XEJ90"/>
      <c r="XEK90"/>
      <c r="XEL90"/>
      <c r="XEM90"/>
      <c r="XEN90"/>
      <c r="XEO90"/>
      <c r="XEP90"/>
      <c r="XEQ90"/>
      <c r="XER90"/>
      <c r="XES90"/>
      <c r="XET90"/>
      <c r="XEU90"/>
      <c r="XEV90"/>
      <c r="XEW90"/>
      <c r="XEX90"/>
      <c r="XEY90"/>
      <c r="XEZ90"/>
      <c r="XFA90"/>
      <c r="XFB90"/>
      <c r="XFC90"/>
    </row>
    <row r="91" s="16" customFormat="1"/>
    <row r="92" s="16" customFormat="1"/>
    <row r="93" s="16" customFormat="1"/>
    <row r="94" s="16" customFormat="1"/>
    <row r="95" s="16" customFormat="1"/>
    <row r="96" s="16" customFormat="1"/>
    <row r="97" s="16" customFormat="1"/>
    <row r="98" s="16" customFormat="1"/>
    <row r="99" s="16" customFormat="1"/>
    <row r="100" s="16" customFormat="1"/>
    <row r="101" s="16" customFormat="1"/>
    <row r="102" s="16" customFormat="1"/>
    <row r="103" s="16" customFormat="1"/>
    <row r="104" s="16" customFormat="1"/>
    <row r="105" s="16" customFormat="1"/>
    <row r="106" s="16" customFormat="1"/>
    <row r="107" s="16" customFormat="1"/>
    <row r="108" s="16" customFormat="1"/>
    <row r="109" s="16" customFormat="1"/>
    <row r="110" s="16" customFormat="1"/>
    <row r="111" s="16" customFormat="1"/>
    <row r="112" s="16" customFormat="1"/>
    <row r="113" s="16" customFormat="1"/>
    <row r="114" s="16" customFormat="1"/>
    <row r="115" s="16" customFormat="1"/>
    <row r="116" s="16" customFormat="1"/>
    <row r="117" s="16" customFormat="1"/>
    <row r="118" s="16" customFormat="1"/>
    <row r="119" s="16" customFormat="1"/>
    <row r="120" s="16" customFormat="1"/>
    <row r="121" s="16" customFormat="1"/>
    <row r="122" s="16" customFormat="1"/>
    <row r="123" s="16" customFormat="1"/>
    <row r="124" s="16" customFormat="1"/>
    <row r="125" s="16" customFormat="1"/>
    <row r="126" s="16" customFormat="1"/>
    <row r="127" s="16" customFormat="1"/>
    <row r="128" s="16" customFormat="1"/>
    <row r="129" s="16" customFormat="1"/>
    <row r="130" s="16" customFormat="1"/>
    <row r="131" s="16" customFormat="1"/>
    <row r="132" s="16" customFormat="1"/>
    <row r="133" s="16" customFormat="1"/>
    <row r="134" s="16" customFormat="1"/>
    <row r="135" s="16" customFormat="1"/>
    <row r="136" s="16" customFormat="1"/>
    <row r="137" s="16" customFormat="1"/>
    <row r="138" s="16" customFormat="1"/>
    <row r="139" s="16" customFormat="1"/>
    <row r="140" s="16" customFormat="1"/>
    <row r="141" s="16" customFormat="1"/>
    <row r="142" s="16" customFormat="1"/>
    <row r="143" s="16" customFormat="1"/>
    <row r="144" s="16" customFormat="1"/>
    <row r="145" s="16" customFormat="1"/>
    <row r="146" s="16" customFormat="1"/>
    <row r="147" s="16" customFormat="1"/>
    <row r="148" s="16" customFormat="1"/>
    <row r="149" s="16" customFormat="1"/>
    <row r="150" s="16" customFormat="1"/>
    <row r="151" s="16" customFormat="1"/>
    <row r="152" s="16" customFormat="1"/>
    <row r="153" s="16" customFormat="1"/>
    <row r="154" s="16" customFormat="1"/>
    <row r="155" s="16" customFormat="1"/>
    <row r="156" s="16" customFormat="1"/>
    <row r="157" s="16" customFormat="1"/>
    <row r="158" s="16" customFormat="1"/>
    <row r="159" s="16" customFormat="1"/>
    <row r="160" s="16" customFormat="1"/>
    <row r="161" s="16" customFormat="1"/>
    <row r="162" s="16" customFormat="1"/>
    <row r="163" s="16" customFormat="1"/>
    <row r="164" s="16" customFormat="1"/>
    <row r="165" s="16" customFormat="1"/>
    <row r="166" s="16" customFormat="1"/>
    <row r="167" s="16" customFormat="1"/>
    <row r="168" s="16" customFormat="1"/>
    <row r="169" s="16" customFormat="1"/>
    <row r="170" s="16" customFormat="1"/>
    <row r="171" s="16" customFormat="1"/>
    <row r="172" s="16" customFormat="1"/>
    <row r="173" s="16" customFormat="1"/>
    <row r="174" s="16" customFormat="1"/>
    <row r="175" s="16" customFormat="1"/>
    <row r="176" s="16" customFormat="1"/>
    <row r="177" s="16" customFormat="1"/>
    <row r="178" s="16" customFormat="1"/>
    <row r="179" s="16" customFormat="1"/>
    <row r="180" s="16" customFormat="1"/>
    <row r="181" s="16" customFormat="1"/>
  </sheetData>
  <mergeCells count="10">
    <mergeCell ref="B3:E3"/>
    <mergeCell ref="D4:E4"/>
    <mergeCell ref="B38:C38"/>
    <mergeCell ref="B57:C57"/>
    <mergeCell ref="B64:C64"/>
    <mergeCell ref="B89:C89"/>
    <mergeCell ref="B90:C90"/>
    <mergeCell ref="B4:B5"/>
    <mergeCell ref="C4:C5"/>
    <mergeCell ref="B1:E2"/>
  </mergeCells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4337" r:id="rId3" name="CommandButton1">
          <controlPr defaultSize="0" r:id="rId4">
            <anchor moveWithCells="1">
              <from>
                <xdr:col>5</xdr:col>
                <xdr:colOff>381000</xdr:colOff>
                <xdr:row>0</xdr:row>
                <xdr:rowOff>409575</xdr:rowOff>
              </from>
              <to>
                <xdr:col>7</xdr:col>
                <xdr:colOff>381000</xdr:colOff>
                <xdr:row>1</xdr:row>
                <xdr:rowOff>330200</xdr:rowOff>
              </to>
            </anchor>
          </controlPr>
        </control>
      </mc:Choice>
      <mc:Fallback>
        <control shapeId="14337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I178"/>
  <sheetViews>
    <sheetView workbookViewId="0">
      <pane ySplit="5" topLeftCell="A6" activePane="bottomLeft" state="frozen"/>
      <selection/>
      <selection pane="bottomLeft" activeCell="M167" sqref="M167"/>
    </sheetView>
  </sheetViews>
  <sheetFormatPr defaultColWidth="9" defaultRowHeight="13.5"/>
  <cols>
    <col min="1" max="1" width="12.5" customWidth="1"/>
    <col min="2" max="2" width="22.5" customWidth="1"/>
    <col min="3" max="8" width="19.125" customWidth="1"/>
    <col min="9" max="9" width="17.25" style="16" customWidth="1"/>
    <col min="10" max="24" width="9" style="16"/>
  </cols>
  <sheetData>
    <row r="1" ht="35" customHeight="1" spans="1:9">
      <c r="A1" s="36" t="s">
        <v>272</v>
      </c>
      <c r="B1" s="36"/>
      <c r="C1" s="41"/>
      <c r="D1" s="41"/>
      <c r="E1" s="41"/>
      <c r="F1" s="41"/>
      <c r="G1" s="41"/>
      <c r="H1" s="41"/>
      <c r="I1" s="57"/>
    </row>
    <row r="2" ht="58" customHeight="1" spans="1:9">
      <c r="A2" s="36"/>
      <c r="B2" s="36"/>
      <c r="C2" s="41"/>
      <c r="D2" s="41"/>
      <c r="E2" s="41"/>
      <c r="F2" s="41"/>
      <c r="G2" s="41"/>
      <c r="H2" s="41"/>
      <c r="I2" s="57"/>
    </row>
    <row r="3" ht="29" customHeight="1" spans="1:8">
      <c r="A3" s="42">
        <f ca="1">NOW()</f>
        <v>43018.3304861111</v>
      </c>
      <c r="B3" s="42"/>
      <c r="C3" s="43"/>
      <c r="D3" s="43"/>
      <c r="E3" s="43"/>
      <c r="F3" s="43"/>
      <c r="G3" s="43"/>
      <c r="H3" s="43"/>
    </row>
    <row r="4" ht="23" customHeight="1" spans="1:8">
      <c r="A4" s="38" t="s">
        <v>220</v>
      </c>
      <c r="B4" s="38" t="s">
        <v>9</v>
      </c>
      <c r="C4" s="38" t="s">
        <v>253</v>
      </c>
      <c r="D4" s="38"/>
      <c r="E4" s="38" t="s">
        <v>273</v>
      </c>
      <c r="F4" s="38"/>
      <c r="G4" s="38" t="s">
        <v>274</v>
      </c>
      <c r="H4" s="38"/>
    </row>
    <row r="5" ht="23" customHeight="1" spans="1:8">
      <c r="A5" s="38"/>
      <c r="B5" s="38"/>
      <c r="C5" s="38" t="s">
        <v>275</v>
      </c>
      <c r="D5" s="38" t="s">
        <v>276</v>
      </c>
      <c r="E5" s="38" t="s">
        <v>277</v>
      </c>
      <c r="F5" s="38" t="s">
        <v>278</v>
      </c>
      <c r="G5" s="38" t="s">
        <v>275</v>
      </c>
      <c r="H5" s="38" t="s">
        <v>276</v>
      </c>
    </row>
    <row r="6" ht="23" customHeight="1" spans="1:8">
      <c r="A6" s="44">
        <v>1001</v>
      </c>
      <c r="B6" s="45" t="s">
        <v>13</v>
      </c>
      <c r="C6" s="46">
        <v>20000</v>
      </c>
      <c r="D6" s="46"/>
      <c r="E6" s="46">
        <v>335</v>
      </c>
      <c r="F6" s="46">
        <v>37280</v>
      </c>
      <c r="G6" s="46">
        <f>IF(C6+E6-D6-F6&lt;0,,C6+E6-D6-F6)</f>
        <v>0</v>
      </c>
      <c r="H6" s="46">
        <f>IF(D6+F6-C6-E6&lt;0,,D6+F6-C6-E6)</f>
        <v>16945</v>
      </c>
    </row>
    <row r="7" ht="23" customHeight="1" spans="1:8">
      <c r="A7" s="44">
        <v>1002</v>
      </c>
      <c r="B7" s="45" t="s">
        <v>14</v>
      </c>
      <c r="C7" s="46">
        <v>500000</v>
      </c>
      <c r="D7" s="46"/>
      <c r="E7" s="46">
        <v>280</v>
      </c>
      <c r="F7" s="46">
        <v>25000</v>
      </c>
      <c r="G7" s="46">
        <f t="shared" ref="G7:G38" si="0">IF(C7+E7-D7-F7&lt;0,,C7+E7-D7-F7)</f>
        <v>475280</v>
      </c>
      <c r="H7" s="46">
        <f t="shared" ref="H7:H38" si="1">IF(D7+F7-C7-E7&lt;0,,D7+F7-C7-E7)</f>
        <v>0</v>
      </c>
    </row>
    <row r="8" ht="23" customHeight="1" spans="1:8">
      <c r="A8" s="44">
        <v>1015</v>
      </c>
      <c r="B8" s="45" t="s">
        <v>21</v>
      </c>
      <c r="C8" s="46"/>
      <c r="D8" s="46"/>
      <c r="E8" s="46">
        <v>0</v>
      </c>
      <c r="F8" s="46">
        <v>0</v>
      </c>
      <c r="G8" s="46">
        <f t="shared" si="0"/>
        <v>0</v>
      </c>
      <c r="H8" s="46">
        <f t="shared" si="1"/>
        <v>0</v>
      </c>
    </row>
    <row r="9" ht="23" customHeight="1" spans="1:8">
      <c r="A9" s="44">
        <v>1121</v>
      </c>
      <c r="B9" s="45" t="s">
        <v>26</v>
      </c>
      <c r="C9" s="46"/>
      <c r="D9" s="46"/>
      <c r="E9" s="46">
        <v>0</v>
      </c>
      <c r="F9" s="46">
        <v>111</v>
      </c>
      <c r="G9" s="46">
        <f t="shared" si="0"/>
        <v>0</v>
      </c>
      <c r="H9" s="46">
        <f t="shared" si="1"/>
        <v>111</v>
      </c>
    </row>
    <row r="10" ht="23" customHeight="1" spans="1:8">
      <c r="A10" s="44">
        <v>1122</v>
      </c>
      <c r="B10" s="45" t="s">
        <v>28</v>
      </c>
      <c r="C10" s="46"/>
      <c r="D10" s="46"/>
      <c r="E10" s="46">
        <v>0</v>
      </c>
      <c r="F10" s="46">
        <v>99562</v>
      </c>
      <c r="G10" s="46">
        <f t="shared" si="0"/>
        <v>0</v>
      </c>
      <c r="H10" s="46">
        <f t="shared" si="1"/>
        <v>99562</v>
      </c>
    </row>
    <row r="11" ht="23" customHeight="1" spans="1:8">
      <c r="A11" s="44">
        <v>1123</v>
      </c>
      <c r="B11" s="45" t="s">
        <v>29</v>
      </c>
      <c r="C11" s="46"/>
      <c r="D11" s="46"/>
      <c r="E11" s="46">
        <v>0</v>
      </c>
      <c r="F11" s="46">
        <v>0</v>
      </c>
      <c r="G11" s="46">
        <f t="shared" si="0"/>
        <v>0</v>
      </c>
      <c r="H11" s="46">
        <f t="shared" si="1"/>
        <v>0</v>
      </c>
    </row>
    <row r="12" ht="23" customHeight="1" spans="1:8">
      <c r="A12" s="44">
        <v>1131</v>
      </c>
      <c r="B12" s="45" t="s">
        <v>31</v>
      </c>
      <c r="C12" s="46"/>
      <c r="D12" s="46"/>
      <c r="E12" s="46">
        <v>0</v>
      </c>
      <c r="F12" s="46">
        <v>0</v>
      </c>
      <c r="G12" s="46">
        <f t="shared" si="0"/>
        <v>0</v>
      </c>
      <c r="H12" s="46">
        <f t="shared" si="1"/>
        <v>0</v>
      </c>
    </row>
    <row r="13" ht="23" customHeight="1" spans="1:8">
      <c r="A13" s="44">
        <v>1132</v>
      </c>
      <c r="B13" s="45" t="s">
        <v>32</v>
      </c>
      <c r="C13" s="46"/>
      <c r="D13" s="46"/>
      <c r="E13" s="46">
        <v>0</v>
      </c>
      <c r="F13" s="46">
        <v>0</v>
      </c>
      <c r="G13" s="46">
        <f t="shared" si="0"/>
        <v>0</v>
      </c>
      <c r="H13" s="46">
        <f t="shared" si="1"/>
        <v>0</v>
      </c>
    </row>
    <row r="14" ht="23" customHeight="1" spans="1:8">
      <c r="A14" s="44">
        <v>1231</v>
      </c>
      <c r="B14" s="45" t="s">
        <v>36</v>
      </c>
      <c r="C14" s="46"/>
      <c r="D14" s="46"/>
      <c r="E14" s="46">
        <v>2000</v>
      </c>
      <c r="F14" s="46">
        <v>0</v>
      </c>
      <c r="G14" s="46">
        <f t="shared" si="0"/>
        <v>2000</v>
      </c>
      <c r="H14" s="46">
        <f t="shared" si="1"/>
        <v>0</v>
      </c>
    </row>
    <row r="15" ht="23" customHeight="1" spans="1:8">
      <c r="A15" s="44">
        <v>1241</v>
      </c>
      <c r="B15" s="45" t="s">
        <v>41</v>
      </c>
      <c r="C15" s="46"/>
      <c r="D15" s="46"/>
      <c r="E15" s="46">
        <v>0</v>
      </c>
      <c r="F15" s="46">
        <v>0</v>
      </c>
      <c r="G15" s="46">
        <f t="shared" si="0"/>
        <v>0</v>
      </c>
      <c r="H15" s="46">
        <f t="shared" si="1"/>
        <v>0</v>
      </c>
    </row>
    <row r="16" ht="23" customHeight="1" spans="1:8">
      <c r="A16" s="44">
        <v>1321</v>
      </c>
      <c r="B16" s="45" t="s">
        <v>47</v>
      </c>
      <c r="C16" s="46"/>
      <c r="D16" s="46"/>
      <c r="E16" s="46">
        <v>0</v>
      </c>
      <c r="F16" s="46">
        <v>0</v>
      </c>
      <c r="G16" s="46">
        <f t="shared" si="0"/>
        <v>0</v>
      </c>
      <c r="H16" s="46">
        <f t="shared" si="1"/>
        <v>0</v>
      </c>
    </row>
    <row r="17" ht="23" customHeight="1" spans="1:8">
      <c r="A17" s="44">
        <v>1401</v>
      </c>
      <c r="B17" s="45" t="s">
        <v>48</v>
      </c>
      <c r="C17" s="46"/>
      <c r="D17" s="46"/>
      <c r="E17" s="46">
        <v>0</v>
      </c>
      <c r="F17" s="46">
        <v>0</v>
      </c>
      <c r="G17" s="46">
        <f t="shared" si="0"/>
        <v>0</v>
      </c>
      <c r="H17" s="46">
        <f t="shared" si="1"/>
        <v>0</v>
      </c>
    </row>
    <row r="18" ht="23" customHeight="1" spans="1:8">
      <c r="A18" s="44">
        <v>1403</v>
      </c>
      <c r="B18" s="45" t="s">
        <v>50</v>
      </c>
      <c r="C18" s="46">
        <v>80000</v>
      </c>
      <c r="D18" s="46"/>
      <c r="E18" s="46">
        <v>0</v>
      </c>
      <c r="F18" s="46">
        <v>0</v>
      </c>
      <c r="G18" s="46">
        <f t="shared" si="0"/>
        <v>80000</v>
      </c>
      <c r="H18" s="46">
        <f t="shared" si="1"/>
        <v>0</v>
      </c>
    </row>
    <row r="19" ht="23" customHeight="1" spans="1:8">
      <c r="A19" s="44">
        <v>1404</v>
      </c>
      <c r="B19" s="45" t="s">
        <v>54</v>
      </c>
      <c r="C19" s="46"/>
      <c r="D19" s="46"/>
      <c r="E19" s="46">
        <v>0</v>
      </c>
      <c r="F19" s="46">
        <v>0</v>
      </c>
      <c r="G19" s="46">
        <f t="shared" si="0"/>
        <v>0</v>
      </c>
      <c r="H19" s="46">
        <f t="shared" si="1"/>
        <v>0</v>
      </c>
    </row>
    <row r="20" ht="23" customHeight="1" spans="1:8">
      <c r="A20" s="44">
        <v>1406</v>
      </c>
      <c r="B20" s="45" t="s">
        <v>55</v>
      </c>
      <c r="C20" s="46"/>
      <c r="D20" s="46"/>
      <c r="E20" s="46">
        <v>0</v>
      </c>
      <c r="F20" s="46">
        <v>112</v>
      </c>
      <c r="G20" s="46">
        <f t="shared" si="0"/>
        <v>0</v>
      </c>
      <c r="H20" s="46">
        <f t="shared" si="1"/>
        <v>112</v>
      </c>
    </row>
    <row r="21" ht="23" customHeight="1" spans="1:8">
      <c r="A21" s="44">
        <v>1407</v>
      </c>
      <c r="B21" s="45" t="s">
        <v>56</v>
      </c>
      <c r="C21" s="46"/>
      <c r="D21" s="46"/>
      <c r="E21" s="46">
        <v>0</v>
      </c>
      <c r="F21" s="46">
        <v>0</v>
      </c>
      <c r="G21" s="46">
        <f t="shared" si="0"/>
        <v>0</v>
      </c>
      <c r="H21" s="46">
        <f t="shared" si="1"/>
        <v>0</v>
      </c>
    </row>
    <row r="22" ht="23" customHeight="1" spans="1:8">
      <c r="A22" s="44">
        <v>1410</v>
      </c>
      <c r="B22" s="45" t="s">
        <v>57</v>
      </c>
      <c r="C22" s="46"/>
      <c r="D22" s="46"/>
      <c r="E22" s="46">
        <v>0</v>
      </c>
      <c r="F22" s="46">
        <v>0</v>
      </c>
      <c r="G22" s="46">
        <f t="shared" si="0"/>
        <v>0</v>
      </c>
      <c r="H22" s="46">
        <f t="shared" si="1"/>
        <v>0</v>
      </c>
    </row>
    <row r="23" ht="23" customHeight="1" spans="1:8">
      <c r="A23" s="44">
        <v>1411</v>
      </c>
      <c r="B23" s="45" t="s">
        <v>58</v>
      </c>
      <c r="C23" s="46"/>
      <c r="D23" s="46"/>
      <c r="E23" s="46">
        <v>0</v>
      </c>
      <c r="F23" s="46">
        <v>0</v>
      </c>
      <c r="G23" s="46">
        <f t="shared" si="0"/>
        <v>0</v>
      </c>
      <c r="H23" s="46">
        <f t="shared" si="1"/>
        <v>0</v>
      </c>
    </row>
    <row r="24" ht="23" customHeight="1" spans="1:8">
      <c r="A24" s="44">
        <v>1431</v>
      </c>
      <c r="B24" s="45" t="s">
        <v>59</v>
      </c>
      <c r="C24" s="46"/>
      <c r="D24" s="46"/>
      <c r="E24" s="46">
        <v>0</v>
      </c>
      <c r="F24" s="46">
        <v>0</v>
      </c>
      <c r="G24" s="46">
        <f t="shared" si="0"/>
        <v>0</v>
      </c>
      <c r="H24" s="46">
        <f t="shared" si="1"/>
        <v>0</v>
      </c>
    </row>
    <row r="25" ht="23" customHeight="1" spans="1:8">
      <c r="A25" s="44">
        <v>1461</v>
      </c>
      <c r="B25" s="45" t="s">
        <v>65</v>
      </c>
      <c r="C25" s="46"/>
      <c r="D25" s="46"/>
      <c r="E25" s="46">
        <v>0</v>
      </c>
      <c r="F25" s="46">
        <v>0</v>
      </c>
      <c r="G25" s="46">
        <f t="shared" si="0"/>
        <v>0</v>
      </c>
      <c r="H25" s="46">
        <f t="shared" si="1"/>
        <v>0</v>
      </c>
    </row>
    <row r="26" ht="23" customHeight="1" spans="1:8">
      <c r="A26" s="44">
        <v>1501</v>
      </c>
      <c r="B26" s="45" t="s">
        <v>258</v>
      </c>
      <c r="C26" s="46"/>
      <c r="D26" s="46"/>
      <c r="E26" s="46">
        <v>0</v>
      </c>
      <c r="F26" s="46">
        <v>0</v>
      </c>
      <c r="G26" s="46">
        <f t="shared" si="0"/>
        <v>0</v>
      </c>
      <c r="H26" s="46">
        <f t="shared" si="1"/>
        <v>0</v>
      </c>
    </row>
    <row r="27" ht="23" customHeight="1" spans="1:8">
      <c r="A27" s="44">
        <v>1601</v>
      </c>
      <c r="B27" s="45" t="s">
        <v>75</v>
      </c>
      <c r="C27" s="46">
        <v>400000</v>
      </c>
      <c r="D27" s="46"/>
      <c r="E27" s="46">
        <v>0</v>
      </c>
      <c r="F27" s="46">
        <v>0</v>
      </c>
      <c r="G27" s="46">
        <f t="shared" si="0"/>
        <v>400000</v>
      </c>
      <c r="H27" s="46">
        <f t="shared" si="1"/>
        <v>0</v>
      </c>
    </row>
    <row r="28" ht="23" customHeight="1" spans="1:8">
      <c r="A28" s="44">
        <v>1602</v>
      </c>
      <c r="B28" s="45" t="s">
        <v>77</v>
      </c>
      <c r="C28" s="46"/>
      <c r="D28" s="46"/>
      <c r="E28" s="46">
        <v>0</v>
      </c>
      <c r="F28" s="46">
        <v>0</v>
      </c>
      <c r="G28" s="46">
        <f t="shared" si="0"/>
        <v>0</v>
      </c>
      <c r="H28" s="46">
        <f t="shared" si="1"/>
        <v>0</v>
      </c>
    </row>
    <row r="29" ht="23" customHeight="1" spans="1:8">
      <c r="A29" s="44">
        <v>1603</v>
      </c>
      <c r="B29" s="45" t="s">
        <v>79</v>
      </c>
      <c r="C29" s="46"/>
      <c r="D29" s="46"/>
      <c r="E29" s="46">
        <v>0</v>
      </c>
      <c r="F29" s="46">
        <v>0</v>
      </c>
      <c r="G29" s="46">
        <f t="shared" si="0"/>
        <v>0</v>
      </c>
      <c r="H29" s="46">
        <f t="shared" si="1"/>
        <v>0</v>
      </c>
    </row>
    <row r="30" ht="23" customHeight="1" spans="1:8">
      <c r="A30" s="44">
        <v>1604</v>
      </c>
      <c r="B30" s="45" t="s">
        <v>80</v>
      </c>
      <c r="C30" s="46"/>
      <c r="D30" s="46"/>
      <c r="E30" s="46">
        <v>0</v>
      </c>
      <c r="F30" s="46">
        <v>0</v>
      </c>
      <c r="G30" s="46">
        <f t="shared" si="0"/>
        <v>0</v>
      </c>
      <c r="H30" s="46">
        <f t="shared" si="1"/>
        <v>0</v>
      </c>
    </row>
    <row r="31" ht="23" customHeight="1" spans="1:8">
      <c r="A31" s="44">
        <v>1605</v>
      </c>
      <c r="B31" s="45" t="s">
        <v>82</v>
      </c>
      <c r="C31" s="46"/>
      <c r="D31" s="46"/>
      <c r="E31" s="46">
        <v>0</v>
      </c>
      <c r="F31" s="46">
        <v>0</v>
      </c>
      <c r="G31" s="46">
        <f t="shared" si="0"/>
        <v>0</v>
      </c>
      <c r="H31" s="46">
        <f t="shared" si="1"/>
        <v>0</v>
      </c>
    </row>
    <row r="32" ht="23" customHeight="1" spans="1:8">
      <c r="A32" s="44">
        <v>1701</v>
      </c>
      <c r="B32" s="45" t="s">
        <v>90</v>
      </c>
      <c r="C32" s="46"/>
      <c r="D32" s="46"/>
      <c r="E32" s="46">
        <v>0</v>
      </c>
      <c r="F32" s="46">
        <v>0</v>
      </c>
      <c r="G32" s="46">
        <f t="shared" si="0"/>
        <v>0</v>
      </c>
      <c r="H32" s="46">
        <f t="shared" si="1"/>
        <v>0</v>
      </c>
    </row>
    <row r="33" ht="23" customHeight="1" spans="1:8">
      <c r="A33" s="44">
        <v>1702</v>
      </c>
      <c r="B33" s="45" t="s">
        <v>91</v>
      </c>
      <c r="C33" s="46"/>
      <c r="D33" s="46"/>
      <c r="E33" s="46">
        <v>0</v>
      </c>
      <c r="F33" s="46">
        <v>0</v>
      </c>
      <c r="G33" s="46">
        <f t="shared" si="0"/>
        <v>0</v>
      </c>
      <c r="H33" s="46">
        <f t="shared" si="1"/>
        <v>0</v>
      </c>
    </row>
    <row r="34" ht="23" customHeight="1" spans="1:8">
      <c r="A34" s="44">
        <v>1703</v>
      </c>
      <c r="B34" s="45" t="s">
        <v>92</v>
      </c>
      <c r="C34" s="46"/>
      <c r="D34" s="46"/>
      <c r="E34" s="46">
        <v>0</v>
      </c>
      <c r="F34" s="46">
        <v>0</v>
      </c>
      <c r="G34" s="46">
        <f t="shared" si="0"/>
        <v>0</v>
      </c>
      <c r="H34" s="46">
        <f t="shared" si="1"/>
        <v>0</v>
      </c>
    </row>
    <row r="35" ht="23" customHeight="1" spans="1:8">
      <c r="A35" s="44">
        <v>1711</v>
      </c>
      <c r="B35" s="45" t="s">
        <v>93</v>
      </c>
      <c r="C35" s="46"/>
      <c r="D35" s="46"/>
      <c r="E35" s="46">
        <v>0</v>
      </c>
      <c r="F35" s="46">
        <v>0</v>
      </c>
      <c r="G35" s="46">
        <f t="shared" si="0"/>
        <v>0</v>
      </c>
      <c r="H35" s="46">
        <f t="shared" si="1"/>
        <v>0</v>
      </c>
    </row>
    <row r="36" ht="23" customHeight="1" spans="1:8">
      <c r="A36" s="44">
        <v>1801</v>
      </c>
      <c r="B36" s="45" t="s">
        <v>94</v>
      </c>
      <c r="C36" s="46"/>
      <c r="D36" s="46"/>
      <c r="E36" s="46">
        <v>0</v>
      </c>
      <c r="F36" s="46">
        <v>0</v>
      </c>
      <c r="G36" s="46">
        <f t="shared" si="0"/>
        <v>0</v>
      </c>
      <c r="H36" s="46">
        <f t="shared" si="1"/>
        <v>0</v>
      </c>
    </row>
    <row r="37" ht="23" customHeight="1" spans="1:8">
      <c r="A37" s="44">
        <v>1901</v>
      </c>
      <c r="B37" s="45" t="s">
        <v>259</v>
      </c>
      <c r="C37" s="46"/>
      <c r="D37" s="46"/>
      <c r="E37" s="46">
        <v>0</v>
      </c>
      <c r="F37" s="46">
        <v>0</v>
      </c>
      <c r="G37" s="46">
        <f t="shared" si="0"/>
        <v>0</v>
      </c>
      <c r="H37" s="46">
        <f t="shared" si="1"/>
        <v>0</v>
      </c>
    </row>
    <row r="38" ht="23" customHeight="1" spans="1:8">
      <c r="A38" s="47" t="s">
        <v>260</v>
      </c>
      <c r="B38" s="47"/>
      <c r="C38" s="48">
        <f t="shared" ref="C38:H38" si="2">SUM(C6:C37)</f>
        <v>1000000</v>
      </c>
      <c r="D38" s="48">
        <f t="shared" si="2"/>
        <v>0</v>
      </c>
      <c r="E38" s="48">
        <f t="shared" si="2"/>
        <v>2615</v>
      </c>
      <c r="F38" s="48">
        <f t="shared" si="2"/>
        <v>162065</v>
      </c>
      <c r="G38" s="49">
        <f t="shared" si="2"/>
        <v>957280</v>
      </c>
      <c r="H38" s="49">
        <f t="shared" si="2"/>
        <v>116730</v>
      </c>
    </row>
    <row r="39" ht="23" customHeight="1" spans="1:8">
      <c r="A39" s="44">
        <v>2001</v>
      </c>
      <c r="B39" s="45" t="s">
        <v>98</v>
      </c>
      <c r="C39" s="46"/>
      <c r="D39" s="46"/>
      <c r="E39" s="46">
        <v>0</v>
      </c>
      <c r="F39" s="46">
        <v>0</v>
      </c>
      <c r="G39" s="46">
        <f t="shared" ref="G39:G70" si="3">IF(C39+E39-D39-F39&lt;0,,C39+E39-D39-F39)</f>
        <v>0</v>
      </c>
      <c r="H39" s="46">
        <f t="shared" ref="H39:H70" si="4">IF(D39+F39-C39-E39&lt;0,,D39+F39-C39-E39)</f>
        <v>0</v>
      </c>
    </row>
    <row r="40" ht="23" customHeight="1" spans="1:8">
      <c r="A40" s="44">
        <v>2201</v>
      </c>
      <c r="B40" s="45" t="s">
        <v>107</v>
      </c>
      <c r="C40" s="46"/>
      <c r="D40" s="46"/>
      <c r="E40" s="46">
        <v>0</v>
      </c>
      <c r="F40" s="46">
        <v>0</v>
      </c>
      <c r="G40" s="46">
        <f t="shared" si="3"/>
        <v>0</v>
      </c>
      <c r="H40" s="46">
        <f t="shared" si="4"/>
        <v>0</v>
      </c>
    </row>
    <row r="41" ht="23" customHeight="1" spans="1:8">
      <c r="A41" s="44">
        <v>2202</v>
      </c>
      <c r="B41" s="45" t="s">
        <v>108</v>
      </c>
      <c r="C41" s="46"/>
      <c r="D41" s="46"/>
      <c r="E41" s="46">
        <v>0</v>
      </c>
      <c r="F41" s="46">
        <v>0</v>
      </c>
      <c r="G41" s="46">
        <f t="shared" si="3"/>
        <v>0</v>
      </c>
      <c r="H41" s="46">
        <f t="shared" si="4"/>
        <v>0</v>
      </c>
    </row>
    <row r="42" ht="23" customHeight="1" spans="1:8">
      <c r="A42" s="44">
        <v>2203</v>
      </c>
      <c r="B42" s="45" t="s">
        <v>109</v>
      </c>
      <c r="C42" s="46"/>
      <c r="D42" s="46"/>
      <c r="E42" s="46">
        <v>0</v>
      </c>
      <c r="F42" s="46">
        <v>0</v>
      </c>
      <c r="G42" s="46">
        <f t="shared" si="3"/>
        <v>0</v>
      </c>
      <c r="H42" s="46">
        <f t="shared" si="4"/>
        <v>0</v>
      </c>
    </row>
    <row r="43" ht="23" customHeight="1" spans="1:8">
      <c r="A43" s="44">
        <v>2211</v>
      </c>
      <c r="B43" s="45" t="s">
        <v>110</v>
      </c>
      <c r="C43" s="46"/>
      <c r="D43" s="46"/>
      <c r="E43" s="46">
        <v>35000</v>
      </c>
      <c r="F43" s="46">
        <v>0</v>
      </c>
      <c r="G43" s="46">
        <f t="shared" si="3"/>
        <v>35000</v>
      </c>
      <c r="H43" s="46">
        <f t="shared" si="4"/>
        <v>0</v>
      </c>
    </row>
    <row r="44" ht="23" customHeight="1" spans="1:8">
      <c r="A44" s="44">
        <v>2221</v>
      </c>
      <c r="B44" s="45" t="s">
        <v>111</v>
      </c>
      <c r="C44" s="46"/>
      <c r="D44" s="46"/>
      <c r="E44" s="46">
        <v>25000</v>
      </c>
      <c r="F44" s="46">
        <v>16550</v>
      </c>
      <c r="G44" s="46">
        <f t="shared" si="3"/>
        <v>8450</v>
      </c>
      <c r="H44" s="46">
        <f t="shared" si="4"/>
        <v>0</v>
      </c>
    </row>
    <row r="45" ht="23" customHeight="1" spans="1:8">
      <c r="A45" s="44">
        <v>2231</v>
      </c>
      <c r="B45" s="45" t="s">
        <v>117</v>
      </c>
      <c r="C45" s="46"/>
      <c r="D45" s="46"/>
      <c r="E45" s="46">
        <v>0</v>
      </c>
      <c r="F45" s="46">
        <v>0</v>
      </c>
      <c r="G45" s="46">
        <f t="shared" si="3"/>
        <v>0</v>
      </c>
      <c r="H45" s="46">
        <f t="shared" si="4"/>
        <v>0</v>
      </c>
    </row>
    <row r="46" ht="23" customHeight="1" spans="1:8">
      <c r="A46" s="44">
        <v>2232</v>
      </c>
      <c r="B46" s="45" t="s">
        <v>116</v>
      </c>
      <c r="C46" s="46"/>
      <c r="D46" s="46"/>
      <c r="E46" s="46">
        <v>0</v>
      </c>
      <c r="F46" s="46">
        <v>0</v>
      </c>
      <c r="G46" s="46">
        <f t="shared" si="3"/>
        <v>0</v>
      </c>
      <c r="H46" s="46">
        <f t="shared" si="4"/>
        <v>0</v>
      </c>
    </row>
    <row r="47" ht="23" customHeight="1" spans="1:8">
      <c r="A47" s="44">
        <v>2241</v>
      </c>
      <c r="B47" s="45" t="s">
        <v>118</v>
      </c>
      <c r="C47" s="46"/>
      <c r="D47" s="46"/>
      <c r="E47" s="46">
        <v>0</v>
      </c>
      <c r="F47" s="46">
        <v>0</v>
      </c>
      <c r="G47" s="46">
        <f t="shared" si="3"/>
        <v>0</v>
      </c>
      <c r="H47" s="46">
        <f t="shared" si="4"/>
        <v>0</v>
      </c>
    </row>
    <row r="48" ht="23" customHeight="1" spans="1:8">
      <c r="A48" s="44">
        <v>2401</v>
      </c>
      <c r="B48" s="45" t="s">
        <v>261</v>
      </c>
      <c r="C48" s="46"/>
      <c r="D48" s="46"/>
      <c r="E48" s="46">
        <v>0</v>
      </c>
      <c r="F48" s="46">
        <v>0</v>
      </c>
      <c r="G48" s="46">
        <f t="shared" si="3"/>
        <v>0</v>
      </c>
      <c r="H48" s="46">
        <f t="shared" si="4"/>
        <v>0</v>
      </c>
    </row>
    <row r="49" ht="23" customHeight="1" spans="1:8">
      <c r="A49" s="44">
        <v>2411</v>
      </c>
      <c r="B49" s="45" t="s">
        <v>135</v>
      </c>
      <c r="C49" s="46"/>
      <c r="D49" s="46"/>
      <c r="E49" s="46">
        <v>0</v>
      </c>
      <c r="F49" s="46">
        <v>0</v>
      </c>
      <c r="G49" s="46">
        <f t="shared" si="3"/>
        <v>0</v>
      </c>
      <c r="H49" s="46">
        <f t="shared" si="4"/>
        <v>0</v>
      </c>
    </row>
    <row r="50" ht="23" customHeight="1" spans="1:8">
      <c r="A50" s="44">
        <v>2501</v>
      </c>
      <c r="B50" s="45" t="s">
        <v>125</v>
      </c>
      <c r="C50" s="46"/>
      <c r="D50" s="46"/>
      <c r="E50" s="46">
        <v>0</v>
      </c>
      <c r="F50" s="46">
        <v>0</v>
      </c>
      <c r="G50" s="46">
        <f t="shared" si="3"/>
        <v>0</v>
      </c>
      <c r="H50" s="46">
        <f t="shared" si="4"/>
        <v>0</v>
      </c>
    </row>
    <row r="51" ht="23" customHeight="1" spans="1:8">
      <c r="A51" s="44">
        <v>2601</v>
      </c>
      <c r="B51" s="45" t="s">
        <v>126</v>
      </c>
      <c r="C51" s="46"/>
      <c r="D51" s="46"/>
      <c r="E51" s="46">
        <v>0</v>
      </c>
      <c r="F51" s="46">
        <v>0</v>
      </c>
      <c r="G51" s="46">
        <f t="shared" si="3"/>
        <v>0</v>
      </c>
      <c r="H51" s="46">
        <f t="shared" si="4"/>
        <v>0</v>
      </c>
    </row>
    <row r="52" ht="23" customHeight="1" spans="1:8">
      <c r="A52" s="44">
        <v>2602</v>
      </c>
      <c r="B52" s="45" t="s">
        <v>262</v>
      </c>
      <c r="C52" s="46"/>
      <c r="D52" s="46"/>
      <c r="E52" s="46">
        <v>0</v>
      </c>
      <c r="F52" s="46">
        <v>0</v>
      </c>
      <c r="G52" s="46">
        <f t="shared" si="3"/>
        <v>0</v>
      </c>
      <c r="H52" s="46">
        <f t="shared" si="4"/>
        <v>0</v>
      </c>
    </row>
    <row r="53" ht="23" customHeight="1" spans="1:8">
      <c r="A53" s="44">
        <v>2801</v>
      </c>
      <c r="B53" s="45" t="s">
        <v>132</v>
      </c>
      <c r="C53" s="46"/>
      <c r="D53" s="46"/>
      <c r="E53" s="46">
        <v>0</v>
      </c>
      <c r="F53" s="46">
        <v>0</v>
      </c>
      <c r="G53" s="46">
        <f t="shared" si="3"/>
        <v>0</v>
      </c>
      <c r="H53" s="46">
        <f t="shared" si="4"/>
        <v>0</v>
      </c>
    </row>
    <row r="54" ht="23" customHeight="1" spans="1:8">
      <c r="A54" s="44">
        <v>2802</v>
      </c>
      <c r="B54" s="45" t="s">
        <v>133</v>
      </c>
      <c r="C54" s="46"/>
      <c r="D54" s="46"/>
      <c r="E54" s="46">
        <v>0</v>
      </c>
      <c r="F54" s="46">
        <v>0</v>
      </c>
      <c r="G54" s="46">
        <f t="shared" si="3"/>
        <v>0</v>
      </c>
      <c r="H54" s="46">
        <f t="shared" si="4"/>
        <v>0</v>
      </c>
    </row>
    <row r="55" ht="23" customHeight="1" spans="1:8">
      <c r="A55" s="44">
        <v>2811</v>
      </c>
      <c r="B55" s="45" t="s">
        <v>134</v>
      </c>
      <c r="C55" s="46"/>
      <c r="D55" s="46"/>
      <c r="E55" s="46">
        <v>0</v>
      </c>
      <c r="F55" s="46">
        <v>0</v>
      </c>
      <c r="G55" s="46">
        <f t="shared" si="3"/>
        <v>0</v>
      </c>
      <c r="H55" s="46">
        <f t="shared" si="4"/>
        <v>0</v>
      </c>
    </row>
    <row r="56" ht="23" customHeight="1" spans="1:8">
      <c r="A56" s="44">
        <v>2901</v>
      </c>
      <c r="B56" s="45" t="s">
        <v>136</v>
      </c>
      <c r="C56" s="46"/>
      <c r="D56" s="46"/>
      <c r="E56" s="46">
        <v>0</v>
      </c>
      <c r="F56" s="46">
        <v>0</v>
      </c>
      <c r="G56" s="46">
        <f t="shared" si="3"/>
        <v>0</v>
      </c>
      <c r="H56" s="46">
        <f t="shared" si="4"/>
        <v>0</v>
      </c>
    </row>
    <row r="57" ht="23" customHeight="1" spans="1:8">
      <c r="A57" s="50" t="s">
        <v>263</v>
      </c>
      <c r="B57" s="50"/>
      <c r="C57" s="51">
        <f t="shared" ref="C57:H57" si="5">SUM(C39:C56)</f>
        <v>0</v>
      </c>
      <c r="D57" s="51">
        <f t="shared" si="5"/>
        <v>0</v>
      </c>
      <c r="E57" s="51">
        <f t="shared" si="5"/>
        <v>60000</v>
      </c>
      <c r="F57" s="51">
        <f t="shared" si="5"/>
        <v>16550</v>
      </c>
      <c r="G57" s="52">
        <f t="shared" si="5"/>
        <v>43450</v>
      </c>
      <c r="H57" s="52">
        <f t="shared" si="5"/>
        <v>0</v>
      </c>
    </row>
    <row r="58" ht="23" customHeight="1" spans="1:8">
      <c r="A58" s="44">
        <v>4001</v>
      </c>
      <c r="B58" s="45" t="s">
        <v>264</v>
      </c>
      <c r="C58" s="46"/>
      <c r="D58" s="46">
        <v>1000000</v>
      </c>
      <c r="E58" s="53">
        <v>0</v>
      </c>
      <c r="F58" s="46">
        <v>0</v>
      </c>
      <c r="G58" s="46">
        <f>IF(C58+E58-D58-F58&lt;0,,C58+E58-D58-F58)</f>
        <v>0</v>
      </c>
      <c r="H58" s="46">
        <f>IF(D58+F58-C58-E58&lt;0,,D58+F58-C58-E58)</f>
        <v>1000000</v>
      </c>
    </row>
    <row r="59" ht="23" customHeight="1" spans="1:8">
      <c r="A59" s="44">
        <v>4002</v>
      </c>
      <c r="B59" s="45" t="s">
        <v>143</v>
      </c>
      <c r="C59" s="46"/>
      <c r="D59" s="46"/>
      <c r="E59" s="46">
        <v>0</v>
      </c>
      <c r="F59" s="46">
        <v>0</v>
      </c>
      <c r="G59" s="46">
        <f>IF(C59+E59-D59-F59&lt;0,,C59+E59-D59-F59)</f>
        <v>0</v>
      </c>
      <c r="H59" s="46">
        <f t="shared" si="4"/>
        <v>0</v>
      </c>
    </row>
    <row r="60" ht="23" customHeight="1" spans="1:8">
      <c r="A60" s="44">
        <v>4101</v>
      </c>
      <c r="B60" s="45" t="s">
        <v>144</v>
      </c>
      <c r="C60" s="46"/>
      <c r="D60" s="46"/>
      <c r="E60" s="46">
        <v>0</v>
      </c>
      <c r="F60" s="46">
        <v>0</v>
      </c>
      <c r="G60" s="46">
        <f t="shared" si="3"/>
        <v>0</v>
      </c>
      <c r="H60" s="46">
        <f t="shared" si="4"/>
        <v>0</v>
      </c>
    </row>
    <row r="61" ht="23" customHeight="1" spans="1:8">
      <c r="A61" s="44">
        <v>4103</v>
      </c>
      <c r="B61" s="45" t="s">
        <v>146</v>
      </c>
      <c r="C61" s="46"/>
      <c r="D61" s="46"/>
      <c r="E61" s="46">
        <v>0</v>
      </c>
      <c r="F61" s="46">
        <v>0</v>
      </c>
      <c r="G61" s="46">
        <f t="shared" si="3"/>
        <v>0</v>
      </c>
      <c r="H61" s="46">
        <f t="shared" si="4"/>
        <v>0</v>
      </c>
    </row>
    <row r="62" ht="23" customHeight="1" spans="1:8">
      <c r="A62" s="44">
        <v>4104</v>
      </c>
      <c r="B62" s="45" t="s">
        <v>147</v>
      </c>
      <c r="C62" s="46"/>
      <c r="D62" s="46"/>
      <c r="E62" s="46">
        <v>0</v>
      </c>
      <c r="F62" s="46">
        <v>0</v>
      </c>
      <c r="G62" s="46">
        <f t="shared" si="3"/>
        <v>0</v>
      </c>
      <c r="H62" s="46">
        <f t="shared" si="4"/>
        <v>0</v>
      </c>
    </row>
    <row r="63" ht="23" customHeight="1" spans="1:8">
      <c r="A63" s="44">
        <v>4201</v>
      </c>
      <c r="B63" s="45" t="s">
        <v>148</v>
      </c>
      <c r="C63" s="46"/>
      <c r="D63" s="46"/>
      <c r="E63" s="46">
        <v>0</v>
      </c>
      <c r="F63" s="46">
        <v>0</v>
      </c>
      <c r="G63" s="46">
        <f t="shared" si="3"/>
        <v>0</v>
      </c>
      <c r="H63" s="46">
        <f t="shared" si="4"/>
        <v>0</v>
      </c>
    </row>
    <row r="64" ht="23" customHeight="1" spans="1:8">
      <c r="A64" s="54" t="s">
        <v>265</v>
      </c>
      <c r="B64" s="54"/>
      <c r="C64" s="55">
        <f t="shared" ref="C64:H64" si="6">SUM(C58:C63)</f>
        <v>0</v>
      </c>
      <c r="D64" s="55">
        <f t="shared" si="6"/>
        <v>1000000</v>
      </c>
      <c r="E64" s="55">
        <f t="shared" si="6"/>
        <v>0</v>
      </c>
      <c r="F64" s="55">
        <f t="shared" si="6"/>
        <v>0</v>
      </c>
      <c r="G64" s="56">
        <f t="shared" si="6"/>
        <v>0</v>
      </c>
      <c r="H64" s="56">
        <f t="shared" si="6"/>
        <v>1000000</v>
      </c>
    </row>
    <row r="65" ht="23" customHeight="1" spans="1:8">
      <c r="A65" s="44">
        <v>5001</v>
      </c>
      <c r="B65" s="45" t="s">
        <v>149</v>
      </c>
      <c r="C65" s="46"/>
      <c r="D65" s="46"/>
      <c r="E65" s="46">
        <v>0</v>
      </c>
      <c r="F65" s="46">
        <v>0</v>
      </c>
      <c r="G65" s="46">
        <f t="shared" si="3"/>
        <v>0</v>
      </c>
      <c r="H65" s="46">
        <f t="shared" si="4"/>
        <v>0</v>
      </c>
    </row>
    <row r="66" ht="23" customHeight="1" spans="1:8">
      <c r="A66" s="44">
        <v>5101</v>
      </c>
      <c r="B66" s="45" t="s">
        <v>152</v>
      </c>
      <c r="C66" s="46"/>
      <c r="D66" s="46"/>
      <c r="E66" s="46">
        <v>0</v>
      </c>
      <c r="F66" s="46">
        <v>0</v>
      </c>
      <c r="G66" s="46">
        <f t="shared" si="3"/>
        <v>0</v>
      </c>
      <c r="H66" s="46">
        <f t="shared" si="4"/>
        <v>0</v>
      </c>
    </row>
    <row r="67" ht="23" customHeight="1" spans="1:8">
      <c r="A67" s="44">
        <v>5201</v>
      </c>
      <c r="B67" s="45" t="s">
        <v>157</v>
      </c>
      <c r="C67" s="46"/>
      <c r="D67" s="46"/>
      <c r="E67" s="46">
        <v>0</v>
      </c>
      <c r="F67" s="46">
        <v>0</v>
      </c>
      <c r="G67" s="46">
        <f t="shared" si="3"/>
        <v>0</v>
      </c>
      <c r="H67" s="46">
        <f t="shared" si="4"/>
        <v>0</v>
      </c>
    </row>
    <row r="68" ht="23" customHeight="1" spans="1:8">
      <c r="A68" s="44">
        <v>5301</v>
      </c>
      <c r="B68" s="45" t="s">
        <v>158</v>
      </c>
      <c r="C68" s="46"/>
      <c r="D68" s="46"/>
      <c r="E68" s="46">
        <v>0</v>
      </c>
      <c r="F68" s="46">
        <v>0</v>
      </c>
      <c r="G68" s="46">
        <f t="shared" si="3"/>
        <v>0</v>
      </c>
      <c r="H68" s="46">
        <f t="shared" si="4"/>
        <v>0</v>
      </c>
    </row>
    <row r="69" ht="23" customHeight="1" spans="1:8">
      <c r="A69" s="44">
        <v>6001</v>
      </c>
      <c r="B69" s="45" t="s">
        <v>162</v>
      </c>
      <c r="C69" s="46"/>
      <c r="D69" s="46"/>
      <c r="E69" s="46">
        <v>116000</v>
      </c>
      <c r="F69" s="46">
        <v>0</v>
      </c>
      <c r="G69" s="46">
        <f t="shared" si="3"/>
        <v>116000</v>
      </c>
      <c r="H69" s="46">
        <f t="shared" si="4"/>
        <v>0</v>
      </c>
    </row>
    <row r="70" ht="23" customHeight="1" spans="1:8">
      <c r="A70" s="44">
        <v>6051</v>
      </c>
      <c r="B70" s="45" t="s">
        <v>167</v>
      </c>
      <c r="C70" s="46"/>
      <c r="D70" s="46"/>
      <c r="E70" s="46">
        <v>0</v>
      </c>
      <c r="F70" s="46">
        <v>0</v>
      </c>
      <c r="G70" s="46">
        <f t="shared" si="3"/>
        <v>0</v>
      </c>
      <c r="H70" s="46">
        <f t="shared" si="4"/>
        <v>0</v>
      </c>
    </row>
    <row r="71" ht="23" customHeight="1" spans="1:8">
      <c r="A71" s="44">
        <v>6101</v>
      </c>
      <c r="B71" s="45" t="s">
        <v>169</v>
      </c>
      <c r="C71" s="46"/>
      <c r="D71" s="46"/>
      <c r="E71" s="46">
        <v>0</v>
      </c>
      <c r="F71" s="46">
        <v>0</v>
      </c>
      <c r="G71" s="46">
        <f t="shared" ref="G71:G89" si="7">IF(C71+E71-D71-F71&lt;0,,C71+E71-D71-F71)</f>
        <v>0</v>
      </c>
      <c r="H71" s="46">
        <f t="shared" ref="H71:H90" si="8">IF(D71+F71-C71-E71&lt;0,,D71+F71-C71-E71)</f>
        <v>0</v>
      </c>
    </row>
    <row r="72" ht="23" customHeight="1" spans="1:8">
      <c r="A72" s="44">
        <v>6111</v>
      </c>
      <c r="B72" s="45" t="s">
        <v>170</v>
      </c>
      <c r="C72" s="46"/>
      <c r="D72" s="46"/>
      <c r="E72" s="46">
        <v>0</v>
      </c>
      <c r="F72" s="46">
        <v>0</v>
      </c>
      <c r="G72" s="46">
        <f t="shared" si="7"/>
        <v>0</v>
      </c>
      <c r="H72" s="46">
        <f t="shared" si="8"/>
        <v>0</v>
      </c>
    </row>
    <row r="73" ht="23" customHeight="1" spans="1:8">
      <c r="A73" s="44">
        <v>6301</v>
      </c>
      <c r="B73" s="45" t="s">
        <v>174</v>
      </c>
      <c r="C73" s="46"/>
      <c r="D73" s="46"/>
      <c r="E73" s="46">
        <v>0</v>
      </c>
      <c r="F73" s="46">
        <v>0</v>
      </c>
      <c r="G73" s="46">
        <f t="shared" si="7"/>
        <v>0</v>
      </c>
      <c r="H73" s="46">
        <f t="shared" si="8"/>
        <v>0</v>
      </c>
    </row>
    <row r="74" ht="23" customHeight="1" spans="1:8">
      <c r="A74" s="44">
        <v>6401</v>
      </c>
      <c r="B74" s="45" t="s">
        <v>175</v>
      </c>
      <c r="C74" s="46"/>
      <c r="D74" s="46"/>
      <c r="E74" s="46">
        <v>0</v>
      </c>
      <c r="F74" s="46">
        <v>0</v>
      </c>
      <c r="G74" s="46">
        <f t="shared" si="7"/>
        <v>0</v>
      </c>
      <c r="H74" s="46">
        <f t="shared" si="8"/>
        <v>0</v>
      </c>
    </row>
    <row r="75" ht="23" customHeight="1" spans="1:8">
      <c r="A75" s="44">
        <v>6403</v>
      </c>
      <c r="B75" s="45" t="s">
        <v>177</v>
      </c>
      <c r="C75" s="46"/>
      <c r="D75" s="46"/>
      <c r="E75" s="46">
        <v>0</v>
      </c>
      <c r="F75" s="46">
        <v>0</v>
      </c>
      <c r="G75" s="46">
        <f t="shared" si="7"/>
        <v>0</v>
      </c>
      <c r="H75" s="46">
        <f t="shared" si="8"/>
        <v>0</v>
      </c>
    </row>
    <row r="76" ht="23" customHeight="1" spans="1:8">
      <c r="A76" s="44">
        <v>6601</v>
      </c>
      <c r="B76" s="45" t="s">
        <v>187</v>
      </c>
      <c r="C76" s="46"/>
      <c r="D76" s="46"/>
      <c r="E76" s="46">
        <v>0</v>
      </c>
      <c r="F76" s="46">
        <v>0</v>
      </c>
      <c r="G76" s="46">
        <f t="shared" si="7"/>
        <v>0</v>
      </c>
      <c r="H76" s="46">
        <f t="shared" si="8"/>
        <v>0</v>
      </c>
    </row>
    <row r="77" ht="23" customHeight="1" spans="1:8">
      <c r="A77" s="44">
        <v>6602</v>
      </c>
      <c r="B77" s="45" t="s">
        <v>192</v>
      </c>
      <c r="C77" s="46"/>
      <c r="D77" s="46"/>
      <c r="E77" s="46">
        <v>0</v>
      </c>
      <c r="F77" s="46">
        <v>0</v>
      </c>
      <c r="G77" s="46">
        <f t="shared" si="7"/>
        <v>0</v>
      </c>
      <c r="H77" s="46">
        <f t="shared" si="8"/>
        <v>0</v>
      </c>
    </row>
    <row r="78" ht="23" customHeight="1" spans="1:8">
      <c r="A78" s="44">
        <v>6603</v>
      </c>
      <c r="B78" s="45" t="s">
        <v>194</v>
      </c>
      <c r="C78" s="46"/>
      <c r="D78" s="46"/>
      <c r="E78" s="46">
        <v>0</v>
      </c>
      <c r="F78" s="46">
        <v>0</v>
      </c>
      <c r="G78" s="46">
        <f t="shared" si="7"/>
        <v>0</v>
      </c>
      <c r="H78" s="46">
        <f t="shared" si="8"/>
        <v>0</v>
      </c>
    </row>
    <row r="79" ht="23" customHeight="1" spans="1:8">
      <c r="A79" s="44">
        <v>660301</v>
      </c>
      <c r="B79" s="45" t="s">
        <v>266</v>
      </c>
      <c r="C79" s="46"/>
      <c r="D79" s="46"/>
      <c r="E79" s="46">
        <v>0</v>
      </c>
      <c r="F79" s="46">
        <v>0</v>
      </c>
      <c r="G79" s="46">
        <f t="shared" si="7"/>
        <v>0</v>
      </c>
      <c r="H79" s="46">
        <f t="shared" si="8"/>
        <v>0</v>
      </c>
    </row>
    <row r="80" ht="23" customHeight="1" spans="1:8">
      <c r="A80" s="44">
        <v>660302</v>
      </c>
      <c r="B80" s="45" t="s">
        <v>267</v>
      </c>
      <c r="C80" s="46"/>
      <c r="D80" s="46"/>
      <c r="E80" s="46">
        <v>0</v>
      </c>
      <c r="F80" s="46">
        <v>0</v>
      </c>
      <c r="G80" s="46">
        <f t="shared" si="7"/>
        <v>0</v>
      </c>
      <c r="H80" s="46">
        <f t="shared" si="8"/>
        <v>0</v>
      </c>
    </row>
    <row r="81" ht="23" customHeight="1" spans="1:8">
      <c r="A81" s="44">
        <v>660303</v>
      </c>
      <c r="B81" s="45" t="s">
        <v>168</v>
      </c>
      <c r="C81" s="46"/>
      <c r="D81" s="46"/>
      <c r="E81" s="46">
        <v>0</v>
      </c>
      <c r="F81" s="46">
        <v>0</v>
      </c>
      <c r="G81" s="46">
        <f t="shared" si="7"/>
        <v>0</v>
      </c>
      <c r="H81" s="46">
        <f t="shared" si="8"/>
        <v>0</v>
      </c>
    </row>
    <row r="82" ht="23" customHeight="1" spans="1:8">
      <c r="A82" s="44">
        <v>6604</v>
      </c>
      <c r="B82" s="45" t="s">
        <v>198</v>
      </c>
      <c r="C82" s="46"/>
      <c r="D82" s="46"/>
      <c r="E82" s="46">
        <v>0</v>
      </c>
      <c r="F82" s="46">
        <v>0</v>
      </c>
      <c r="G82" s="46">
        <f t="shared" si="7"/>
        <v>0</v>
      </c>
      <c r="H82" s="46">
        <f t="shared" si="8"/>
        <v>0</v>
      </c>
    </row>
    <row r="83" ht="23" customHeight="1" spans="1:8">
      <c r="A83" s="44">
        <v>6701</v>
      </c>
      <c r="B83" s="45" t="s">
        <v>199</v>
      </c>
      <c r="C83" s="46"/>
      <c r="D83" s="46"/>
      <c r="E83" s="46">
        <v>0</v>
      </c>
      <c r="F83" s="46">
        <v>0</v>
      </c>
      <c r="G83" s="46">
        <f t="shared" si="7"/>
        <v>0</v>
      </c>
      <c r="H83" s="46">
        <f t="shared" si="8"/>
        <v>0</v>
      </c>
    </row>
    <row r="84" ht="23" customHeight="1" spans="1:8">
      <c r="A84" s="44">
        <v>6711</v>
      </c>
      <c r="B84" s="45" t="s">
        <v>200</v>
      </c>
      <c r="C84" s="46"/>
      <c r="D84" s="46"/>
      <c r="E84" s="46">
        <v>0</v>
      </c>
      <c r="F84" s="46">
        <v>0</v>
      </c>
      <c r="G84" s="46">
        <f t="shared" si="7"/>
        <v>0</v>
      </c>
      <c r="H84" s="46">
        <f t="shared" si="8"/>
        <v>0</v>
      </c>
    </row>
    <row r="85" ht="23" customHeight="1" spans="1:8">
      <c r="A85" s="44">
        <v>671101</v>
      </c>
      <c r="B85" s="45" t="s">
        <v>268</v>
      </c>
      <c r="C85" s="46"/>
      <c r="D85" s="46"/>
      <c r="E85" s="46">
        <v>0</v>
      </c>
      <c r="F85" s="46">
        <v>0</v>
      </c>
      <c r="G85" s="46">
        <f t="shared" si="7"/>
        <v>0</v>
      </c>
      <c r="H85" s="46">
        <f t="shared" si="8"/>
        <v>0</v>
      </c>
    </row>
    <row r="86" ht="23" customHeight="1" spans="1:8">
      <c r="A86" s="44">
        <v>671102</v>
      </c>
      <c r="B86" s="45" t="s">
        <v>269</v>
      </c>
      <c r="C86" s="46"/>
      <c r="D86" s="46"/>
      <c r="E86" s="46">
        <v>0</v>
      </c>
      <c r="F86" s="46">
        <v>0</v>
      </c>
      <c r="G86" s="46">
        <f t="shared" si="7"/>
        <v>0</v>
      </c>
      <c r="H86" s="46">
        <f t="shared" si="8"/>
        <v>0</v>
      </c>
    </row>
    <row r="87" ht="23" customHeight="1" spans="1:8">
      <c r="A87" s="44">
        <v>6801</v>
      </c>
      <c r="B87" s="45" t="s">
        <v>270</v>
      </c>
      <c r="C87" s="46"/>
      <c r="D87" s="46"/>
      <c r="E87" s="46">
        <v>0</v>
      </c>
      <c r="F87" s="46">
        <v>0</v>
      </c>
      <c r="G87" s="46">
        <f t="shared" si="7"/>
        <v>0</v>
      </c>
      <c r="H87" s="46">
        <f t="shared" si="8"/>
        <v>0</v>
      </c>
    </row>
    <row r="88" ht="23" customHeight="1" spans="1:8">
      <c r="A88" s="44">
        <v>6901</v>
      </c>
      <c r="B88" s="45" t="s">
        <v>204</v>
      </c>
      <c r="C88" s="46"/>
      <c r="D88" s="46"/>
      <c r="E88" s="46">
        <v>0</v>
      </c>
      <c r="F88" s="46">
        <v>0</v>
      </c>
      <c r="G88" s="46">
        <f t="shared" si="7"/>
        <v>0</v>
      </c>
      <c r="H88" s="46">
        <f t="shared" si="8"/>
        <v>0</v>
      </c>
    </row>
    <row r="89" ht="23" customHeight="1" spans="1:8">
      <c r="A89" s="58" t="s">
        <v>271</v>
      </c>
      <c r="B89" s="58"/>
      <c r="C89" s="59">
        <f t="shared" ref="C89:F89" si="9">SUM(C65:C88)</f>
        <v>0</v>
      </c>
      <c r="D89" s="59">
        <f t="shared" si="9"/>
        <v>0</v>
      </c>
      <c r="E89" s="59">
        <f t="shared" si="9"/>
        <v>116000</v>
      </c>
      <c r="F89" s="59">
        <f t="shared" si="9"/>
        <v>0</v>
      </c>
      <c r="G89" s="60">
        <f t="shared" si="7"/>
        <v>116000</v>
      </c>
      <c r="H89" s="60">
        <f t="shared" si="8"/>
        <v>0</v>
      </c>
    </row>
    <row r="90" ht="23" customHeight="1" spans="1:8">
      <c r="A90" s="61" t="s">
        <v>279</v>
      </c>
      <c r="B90" s="61"/>
      <c r="C90" s="62">
        <f t="shared" ref="C90:H90" si="10">SUM(C89,C64,C57,C38)</f>
        <v>1000000</v>
      </c>
      <c r="D90" s="62">
        <f t="shared" si="10"/>
        <v>1000000</v>
      </c>
      <c r="E90" s="62">
        <f t="shared" si="10"/>
        <v>178615</v>
      </c>
      <c r="F90" s="62">
        <f t="shared" si="10"/>
        <v>178615</v>
      </c>
      <c r="G90" s="62">
        <f t="shared" si="10"/>
        <v>1116730</v>
      </c>
      <c r="H90" s="63">
        <f t="shared" si="10"/>
        <v>1116730</v>
      </c>
    </row>
    <row r="91" s="16" customFormat="1"/>
    <row r="92" s="16" customFormat="1"/>
    <row r="93" s="16" customFormat="1"/>
    <row r="94" s="16" customFormat="1"/>
    <row r="95" s="16" customFormat="1"/>
    <row r="96" s="16" customFormat="1"/>
    <row r="97" s="16" customFormat="1"/>
    <row r="98" s="16" customFormat="1"/>
    <row r="99" s="16" customFormat="1"/>
    <row r="100" s="16" customFormat="1"/>
    <row r="101" s="16" customFormat="1"/>
    <row r="102" s="16" customFormat="1"/>
    <row r="103" s="16" customFormat="1"/>
    <row r="104" s="16" customFormat="1"/>
    <row r="105" s="16" customFormat="1"/>
    <row r="106" s="16" customFormat="1"/>
    <row r="107" s="16" customFormat="1"/>
    <row r="108" s="16" customFormat="1"/>
    <row r="109" s="16" customFormat="1"/>
    <row r="110" s="16" customFormat="1"/>
    <row r="111" s="16" customFormat="1"/>
    <row r="112" s="16" customFormat="1"/>
    <row r="113" s="16" customFormat="1"/>
    <row r="114" s="16" customFormat="1"/>
    <row r="115" s="16" customFormat="1"/>
    <row r="116" s="16" customFormat="1"/>
    <row r="117" s="16" customFormat="1"/>
    <row r="118" s="16" customFormat="1"/>
    <row r="119" s="16" customFormat="1"/>
    <row r="120" s="16" customFormat="1"/>
    <row r="121" s="16" customFormat="1"/>
    <row r="122" s="16" customFormat="1"/>
    <row r="123" s="16" customFormat="1"/>
    <row r="124" s="16" customFormat="1"/>
    <row r="125" s="16" customFormat="1"/>
    <row r="126" s="16" customFormat="1"/>
    <row r="127" s="16" customFormat="1"/>
    <row r="128" s="16" customFormat="1"/>
    <row r="129" s="16" customFormat="1"/>
    <row r="130" s="16" customFormat="1"/>
    <row r="131" s="16" customFormat="1"/>
    <row r="132" s="16" customFormat="1"/>
    <row r="133" s="16" customFormat="1"/>
    <row r="134" s="16" customFormat="1"/>
    <row r="135" s="16" customFormat="1"/>
    <row r="136" s="16" customFormat="1"/>
    <row r="137" s="16" customFormat="1"/>
    <row r="138" s="16" customFormat="1"/>
    <row r="139" s="16" customFormat="1"/>
    <row r="140" s="16" customFormat="1"/>
    <row r="141" s="16" customFormat="1"/>
    <row r="142" s="16" customFormat="1"/>
    <row r="143" s="16" customFormat="1"/>
    <row r="144" s="16" customFormat="1"/>
    <row r="145" s="16" customFormat="1"/>
    <row r="146" s="16" customFormat="1"/>
    <row r="147" s="16" customFormat="1"/>
    <row r="148" s="16" customFormat="1"/>
    <row r="149" s="16" customFormat="1"/>
    <row r="150" s="16" customFormat="1"/>
    <row r="151" s="16" customFormat="1"/>
    <row r="152" s="16" customFormat="1"/>
    <row r="153" s="16" customFormat="1"/>
    <row r="154" s="16" customFormat="1"/>
    <row r="155" s="16" customFormat="1"/>
    <row r="156" s="16" customFormat="1"/>
    <row r="157" s="16" customFormat="1"/>
    <row r="158" s="16" customFormat="1"/>
    <row r="159" s="16" customFormat="1"/>
    <row r="160" s="16" customFormat="1"/>
    <row r="161" s="16" customFormat="1"/>
    <row r="162" s="16" customFormat="1"/>
    <row r="163" s="16" customFormat="1"/>
    <row r="164" s="16" customFormat="1"/>
    <row r="165" s="16" customFormat="1"/>
    <row r="166" s="16" customFormat="1"/>
    <row r="167" s="16" customFormat="1"/>
    <row r="168" s="16" customFormat="1"/>
    <row r="169" s="16" customFormat="1"/>
    <row r="170" s="16" customFormat="1"/>
    <row r="171" s="16" customFormat="1"/>
    <row r="172" s="16" customFormat="1"/>
    <row r="173" s="16" customFormat="1"/>
    <row r="174" s="16" customFormat="1"/>
    <row r="175" s="16" customFormat="1"/>
    <row r="176" s="16" customFormat="1"/>
    <row r="177" s="16" customFormat="1"/>
    <row r="178" s="16" customFormat="1"/>
  </sheetData>
  <mergeCells count="12">
    <mergeCell ref="A3:H3"/>
    <mergeCell ref="C4:D4"/>
    <mergeCell ref="E4:F4"/>
    <mergeCell ref="G4:H4"/>
    <mergeCell ref="A38:B38"/>
    <mergeCell ref="A57:B57"/>
    <mergeCell ref="A64:B64"/>
    <mergeCell ref="A89:B89"/>
    <mergeCell ref="A90:B90"/>
    <mergeCell ref="A4:A5"/>
    <mergeCell ref="B4:B5"/>
    <mergeCell ref="A1:H2"/>
  </mergeCells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r:id="rId4">
            <anchor moveWithCells="1">
              <from>
                <xdr:col>8</xdr:col>
                <xdr:colOff>409575</xdr:colOff>
                <xdr:row>0</xdr:row>
                <xdr:rowOff>415925</xdr:rowOff>
              </from>
              <to>
                <xdr:col>9</xdr:col>
                <xdr:colOff>466725</xdr:colOff>
                <xdr:row>1</xdr:row>
                <xdr:rowOff>374650</xdr:rowOff>
              </to>
            </anchor>
          </controlPr>
        </control>
      </mc:Choice>
      <mc:Fallback>
        <control shapeId="15361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W98"/>
  <sheetViews>
    <sheetView workbookViewId="0">
      <selection activeCell="K8" sqref="K8"/>
    </sheetView>
  </sheetViews>
  <sheetFormatPr defaultColWidth="9" defaultRowHeight="13.5"/>
  <cols>
    <col min="1" max="1" width="13.375" style="16" customWidth="1"/>
    <col min="2" max="4" width="40.375" customWidth="1"/>
    <col min="5" max="23" width="9" style="16"/>
  </cols>
  <sheetData>
    <row r="1" ht="36" customHeight="1" spans="2:4">
      <c r="B1" s="36" t="s">
        <v>280</v>
      </c>
      <c r="C1" s="36"/>
      <c r="D1" s="36"/>
    </row>
    <row r="2" ht="47" customHeight="1" spans="2:4">
      <c r="B2" s="36"/>
      <c r="C2" s="36"/>
      <c r="D2" s="36"/>
    </row>
    <row r="3" ht="29" customHeight="1" spans="2:4">
      <c r="B3" s="37">
        <f ca="1">NOW()</f>
        <v>43018.3304861111</v>
      </c>
      <c r="C3" s="37"/>
      <c r="D3" s="37"/>
    </row>
    <row r="4" customFormat="1" ht="29" customHeight="1" spans="1:23">
      <c r="A4" s="16"/>
      <c r="B4" s="38" t="s">
        <v>281</v>
      </c>
      <c r="C4" s="38" t="s">
        <v>282</v>
      </c>
      <c r="D4" s="38" t="s">
        <v>283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</row>
    <row r="5" customFormat="1" ht="29" customHeight="1" spans="1:23">
      <c r="A5" s="16"/>
      <c r="B5" s="39" t="s">
        <v>284</v>
      </c>
      <c r="C5" s="22">
        <f>SUM(余额表!E69:E72)</f>
        <v>116000</v>
      </c>
      <c r="D5" s="22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</row>
    <row r="6" customFormat="1" ht="29" customHeight="1" spans="1:23">
      <c r="A6" s="16"/>
      <c r="B6" s="40" t="s">
        <v>285</v>
      </c>
      <c r="C6" s="22">
        <f>余额表!E74</f>
        <v>0</v>
      </c>
      <c r="D6" s="22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</row>
    <row r="7" customFormat="1" ht="29" customHeight="1" spans="1:23">
      <c r="A7" s="16"/>
      <c r="B7" s="40" t="s">
        <v>286</v>
      </c>
      <c r="C7" s="22">
        <f>余额表!E75</f>
        <v>0</v>
      </c>
      <c r="D7" s="22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</row>
    <row r="8" customFormat="1" ht="29" customHeight="1" spans="1:23">
      <c r="A8" s="16"/>
      <c r="B8" s="40" t="s">
        <v>287</v>
      </c>
      <c r="C8" s="22">
        <f>余额表!E76</f>
        <v>0</v>
      </c>
      <c r="D8" s="22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</row>
    <row r="9" customFormat="1" ht="29" customHeight="1" spans="1:23">
      <c r="A9" s="16"/>
      <c r="B9" s="40" t="s">
        <v>288</v>
      </c>
      <c r="C9" s="22">
        <f>余额表!E77</f>
        <v>0</v>
      </c>
      <c r="D9" s="22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</row>
    <row r="10" customFormat="1" ht="29" customHeight="1" spans="1:23">
      <c r="A10" s="16"/>
      <c r="B10" s="40" t="s">
        <v>289</v>
      </c>
      <c r="C10" s="22">
        <f>余额表!E78</f>
        <v>0</v>
      </c>
      <c r="D10" s="22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</row>
    <row r="11" customFormat="1" ht="29" customHeight="1" spans="1:23">
      <c r="A11" s="16"/>
      <c r="B11" s="39" t="s">
        <v>290</v>
      </c>
      <c r="C11" s="22">
        <f>C5-SUM(C6:C10)</f>
        <v>116000</v>
      </c>
      <c r="D11" s="22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customFormat="1" ht="29" customHeight="1" spans="1:23">
      <c r="A12" s="16"/>
      <c r="B12" s="40" t="s">
        <v>291</v>
      </c>
      <c r="C12" s="22">
        <f>余额表!E73</f>
        <v>0</v>
      </c>
      <c r="D12" s="22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customFormat="1" ht="29" customHeight="1" spans="1:23">
      <c r="A13" s="16"/>
      <c r="B13" s="40" t="s">
        <v>292</v>
      </c>
      <c r="C13" s="22">
        <f>余额表!E84</f>
        <v>0</v>
      </c>
      <c r="D13" s="22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</row>
    <row r="14" customFormat="1" ht="29" customHeight="1" spans="1:23">
      <c r="A14" s="16"/>
      <c r="B14" s="39" t="s">
        <v>293</v>
      </c>
      <c r="C14" s="22">
        <f>C11+C12-C13</f>
        <v>116000</v>
      </c>
      <c r="D14" s="22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</row>
    <row r="15" s="16" customFormat="1" ht="19.5" spans="2:4">
      <c r="B15" s="40" t="s">
        <v>294</v>
      </c>
      <c r="C15" s="22">
        <f>余额表!E87</f>
        <v>0</v>
      </c>
      <c r="D15" s="22"/>
    </row>
    <row r="16" s="16" customFormat="1" ht="21" spans="2:4">
      <c r="B16" s="39" t="s">
        <v>295</v>
      </c>
      <c r="C16" s="22">
        <f>C14-C15</f>
        <v>116000</v>
      </c>
      <c r="D16" s="22"/>
    </row>
    <row r="17" s="16" customFormat="1"/>
    <row r="18" s="16" customFormat="1"/>
    <row r="19" s="16" customFormat="1"/>
    <row r="20" s="16" customFormat="1"/>
    <row r="21" s="16" customFormat="1"/>
    <row r="22" s="16" customFormat="1"/>
    <row r="23" s="16" customFormat="1"/>
    <row r="24" s="16" customFormat="1"/>
    <row r="25" s="16" customFormat="1"/>
    <row r="26" s="16" customFormat="1"/>
    <row r="27" s="16" customFormat="1"/>
    <row r="28" s="16" customFormat="1"/>
    <row r="29" s="16" customFormat="1"/>
    <row r="30" s="16" customFormat="1"/>
    <row r="31" s="16" customFormat="1"/>
    <row r="32" s="16" customFormat="1"/>
    <row r="33" s="16" customFormat="1"/>
    <row r="34" s="16" customFormat="1"/>
    <row r="35" s="16" customFormat="1"/>
    <row r="36" s="16" customFormat="1"/>
    <row r="37" s="16" customFormat="1"/>
    <row r="38" s="16" customFormat="1"/>
    <row r="39" s="16" customFormat="1"/>
    <row r="40" s="16" customFormat="1"/>
    <row r="41" s="16" customFormat="1"/>
    <row r="42" s="16" customFormat="1"/>
    <row r="43" s="16" customFormat="1"/>
    <row r="44" s="16" customFormat="1"/>
    <row r="45" s="16" customFormat="1"/>
    <row r="46" s="16" customFormat="1"/>
    <row r="47" s="16" customFormat="1"/>
    <row r="48" s="16" customFormat="1"/>
    <row r="49" s="16" customFormat="1"/>
    <row r="50" s="16" customFormat="1"/>
    <row r="51" s="16" customFormat="1"/>
    <row r="52" s="16" customFormat="1"/>
    <row r="53" s="16" customFormat="1"/>
    <row r="54" s="16" customFormat="1"/>
    <row r="55" s="16" customFormat="1"/>
    <row r="56" s="16" customFormat="1"/>
    <row r="57" s="16" customFormat="1"/>
    <row r="58" s="16" customFormat="1"/>
    <row r="59" s="16" customFormat="1"/>
    <row r="60" s="16" customFormat="1"/>
    <row r="61" spans="2:4">
      <c r="B61" s="16"/>
      <c r="C61" s="16"/>
      <c r="D61" s="16"/>
    </row>
    <row r="62" spans="2:4">
      <c r="B62" s="16"/>
      <c r="C62" s="16"/>
      <c r="D62" s="16"/>
    </row>
    <row r="63" s="16" customFormat="1"/>
    <row r="64" s="16" customFormat="1"/>
    <row r="65" s="16" customFormat="1"/>
    <row r="66" s="16" customFormat="1"/>
    <row r="67" s="16" customFormat="1"/>
    <row r="68" s="16" customFormat="1"/>
    <row r="69" s="16" customFormat="1"/>
    <row r="70" s="16" customFormat="1"/>
    <row r="71" s="16" customFormat="1"/>
    <row r="72" s="16" customFormat="1"/>
    <row r="73" s="16" customFormat="1"/>
    <row r="74" s="16" customFormat="1"/>
    <row r="75" s="16" customFormat="1"/>
    <row r="76" s="16" customFormat="1"/>
    <row r="77" s="16" customFormat="1"/>
    <row r="78" s="16" customFormat="1"/>
    <row r="79" s="16" customFormat="1"/>
    <row r="80" s="16" customFormat="1"/>
    <row r="81" s="16" customFormat="1"/>
    <row r="82" s="16" customFormat="1"/>
    <row r="83" s="16" customFormat="1"/>
    <row r="84" s="16" customFormat="1"/>
    <row r="85" s="16" customFormat="1"/>
    <row r="86" s="16" customFormat="1"/>
    <row r="87" s="16" customFormat="1"/>
    <row r="88" s="16" customFormat="1"/>
    <row r="89" s="16" customFormat="1"/>
    <row r="90" s="16" customFormat="1"/>
    <row r="91" s="16" customFormat="1"/>
    <row r="92" s="16" customFormat="1"/>
    <row r="93" s="16" customFormat="1"/>
    <row r="94" s="16" customFormat="1"/>
    <row r="95" s="16" customFormat="1"/>
    <row r="96" s="16" customFormat="1"/>
    <row r="97" s="16" customFormat="1"/>
    <row r="98" s="16" customFormat="1"/>
  </sheetData>
  <mergeCells count="2">
    <mergeCell ref="B3:D3"/>
    <mergeCell ref="B1:D2"/>
  </mergeCells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9457" r:id="rId3" name="CommandButton1">
          <controlPr defaultSize="0" r:id="rId4">
            <anchor moveWithCells="1">
              <from>
                <xdr:col>5</xdr:col>
                <xdr:colOff>76200</xdr:colOff>
                <xdr:row>0</xdr:row>
                <xdr:rowOff>254000</xdr:rowOff>
              </from>
              <to>
                <xdr:col>7</xdr:col>
                <xdr:colOff>76200</xdr:colOff>
                <xdr:row>1</xdr:row>
                <xdr:rowOff>200025</xdr:rowOff>
              </to>
            </anchor>
          </controlPr>
        </control>
      </mc:Choice>
      <mc:Fallback>
        <control shapeId="19457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P73"/>
  <sheetViews>
    <sheetView workbookViewId="0">
      <pane ySplit="3" topLeftCell="A4" activePane="bottomLeft" state="frozen"/>
      <selection/>
      <selection pane="bottomLeft" activeCell="D6" sqref="D6"/>
    </sheetView>
  </sheetViews>
  <sheetFormatPr defaultColWidth="9" defaultRowHeight="13.5"/>
  <cols>
    <col min="1" max="1" width="9" style="16"/>
    <col min="2" max="2" width="18.75" customWidth="1"/>
    <col min="3" max="7" width="24.125" customWidth="1"/>
    <col min="8" max="16" width="9" style="16"/>
  </cols>
  <sheetData>
    <row r="1" ht="28" customHeight="1" spans="2:7">
      <c r="B1" s="17" t="s">
        <v>296</v>
      </c>
      <c r="C1" s="17"/>
      <c r="D1" s="17"/>
      <c r="E1" s="17"/>
      <c r="F1" s="17"/>
      <c r="G1" s="17"/>
    </row>
    <row r="2" ht="57" customHeight="1" spans="2:7">
      <c r="B2" s="17"/>
      <c r="C2" s="17"/>
      <c r="D2" s="17"/>
      <c r="E2" s="17"/>
      <c r="F2" s="17"/>
      <c r="G2" s="17"/>
    </row>
    <row r="3" customFormat="1" ht="28" customHeight="1" spans="1:16">
      <c r="A3" s="16"/>
      <c r="B3" s="18" t="s">
        <v>297</v>
      </c>
      <c r="C3" s="18" t="s">
        <v>298</v>
      </c>
      <c r="D3" s="18" t="s">
        <v>299</v>
      </c>
      <c r="E3" s="18" t="s">
        <v>300</v>
      </c>
      <c r="F3" s="18" t="s">
        <v>298</v>
      </c>
      <c r="G3" s="18" t="s">
        <v>299</v>
      </c>
      <c r="H3" s="16"/>
      <c r="I3" s="16"/>
      <c r="J3" s="16"/>
      <c r="K3" s="16"/>
      <c r="L3" s="16"/>
      <c r="M3" s="16"/>
      <c r="N3" s="16"/>
      <c r="O3" s="16"/>
      <c r="P3" s="16"/>
    </row>
    <row r="4" customFormat="1" ht="28" customHeight="1" spans="1:16">
      <c r="A4" s="16"/>
      <c r="B4" s="19" t="s">
        <v>301</v>
      </c>
      <c r="C4" s="19"/>
      <c r="D4" s="19"/>
      <c r="E4" s="20" t="s">
        <v>302</v>
      </c>
      <c r="F4" s="20"/>
      <c r="G4" s="20"/>
      <c r="H4" s="16"/>
      <c r="I4" s="16"/>
      <c r="J4" s="16"/>
      <c r="K4" s="16"/>
      <c r="L4" s="16"/>
      <c r="M4" s="16"/>
      <c r="N4" s="16"/>
      <c r="O4" s="16"/>
      <c r="P4" s="16"/>
    </row>
    <row r="5" customFormat="1" ht="28" customHeight="1" spans="1:16">
      <c r="A5" s="16"/>
      <c r="B5" s="21" t="s">
        <v>303</v>
      </c>
      <c r="C5" s="22">
        <f>SUM(余额表!C6:C8)-SUM(余额表!D6:D8)</f>
        <v>520000</v>
      </c>
      <c r="D5" s="22">
        <f>SUM(余额表!G6:G8)-SUM(余额表!H6:H8)</f>
        <v>458335</v>
      </c>
      <c r="E5" s="21" t="s">
        <v>304</v>
      </c>
      <c r="F5" s="22">
        <f>余额表!D39-余额表!C39</f>
        <v>0</v>
      </c>
      <c r="G5" s="22">
        <f>余额表!H39-余额表!G39</f>
        <v>0</v>
      </c>
      <c r="H5" s="16"/>
      <c r="I5" s="16"/>
      <c r="J5" s="16"/>
      <c r="K5" s="16"/>
      <c r="L5" s="16"/>
      <c r="M5" s="16"/>
      <c r="N5" s="16"/>
      <c r="O5" s="16"/>
      <c r="P5" s="16"/>
    </row>
    <row r="6" customFormat="1" ht="28" customHeight="1" spans="1:16">
      <c r="A6" s="16"/>
      <c r="B6" s="21" t="s">
        <v>305</v>
      </c>
      <c r="C6" s="23">
        <f>SUM(余额表!C9:C10)-SUM(余额表!D9:D10)</f>
        <v>0</v>
      </c>
      <c r="D6" s="22">
        <f>SUM(余额表!G9:G10)-SUM(余额表!H9:H10)</f>
        <v>-99673</v>
      </c>
      <c r="E6" s="21" t="s">
        <v>306</v>
      </c>
      <c r="F6" s="22">
        <f>SUM(余额表!D40:D41)-SUM(余额表!C40:C41)</f>
        <v>0</v>
      </c>
      <c r="G6" s="22">
        <f>SUM(余额表!G40:G41)-SUM(余额表!H40:H41)</f>
        <v>0</v>
      </c>
      <c r="H6" s="16"/>
      <c r="I6" s="16"/>
      <c r="J6" s="16"/>
      <c r="K6" s="16"/>
      <c r="L6" s="16"/>
      <c r="M6" s="16"/>
      <c r="N6" s="16"/>
      <c r="O6" s="16"/>
      <c r="P6" s="16"/>
    </row>
    <row r="7" customFormat="1" ht="28" customHeight="1" spans="1:16">
      <c r="A7" s="16"/>
      <c r="B7" s="21" t="s">
        <v>307</v>
      </c>
      <c r="C7" s="22">
        <f>余额表!C14-余额表!D14</f>
        <v>0</v>
      </c>
      <c r="D7" s="22">
        <f>余额表!G14-余额表!H14</f>
        <v>2000</v>
      </c>
      <c r="E7" s="21" t="s">
        <v>308</v>
      </c>
      <c r="F7" s="22">
        <f>余额表!D42-余额表!C42</f>
        <v>0</v>
      </c>
      <c r="G7" s="22">
        <f>余额表!H42-余额表!G42</f>
        <v>0</v>
      </c>
      <c r="H7" s="16"/>
      <c r="I7" s="16"/>
      <c r="J7" s="16"/>
      <c r="K7" s="16"/>
      <c r="L7" s="16"/>
      <c r="M7" s="16"/>
      <c r="N7" s="16"/>
      <c r="O7" s="16"/>
      <c r="P7" s="16"/>
    </row>
    <row r="8" customFormat="1" ht="28" customHeight="1" spans="1:16">
      <c r="A8" s="16"/>
      <c r="B8" s="21" t="s">
        <v>309</v>
      </c>
      <c r="C8" s="22">
        <f>余额表!C11-余额表!D11</f>
        <v>0</v>
      </c>
      <c r="D8" s="22">
        <f>余额表!G11-余额表!H11</f>
        <v>0</v>
      </c>
      <c r="E8" s="21" t="s">
        <v>310</v>
      </c>
      <c r="F8" s="22">
        <f>余额表!D43-余额表!C43</f>
        <v>0</v>
      </c>
      <c r="G8" s="22">
        <f>余额表!G43-余额表!H43</f>
        <v>35000</v>
      </c>
      <c r="H8" s="16"/>
      <c r="I8" s="16"/>
      <c r="J8" s="16"/>
      <c r="K8" s="16"/>
      <c r="L8" s="16"/>
      <c r="M8" s="16"/>
      <c r="N8" s="16"/>
      <c r="O8" s="16"/>
      <c r="P8" s="16"/>
    </row>
    <row r="9" customFormat="1" ht="28" customHeight="1" spans="1:16">
      <c r="A9" s="16"/>
      <c r="B9" s="21" t="s">
        <v>311</v>
      </c>
      <c r="C9" s="22">
        <f>SUM(余额表!C17:C24,余额表!C65)-SUM(余额表!D17:D24,余额表!D65)</f>
        <v>80000</v>
      </c>
      <c r="D9" s="22">
        <f>SUM(余额表!G17:G24,余额表!G65)-SUM(余额表!H17:H24,余额表!H65)</f>
        <v>79888</v>
      </c>
      <c r="E9" s="21" t="s">
        <v>312</v>
      </c>
      <c r="F9" s="22">
        <f>余额表!D44-余额表!C44</f>
        <v>0</v>
      </c>
      <c r="G9" s="22">
        <f>余额表!G44-余额表!H44</f>
        <v>8450</v>
      </c>
      <c r="H9" s="16"/>
      <c r="I9" s="16"/>
      <c r="J9" s="16"/>
      <c r="K9" s="16"/>
      <c r="L9" s="16"/>
      <c r="M9" s="16"/>
      <c r="N9" s="16"/>
      <c r="O9" s="16"/>
      <c r="P9" s="16"/>
    </row>
    <row r="10" customFormat="1" ht="28" customHeight="1" spans="1:16">
      <c r="A10" s="16"/>
      <c r="B10" s="21" t="s">
        <v>313</v>
      </c>
      <c r="C10" s="22">
        <f>余额表!C36-余额表!D36</f>
        <v>0</v>
      </c>
      <c r="D10" s="22">
        <f>余额表!G36-余额表!H36</f>
        <v>0</v>
      </c>
      <c r="E10" s="21" t="s">
        <v>314</v>
      </c>
      <c r="F10" s="22"/>
      <c r="G10" s="22"/>
      <c r="H10" s="16"/>
      <c r="I10" s="16"/>
      <c r="J10" s="16"/>
      <c r="K10" s="16"/>
      <c r="L10" s="16"/>
      <c r="M10" s="16"/>
      <c r="N10" s="16"/>
      <c r="O10" s="16"/>
      <c r="P10" s="16"/>
    </row>
    <row r="11" customFormat="1" ht="28" customHeight="1" spans="1:16">
      <c r="A11" s="16"/>
      <c r="B11" s="21" t="s">
        <v>315</v>
      </c>
      <c r="C11" s="22">
        <f>SUM(余额表!C30:C31)-SUM(余额表!D30:D31)</f>
        <v>0</v>
      </c>
      <c r="D11" s="22">
        <f>SUM(余额表!G30:G31)-SUM(余额表!H30:H31)</f>
        <v>0</v>
      </c>
      <c r="E11" s="21" t="s">
        <v>316</v>
      </c>
      <c r="F11" s="22"/>
      <c r="G11" s="22"/>
      <c r="H11" s="16"/>
      <c r="I11" s="16"/>
      <c r="J11" s="16"/>
      <c r="K11" s="16"/>
      <c r="L11" s="16"/>
      <c r="M11" s="16"/>
      <c r="N11" s="16"/>
      <c r="O11" s="16"/>
      <c r="P11" s="16"/>
    </row>
    <row r="12" customFormat="1" ht="28" customHeight="1" spans="1:16">
      <c r="A12" s="16"/>
      <c r="B12" s="19" t="s">
        <v>317</v>
      </c>
      <c r="C12" s="24">
        <f>SUM(C5:C11)</f>
        <v>600000</v>
      </c>
      <c r="D12" s="24">
        <f>SUM(D5:D11)</f>
        <v>440550</v>
      </c>
      <c r="E12" s="20" t="s">
        <v>318</v>
      </c>
      <c r="F12" s="25">
        <f>SUM(F5:F9)</f>
        <v>0</v>
      </c>
      <c r="G12" s="25">
        <f>SUM(G5:G9)</f>
        <v>43450</v>
      </c>
      <c r="H12" s="16"/>
      <c r="I12" s="16"/>
      <c r="J12" s="16"/>
      <c r="K12" s="16"/>
      <c r="L12" s="16"/>
      <c r="M12" s="16"/>
      <c r="N12" s="16"/>
      <c r="O12" s="16"/>
      <c r="P12" s="16"/>
    </row>
    <row r="13" customFormat="1" ht="28" customHeight="1" spans="1:16">
      <c r="A13" s="16"/>
      <c r="B13" s="26"/>
      <c r="C13" s="22"/>
      <c r="D13" s="22"/>
      <c r="E13" s="27"/>
      <c r="F13" s="22"/>
      <c r="G13" s="22"/>
      <c r="H13" s="16"/>
      <c r="I13" s="16"/>
      <c r="J13" s="16"/>
      <c r="K13" s="16"/>
      <c r="L13" s="16"/>
      <c r="M13" s="16"/>
      <c r="N13" s="16"/>
      <c r="O13" s="16"/>
      <c r="P13" s="16"/>
    </row>
    <row r="14" customFormat="1" ht="28" customHeight="1" spans="1:16">
      <c r="A14" s="16"/>
      <c r="B14" s="28" t="s">
        <v>319</v>
      </c>
      <c r="C14" s="28"/>
      <c r="D14" s="28"/>
      <c r="E14" s="29" t="s">
        <v>320</v>
      </c>
      <c r="F14" s="29"/>
      <c r="G14" s="29"/>
      <c r="H14" s="16"/>
      <c r="I14" s="16"/>
      <c r="J14" s="16"/>
      <c r="K14" s="16"/>
      <c r="L14" s="16"/>
      <c r="M14" s="16"/>
      <c r="N14" s="16"/>
      <c r="O14" s="16"/>
      <c r="P14" s="16"/>
    </row>
    <row r="15" customFormat="1" ht="28" customHeight="1" spans="1:16">
      <c r="A15" s="16"/>
      <c r="B15" s="21" t="s">
        <v>321</v>
      </c>
      <c r="C15" s="22">
        <f>SUM(余额表!C27:C29)-SUM(余额表!D27:D29)</f>
        <v>400000</v>
      </c>
      <c r="D15" s="22">
        <f>SUM(余额表!G27:G29)-SUM(余额表!H27:H29)</f>
        <v>400000</v>
      </c>
      <c r="E15" s="21" t="s">
        <v>322</v>
      </c>
      <c r="F15" s="22">
        <f>余额表!D58-余额表!C58</f>
        <v>1000000</v>
      </c>
      <c r="G15" s="22">
        <f>余额表!H58-余额表!G58</f>
        <v>1000000</v>
      </c>
      <c r="H15" s="16"/>
      <c r="I15" s="16"/>
      <c r="J15" s="16"/>
      <c r="K15" s="16"/>
      <c r="L15" s="16"/>
      <c r="M15" s="16"/>
      <c r="N15" s="16"/>
      <c r="O15" s="16"/>
      <c r="P15" s="16"/>
    </row>
    <row r="16" customFormat="1" ht="28" customHeight="1" spans="1:16">
      <c r="A16" s="16"/>
      <c r="B16" s="21"/>
      <c r="C16" s="22"/>
      <c r="D16" s="22"/>
      <c r="E16" s="21" t="s">
        <v>323</v>
      </c>
      <c r="F16" s="22"/>
      <c r="G16" s="22"/>
      <c r="H16" s="16"/>
      <c r="I16" s="16"/>
      <c r="J16" s="16"/>
      <c r="K16" s="16"/>
      <c r="L16" s="16"/>
      <c r="M16" s="16"/>
      <c r="N16" s="16"/>
      <c r="O16" s="16"/>
      <c r="P16" s="16"/>
    </row>
    <row r="17" customFormat="1" ht="28" customHeight="1" spans="1:16">
      <c r="A17" s="16"/>
      <c r="B17" s="21"/>
      <c r="C17" s="22"/>
      <c r="D17" s="22"/>
      <c r="E17" s="21" t="s">
        <v>324</v>
      </c>
      <c r="F17" s="22"/>
      <c r="G17" s="22"/>
      <c r="H17" s="16"/>
      <c r="I17" s="16"/>
      <c r="J17" s="16"/>
      <c r="K17" s="16"/>
      <c r="L17" s="16"/>
      <c r="M17" s="16"/>
      <c r="N17" s="16"/>
      <c r="O17" s="16"/>
      <c r="P17" s="16"/>
    </row>
    <row r="18" customFormat="1" ht="28" customHeight="1" spans="1:16">
      <c r="A18" s="16"/>
      <c r="B18" s="21"/>
      <c r="C18" s="22"/>
      <c r="D18" s="22"/>
      <c r="E18" s="21" t="s">
        <v>325</v>
      </c>
      <c r="F18" s="22">
        <f>SUM(余额表!D61:D62)-SUM(余额表!C61:C62)</f>
        <v>0</v>
      </c>
      <c r="G18" s="22">
        <f>SUM(余额表!H61:H62)-SUM(余额表!G61:G62)</f>
        <v>0</v>
      </c>
      <c r="H18" s="16"/>
      <c r="I18" s="16"/>
      <c r="J18" s="16"/>
      <c r="K18" s="16"/>
      <c r="L18" s="16"/>
      <c r="M18" s="16"/>
      <c r="N18" s="16"/>
      <c r="O18" s="16"/>
      <c r="P18" s="16"/>
    </row>
    <row r="19" customFormat="1" ht="28" customHeight="1" spans="1:16">
      <c r="A19" s="16"/>
      <c r="B19" s="28" t="s">
        <v>326</v>
      </c>
      <c r="C19" s="30">
        <f>C15</f>
        <v>400000</v>
      </c>
      <c r="D19" s="30">
        <f>D15</f>
        <v>400000</v>
      </c>
      <c r="E19" s="29" t="s">
        <v>327</v>
      </c>
      <c r="F19" s="31">
        <f>SUM(F15:F18)</f>
        <v>1000000</v>
      </c>
      <c r="G19" s="31">
        <f>SUM(G15:G18)</f>
        <v>1000000</v>
      </c>
      <c r="H19" s="16"/>
      <c r="I19" s="16"/>
      <c r="J19" s="16"/>
      <c r="K19" s="16"/>
      <c r="L19" s="16"/>
      <c r="M19" s="16"/>
      <c r="N19" s="16"/>
      <c r="O19" s="16"/>
      <c r="P19" s="16"/>
    </row>
    <row r="20" customFormat="1" ht="28" customHeight="1" spans="1:16">
      <c r="A20" s="16"/>
      <c r="B20" s="32" t="s">
        <v>260</v>
      </c>
      <c r="C20" s="33">
        <f>SUM(C12,C19)</f>
        <v>1000000</v>
      </c>
      <c r="D20" s="33">
        <f>SUM(D12,D19)</f>
        <v>840550</v>
      </c>
      <c r="E20" s="34" t="s">
        <v>328</v>
      </c>
      <c r="F20" s="35">
        <f>SUM(F19,F12)</f>
        <v>1000000</v>
      </c>
      <c r="G20" s="35">
        <f>SUM(G19,G12)</f>
        <v>1043450</v>
      </c>
      <c r="H20" s="16"/>
      <c r="I20" s="16"/>
      <c r="J20" s="16"/>
      <c r="K20" s="16"/>
      <c r="L20" s="16"/>
      <c r="M20" s="16"/>
      <c r="N20" s="16"/>
      <c r="O20" s="16"/>
      <c r="P20" s="16"/>
    </row>
    <row r="21" s="16" customFormat="1"/>
    <row r="22" s="16" customFormat="1"/>
    <row r="23" s="16" customFormat="1"/>
    <row r="24" s="16" customFormat="1"/>
    <row r="25" s="16" customFormat="1"/>
    <row r="26" s="16" customFormat="1"/>
    <row r="27" s="16" customFormat="1"/>
    <row r="28" s="16" customFormat="1"/>
    <row r="29" s="16" customFormat="1"/>
    <row r="30" s="16" customFormat="1"/>
    <row r="31" s="16" customFormat="1"/>
    <row r="32" s="16" customFormat="1"/>
    <row r="33" s="16" customFormat="1"/>
    <row r="34" s="16" customFormat="1"/>
    <row r="35" s="16" customFormat="1"/>
    <row r="36" s="16" customFormat="1"/>
    <row r="37" s="16" customFormat="1"/>
    <row r="38" s="16" customFormat="1"/>
    <row r="39" s="16" customFormat="1"/>
    <row r="40" s="16" customFormat="1"/>
    <row r="41" s="16" customFormat="1"/>
    <row r="42" s="16" customFormat="1"/>
    <row r="43" s="16" customFormat="1"/>
    <row r="44" s="16" customFormat="1"/>
    <row r="45" s="16" customFormat="1"/>
    <row r="46" s="16" customFormat="1"/>
    <row r="47" s="16" customFormat="1"/>
    <row r="48" s="16" customFormat="1"/>
    <row r="49" s="16" customFormat="1"/>
    <row r="50" s="16" customFormat="1"/>
    <row r="51" s="16" customFormat="1"/>
    <row r="52" s="16" customFormat="1"/>
    <row r="53" s="16" customFormat="1"/>
    <row r="54" s="16" customFormat="1"/>
    <row r="55" s="16" customFormat="1"/>
    <row r="56" s="16" customFormat="1"/>
    <row r="57" s="16" customFormat="1"/>
    <row r="58" s="16" customFormat="1"/>
    <row r="59" s="16" customFormat="1"/>
    <row r="60" s="16" customFormat="1"/>
    <row r="61" s="16" customFormat="1"/>
    <row r="62" s="16" customFormat="1"/>
    <row r="63" s="16" customFormat="1"/>
    <row r="64" s="16" customFormat="1"/>
    <row r="65" s="16" customFormat="1"/>
    <row r="66" s="16" customFormat="1"/>
    <row r="67" s="16" customFormat="1"/>
    <row r="68" s="16" customFormat="1"/>
    <row r="69" s="16" customFormat="1"/>
    <row r="70" s="16" customFormat="1"/>
    <row r="71" s="16" customFormat="1"/>
    <row r="72" s="16" customFormat="1"/>
    <row r="73" s="16" customFormat="1"/>
  </sheetData>
  <mergeCells count="1">
    <mergeCell ref="B1:G2"/>
  </mergeCells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r:id="rId4">
            <anchor moveWithCells="1">
              <from>
                <xdr:col>7</xdr:col>
                <xdr:colOff>561975</xdr:colOff>
                <xdr:row>0</xdr:row>
                <xdr:rowOff>298450</xdr:rowOff>
              </from>
              <to>
                <xdr:col>9</xdr:col>
                <xdr:colOff>561975</xdr:colOff>
                <xdr:row>1</xdr:row>
                <xdr:rowOff>346075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C4"/>
  <sheetViews>
    <sheetView topLeftCell="A4" workbookViewId="0">
      <selection activeCell="N36" sqref="N36:N38"/>
    </sheetView>
  </sheetViews>
  <sheetFormatPr defaultColWidth="9" defaultRowHeight="13.5" outlineLevelRow="3" outlineLevelCol="2"/>
  <sheetData>
    <row r="1" spans="1:3">
      <c r="A1" t="s">
        <v>329</v>
      </c>
      <c r="B1" t="s">
        <v>330</v>
      </c>
      <c r="C1" t="s">
        <v>331</v>
      </c>
    </row>
    <row r="2" spans="1:3">
      <c r="A2" t="s">
        <v>5</v>
      </c>
      <c r="B2" s="15" t="s">
        <v>332</v>
      </c>
      <c r="C2" t="s">
        <v>333</v>
      </c>
    </row>
    <row r="3" spans="1:3">
      <c r="A3" t="s">
        <v>225</v>
      </c>
      <c r="B3" s="15" t="s">
        <v>334</v>
      </c>
      <c r="C3" t="s">
        <v>335</v>
      </c>
    </row>
    <row r="4" spans="1:3">
      <c r="A4" t="s">
        <v>336</v>
      </c>
      <c r="B4" s="15" t="s">
        <v>337</v>
      </c>
      <c r="C4" t="s">
        <v>338</v>
      </c>
    </row>
  </sheetData>
  <pageMargins left="0.699305555555556" right="0.699305555555556" top="0.75" bottom="0.75" header="0.3" footer="0.3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M59"/>
  <sheetViews>
    <sheetView workbookViewId="0">
      <selection activeCell="F32" sqref="F32"/>
    </sheetView>
  </sheetViews>
  <sheetFormatPr defaultColWidth="9" defaultRowHeight="13.5"/>
  <cols>
    <col min="1" max="1" width="15.5" style="1" customWidth="1"/>
    <col min="2" max="2" width="7.875" style="1" customWidth="1"/>
    <col min="3" max="3" width="29.5" style="1" customWidth="1"/>
    <col min="4" max="4" width="20.25" style="1" customWidth="1"/>
    <col min="5" max="5" width="30.375" style="1" customWidth="1"/>
    <col min="6" max="6" width="17.5" style="2" customWidth="1"/>
    <col min="7" max="7" width="17" style="2" customWidth="1"/>
    <col min="8" max="8" width="13.125" style="1" customWidth="1"/>
    <col min="9" max="9" width="13.375" style="1" customWidth="1"/>
    <col min="10" max="10" width="12.75" customWidth="1"/>
  </cols>
  <sheetData>
    <row r="1" customFormat="1" ht="20.25" spans="1:13">
      <c r="A1" s="3" t="s">
        <v>226</v>
      </c>
      <c r="B1" s="4" t="s">
        <v>227</v>
      </c>
      <c r="C1" s="3" t="s">
        <v>216</v>
      </c>
      <c r="D1" s="4" t="s">
        <v>220</v>
      </c>
      <c r="E1" s="3" t="s">
        <v>9</v>
      </c>
      <c r="F1" s="5" t="s">
        <v>206</v>
      </c>
      <c r="G1" s="5" t="s">
        <v>207</v>
      </c>
      <c r="H1" s="3" t="s">
        <v>224</v>
      </c>
      <c r="I1" s="3" t="s">
        <v>223</v>
      </c>
      <c r="J1" s="3" t="s">
        <v>222</v>
      </c>
      <c r="K1" s="13" t="s">
        <v>212</v>
      </c>
      <c r="L1" s="13" t="s">
        <v>213</v>
      </c>
      <c r="M1" s="13" t="s">
        <v>214</v>
      </c>
    </row>
    <row r="2" customFormat="1" spans="1:13">
      <c r="A2" s="6" t="s">
        <v>228</v>
      </c>
      <c r="B2" s="7">
        <v>1</v>
      </c>
      <c r="C2" s="8" t="s">
        <v>229</v>
      </c>
      <c r="D2" s="9">
        <v>140301</v>
      </c>
      <c r="E2" s="8" t="s">
        <v>230</v>
      </c>
      <c r="F2" s="10">
        <v>117000</v>
      </c>
      <c r="G2" s="10"/>
      <c r="H2" s="8" t="s">
        <v>225</v>
      </c>
      <c r="I2" s="8"/>
      <c r="J2" s="8"/>
      <c r="K2" s="14">
        <v>2011</v>
      </c>
      <c r="L2" s="14">
        <v>4</v>
      </c>
      <c r="M2" s="14">
        <v>15</v>
      </c>
    </row>
    <row r="3" customFormat="1" spans="1:13">
      <c r="A3" s="6" t="s">
        <v>228</v>
      </c>
      <c r="B3" s="7">
        <v>1</v>
      </c>
      <c r="C3" s="8" t="s">
        <v>229</v>
      </c>
      <c r="D3" s="9">
        <v>100201</v>
      </c>
      <c r="E3" s="8" t="s">
        <v>231</v>
      </c>
      <c r="F3" s="10"/>
      <c r="G3" s="10">
        <v>117000</v>
      </c>
      <c r="H3" s="8" t="s">
        <v>225</v>
      </c>
      <c r="I3" s="8"/>
      <c r="J3" s="8"/>
      <c r="K3" s="14">
        <v>2011</v>
      </c>
      <c r="L3" s="14">
        <v>4</v>
      </c>
      <c r="M3" s="14">
        <v>15</v>
      </c>
    </row>
    <row r="4" customFormat="1" spans="1:13">
      <c r="A4" s="6" t="s">
        <v>228</v>
      </c>
      <c r="B4" s="7">
        <v>2</v>
      </c>
      <c r="C4" s="8" t="s">
        <v>232</v>
      </c>
      <c r="D4" s="9">
        <v>2211</v>
      </c>
      <c r="E4" s="8" t="s">
        <v>110</v>
      </c>
      <c r="F4" s="10">
        <v>35000</v>
      </c>
      <c r="G4" s="10"/>
      <c r="H4" s="8" t="s">
        <v>225</v>
      </c>
      <c r="I4" s="8"/>
      <c r="J4" s="8"/>
      <c r="K4" s="14">
        <v>2010</v>
      </c>
      <c r="L4" s="14">
        <v>4</v>
      </c>
      <c r="M4" s="14">
        <v>20</v>
      </c>
    </row>
    <row r="5" customFormat="1" spans="1:13">
      <c r="A5" s="6" t="s">
        <v>228</v>
      </c>
      <c r="B5" s="7">
        <v>2</v>
      </c>
      <c r="C5" s="8" t="s">
        <v>232</v>
      </c>
      <c r="D5" s="9">
        <v>1001</v>
      </c>
      <c r="E5" s="8" t="s">
        <v>13</v>
      </c>
      <c r="F5" s="10"/>
      <c r="G5" s="10">
        <v>35000</v>
      </c>
      <c r="H5" s="8" t="s">
        <v>225</v>
      </c>
      <c r="I5" s="8"/>
      <c r="J5" s="8"/>
      <c r="K5" s="14">
        <v>2010</v>
      </c>
      <c r="L5" s="14">
        <v>4</v>
      </c>
      <c r="M5" s="14">
        <v>20</v>
      </c>
    </row>
    <row r="6" customFormat="1" spans="1:13">
      <c r="A6" s="6" t="s">
        <v>228</v>
      </c>
      <c r="B6" s="7">
        <v>3</v>
      </c>
      <c r="C6" s="8" t="s">
        <v>233</v>
      </c>
      <c r="D6" s="9">
        <v>100201</v>
      </c>
      <c r="E6" s="8" t="s">
        <v>231</v>
      </c>
      <c r="F6" s="10">
        <v>280</v>
      </c>
      <c r="G6" s="10"/>
      <c r="H6" s="8" t="s">
        <v>225</v>
      </c>
      <c r="I6" s="8"/>
      <c r="J6" s="8"/>
      <c r="K6" s="14">
        <v>2011</v>
      </c>
      <c r="L6" s="14">
        <v>4</v>
      </c>
      <c r="M6" s="14">
        <v>21</v>
      </c>
    </row>
    <row r="7" customFormat="1" spans="1:13">
      <c r="A7" s="6" t="s">
        <v>228</v>
      </c>
      <c r="B7" s="7">
        <v>3</v>
      </c>
      <c r="C7" s="8" t="s">
        <v>233</v>
      </c>
      <c r="D7" s="9">
        <v>1001</v>
      </c>
      <c r="E7" s="8" t="s">
        <v>13</v>
      </c>
      <c r="F7" s="10"/>
      <c r="G7" s="10">
        <v>280</v>
      </c>
      <c r="H7" s="8" t="s">
        <v>225</v>
      </c>
      <c r="I7" s="8"/>
      <c r="J7" s="8"/>
      <c r="K7" s="14">
        <v>2011</v>
      </c>
      <c r="L7" s="14">
        <v>4</v>
      </c>
      <c r="M7" s="14">
        <v>21</v>
      </c>
    </row>
    <row r="8" customFormat="1" spans="1:13">
      <c r="A8" s="6" t="s">
        <v>228</v>
      </c>
      <c r="B8" s="7">
        <v>4</v>
      </c>
      <c r="C8" s="8" t="s">
        <v>111</v>
      </c>
      <c r="D8" s="9">
        <v>22210101</v>
      </c>
      <c r="E8" s="8" t="s">
        <v>234</v>
      </c>
      <c r="F8" s="10">
        <v>25000</v>
      </c>
      <c r="G8" s="10"/>
      <c r="H8" s="8" t="s">
        <v>225</v>
      </c>
      <c r="I8" s="8" t="s">
        <v>5</v>
      </c>
      <c r="J8" s="8"/>
      <c r="K8" s="14">
        <v>2011</v>
      </c>
      <c r="L8" s="14">
        <v>4</v>
      </c>
      <c r="M8" s="14">
        <v>24</v>
      </c>
    </row>
    <row r="9" customFormat="1" spans="1:13">
      <c r="A9" s="6" t="s">
        <v>228</v>
      </c>
      <c r="B9" s="7">
        <v>4</v>
      </c>
      <c r="C9" s="8" t="s">
        <v>111</v>
      </c>
      <c r="D9" s="9">
        <v>100201</v>
      </c>
      <c r="E9" s="8" t="s">
        <v>231</v>
      </c>
      <c r="F9" s="10"/>
      <c r="G9" s="10">
        <v>25000</v>
      </c>
      <c r="H9" s="8" t="s">
        <v>225</v>
      </c>
      <c r="I9" s="8" t="s">
        <v>5</v>
      </c>
      <c r="J9" s="8"/>
      <c r="K9" s="14">
        <v>2011</v>
      </c>
      <c r="L9" s="14">
        <v>4</v>
      </c>
      <c r="M9" s="14">
        <v>24</v>
      </c>
    </row>
    <row r="10" customFormat="1" spans="1:13">
      <c r="A10" s="6" t="s">
        <v>228</v>
      </c>
      <c r="B10" s="7">
        <v>5</v>
      </c>
      <c r="C10" s="8" t="s">
        <v>36</v>
      </c>
      <c r="D10" s="9">
        <v>123102</v>
      </c>
      <c r="E10" s="8" t="s">
        <v>235</v>
      </c>
      <c r="F10" s="10">
        <v>2000</v>
      </c>
      <c r="G10" s="10"/>
      <c r="H10" s="8" t="s">
        <v>225</v>
      </c>
      <c r="I10" s="8" t="s">
        <v>5</v>
      </c>
      <c r="J10" s="8"/>
      <c r="K10" s="14">
        <v>2011</v>
      </c>
      <c r="L10" s="14">
        <v>4</v>
      </c>
      <c r="M10" s="14">
        <v>24</v>
      </c>
    </row>
    <row r="11" customFormat="1" spans="1:13">
      <c r="A11" s="6" t="s">
        <v>228</v>
      </c>
      <c r="B11" s="7">
        <v>5</v>
      </c>
      <c r="C11" s="8" t="s">
        <v>36</v>
      </c>
      <c r="D11" s="9">
        <v>1001</v>
      </c>
      <c r="E11" s="8" t="s">
        <v>13</v>
      </c>
      <c r="F11" s="10"/>
      <c r="G11" s="10">
        <v>2000</v>
      </c>
      <c r="H11" s="8" t="s">
        <v>225</v>
      </c>
      <c r="I11" s="8" t="s">
        <v>5</v>
      </c>
      <c r="J11" s="8"/>
      <c r="K11" s="14">
        <v>2011</v>
      </c>
      <c r="L11" s="14">
        <v>4</v>
      </c>
      <c r="M11" s="14">
        <v>24</v>
      </c>
    </row>
    <row r="12" customFormat="1" spans="1:13">
      <c r="A12" s="6" t="s">
        <v>211</v>
      </c>
      <c r="B12" s="7">
        <v>1</v>
      </c>
      <c r="C12" s="8" t="s">
        <v>339</v>
      </c>
      <c r="D12" s="11">
        <v>10020201</v>
      </c>
      <c r="E12" s="8" t="s">
        <v>237</v>
      </c>
      <c r="F12" s="10"/>
      <c r="G12" s="10">
        <v>61794.87</v>
      </c>
      <c r="H12" s="8" t="s">
        <v>225</v>
      </c>
      <c r="I12" s="8"/>
      <c r="J12" s="8"/>
      <c r="K12" s="14">
        <v>2011</v>
      </c>
      <c r="L12" s="14">
        <v>4</v>
      </c>
      <c r="M12" s="14">
        <v>25</v>
      </c>
    </row>
    <row r="13" customFormat="1" spans="1:13">
      <c r="A13" s="6" t="s">
        <v>211</v>
      </c>
      <c r="B13" s="7">
        <v>1</v>
      </c>
      <c r="C13" s="8" t="s">
        <v>339</v>
      </c>
      <c r="D13" s="11">
        <v>6001</v>
      </c>
      <c r="E13" s="8" t="s">
        <v>162</v>
      </c>
      <c r="F13" s="10">
        <v>68000</v>
      </c>
      <c r="G13" s="10"/>
      <c r="H13" s="8" t="s">
        <v>225</v>
      </c>
      <c r="I13" s="8"/>
      <c r="J13" s="8"/>
      <c r="K13" s="14">
        <v>2011</v>
      </c>
      <c r="L13" s="14">
        <v>4</v>
      </c>
      <c r="M13" s="14">
        <v>25</v>
      </c>
    </row>
    <row r="14" customFormat="1" spans="1:13">
      <c r="A14" s="6" t="s">
        <v>211</v>
      </c>
      <c r="B14" s="7">
        <v>1</v>
      </c>
      <c r="C14" s="8" t="s">
        <v>339</v>
      </c>
      <c r="D14" s="11">
        <v>22210101</v>
      </c>
      <c r="E14" s="8" t="s">
        <v>238</v>
      </c>
      <c r="F14" s="10"/>
      <c r="G14" s="10">
        <v>6205.13</v>
      </c>
      <c r="H14" s="8" t="s">
        <v>225</v>
      </c>
      <c r="I14" s="8"/>
      <c r="J14" s="8"/>
      <c r="K14" s="14">
        <v>2011</v>
      </c>
      <c r="L14" s="14">
        <v>4</v>
      </c>
      <c r="M14" s="14">
        <v>25</v>
      </c>
    </row>
    <row r="15" customFormat="1" spans="1:13">
      <c r="A15" s="6" t="s">
        <v>239</v>
      </c>
      <c r="B15" s="7">
        <v>1</v>
      </c>
      <c r="C15" s="8" t="s">
        <v>340</v>
      </c>
      <c r="D15" s="9">
        <v>1122</v>
      </c>
      <c r="E15" s="8" t="s">
        <v>28</v>
      </c>
      <c r="F15" s="2"/>
      <c r="G15" s="10">
        <v>99450</v>
      </c>
      <c r="H15" s="8" t="s">
        <v>225</v>
      </c>
      <c r="I15" s="8" t="s">
        <v>5</v>
      </c>
      <c r="J15" s="8"/>
      <c r="K15" s="14">
        <v>2011</v>
      </c>
      <c r="L15" s="14">
        <v>4</v>
      </c>
      <c r="M15" s="14">
        <v>27</v>
      </c>
    </row>
    <row r="16" customFormat="1" spans="1:13">
      <c r="A16" s="6" t="s">
        <v>239</v>
      </c>
      <c r="B16" s="7">
        <v>1</v>
      </c>
      <c r="C16" s="8" t="s">
        <v>340</v>
      </c>
      <c r="D16" s="9">
        <v>6001</v>
      </c>
      <c r="E16" s="8" t="s">
        <v>162</v>
      </c>
      <c r="F16" s="10">
        <v>116000</v>
      </c>
      <c r="G16" s="10"/>
      <c r="H16" s="8" t="s">
        <v>225</v>
      </c>
      <c r="I16" s="8" t="s">
        <v>5</v>
      </c>
      <c r="J16" s="8"/>
      <c r="K16" s="14">
        <v>2011</v>
      </c>
      <c r="L16" s="14">
        <v>4</v>
      </c>
      <c r="M16" s="14">
        <v>27</v>
      </c>
    </row>
    <row r="17" customFormat="1" spans="1:13">
      <c r="A17" s="6" t="s">
        <v>239</v>
      </c>
      <c r="B17" s="7">
        <v>1</v>
      </c>
      <c r="C17" s="8" t="s">
        <v>340</v>
      </c>
      <c r="D17" s="9">
        <v>22210101</v>
      </c>
      <c r="E17" s="8" t="s">
        <v>234</v>
      </c>
      <c r="F17" s="10"/>
      <c r="G17" s="10">
        <v>16550</v>
      </c>
      <c r="H17" s="8" t="s">
        <v>225</v>
      </c>
      <c r="I17" s="8" t="s">
        <v>5</v>
      </c>
      <c r="J17" s="8"/>
      <c r="K17" s="14">
        <v>2011</v>
      </c>
      <c r="L17" s="14">
        <v>4</v>
      </c>
      <c r="M17" s="14">
        <v>27</v>
      </c>
    </row>
    <row r="18" customFormat="1" spans="1:13">
      <c r="A18" s="1" t="s">
        <v>228</v>
      </c>
      <c r="B18" s="7">
        <v>6</v>
      </c>
      <c r="C18" t="s">
        <v>241</v>
      </c>
      <c r="D18" s="12">
        <v>1001</v>
      </c>
      <c r="E18" t="s">
        <v>13</v>
      </c>
      <c r="F18" s="2">
        <v>112</v>
      </c>
      <c r="G18" s="2"/>
      <c r="H18" s="8" t="s">
        <v>225</v>
      </c>
      <c r="I18" s="8" t="s">
        <v>5</v>
      </c>
      <c r="J18" s="8"/>
      <c r="K18" s="12">
        <v>2013</v>
      </c>
      <c r="L18" s="12">
        <v>11</v>
      </c>
      <c r="M18" s="12">
        <v>21</v>
      </c>
    </row>
    <row r="19" customFormat="1" spans="1:13">
      <c r="A19" s="1" t="s">
        <v>228</v>
      </c>
      <c r="B19" s="7">
        <v>6</v>
      </c>
      <c r="C19" t="s">
        <v>241</v>
      </c>
      <c r="D19" s="12">
        <v>1406</v>
      </c>
      <c r="E19" t="s">
        <v>55</v>
      </c>
      <c r="F19" s="2"/>
      <c r="G19" s="2">
        <v>112</v>
      </c>
      <c r="H19" s="8" t="s">
        <v>225</v>
      </c>
      <c r="I19" s="8" t="s">
        <v>5</v>
      </c>
      <c r="J19" s="8"/>
      <c r="K19" s="12">
        <v>2013</v>
      </c>
      <c r="L19" s="12">
        <v>11</v>
      </c>
      <c r="M19" s="12">
        <v>21</v>
      </c>
    </row>
    <row r="20" customFormat="1" spans="1:13">
      <c r="A20" s="1" t="s">
        <v>228</v>
      </c>
      <c r="B20" s="7">
        <v>7</v>
      </c>
      <c r="C20" t="s">
        <v>26</v>
      </c>
      <c r="D20" s="12">
        <v>1001</v>
      </c>
      <c r="E20" t="s">
        <v>13</v>
      </c>
      <c r="F20" s="2">
        <v>111</v>
      </c>
      <c r="G20" s="2"/>
      <c r="H20" s="8" t="s">
        <v>225</v>
      </c>
      <c r="I20" s="8" t="s">
        <v>5</v>
      </c>
      <c r="J20" s="8" t="s">
        <v>5</v>
      </c>
      <c r="K20" s="12">
        <v>2013</v>
      </c>
      <c r="L20" s="12">
        <v>11</v>
      </c>
      <c r="M20" s="12">
        <v>2</v>
      </c>
    </row>
    <row r="21" customFormat="1" spans="1:13">
      <c r="A21" s="1" t="s">
        <v>228</v>
      </c>
      <c r="B21" s="7">
        <v>7</v>
      </c>
      <c r="C21" t="s">
        <v>26</v>
      </c>
      <c r="D21" s="12">
        <v>1121</v>
      </c>
      <c r="E21" t="s">
        <v>26</v>
      </c>
      <c r="F21" s="2"/>
      <c r="G21" s="2">
        <v>111</v>
      </c>
      <c r="H21" s="8" t="s">
        <v>225</v>
      </c>
      <c r="I21" s="8" t="s">
        <v>5</v>
      </c>
      <c r="J21" s="8" t="s">
        <v>5</v>
      </c>
      <c r="K21" s="12">
        <v>2013</v>
      </c>
      <c r="L21" s="12">
        <v>11</v>
      </c>
      <c r="M21" s="12">
        <v>2</v>
      </c>
    </row>
    <row r="22" customFormat="1" spans="1:13">
      <c r="A22" s="1" t="s">
        <v>228</v>
      </c>
      <c r="B22" s="7">
        <v>8</v>
      </c>
      <c r="C22" t="s">
        <v>28</v>
      </c>
      <c r="D22" s="12">
        <v>1001</v>
      </c>
      <c r="E22" t="s">
        <v>13</v>
      </c>
      <c r="F22" s="2">
        <v>112</v>
      </c>
      <c r="G22" s="2"/>
      <c r="H22" s="8" t="s">
        <v>225</v>
      </c>
      <c r="I22" s="8" t="s">
        <v>5</v>
      </c>
      <c r="J22" s="8" t="s">
        <v>5</v>
      </c>
      <c r="K22" s="12">
        <v>2013</v>
      </c>
      <c r="L22" s="12">
        <v>1</v>
      </c>
      <c r="M22" s="12">
        <v>1</v>
      </c>
    </row>
    <row r="23" customFormat="1" spans="1:13">
      <c r="A23" s="1" t="s">
        <v>228</v>
      </c>
      <c r="B23" s="7">
        <v>8</v>
      </c>
      <c r="C23" t="s">
        <v>28</v>
      </c>
      <c r="D23" s="12">
        <v>1122</v>
      </c>
      <c r="E23" t="s">
        <v>28</v>
      </c>
      <c r="F23" s="2"/>
      <c r="G23" s="2">
        <v>112</v>
      </c>
      <c r="H23" s="8" t="s">
        <v>225</v>
      </c>
      <c r="I23" s="8" t="s">
        <v>5</v>
      </c>
      <c r="J23" s="8" t="s">
        <v>5</v>
      </c>
      <c r="K23" s="12">
        <v>2013</v>
      </c>
      <c r="L23" s="12">
        <v>1</v>
      </c>
      <c r="M23" s="12">
        <v>1</v>
      </c>
    </row>
    <row r="24" customFormat="1" spans="1:13">
      <c r="A24" s="1"/>
      <c r="B24" s="12"/>
      <c r="D24" s="12"/>
      <c r="F24" s="2"/>
      <c r="G24" s="2"/>
      <c r="H24" s="1"/>
      <c r="I24" s="1"/>
      <c r="J24" s="1"/>
      <c r="K24" s="12"/>
      <c r="L24" s="12"/>
      <c r="M24" s="12"/>
    </row>
    <row r="25" customFormat="1" spans="1:13">
      <c r="A25" s="1"/>
      <c r="B25" s="12"/>
      <c r="D25" s="12"/>
      <c r="F25" s="2"/>
      <c r="G25" s="2"/>
      <c r="H25" s="1"/>
      <c r="I25" s="1"/>
      <c r="J25" s="1"/>
      <c r="K25" s="12"/>
      <c r="L25" s="12"/>
      <c r="M25" s="12"/>
    </row>
    <row r="26" customFormat="1" spans="1:13">
      <c r="A26" s="1"/>
      <c r="B26" s="12"/>
      <c r="D26" s="12"/>
      <c r="F26" s="2"/>
      <c r="G26" s="2"/>
      <c r="H26" s="1"/>
      <c r="I26" s="1"/>
      <c r="J26" s="1"/>
      <c r="K26" s="12"/>
      <c r="L26" s="12"/>
      <c r="M26" s="12"/>
    </row>
    <row r="27" customFormat="1" spans="1:13">
      <c r="A27" s="1"/>
      <c r="B27" s="12"/>
      <c r="D27" s="12"/>
      <c r="F27" s="2"/>
      <c r="G27" s="2"/>
      <c r="H27" s="1"/>
      <c r="I27" s="1"/>
      <c r="J27" s="1"/>
      <c r="K27" s="12"/>
      <c r="L27" s="12"/>
      <c r="M27" s="12"/>
    </row>
    <row r="28" customFormat="1" spans="1:13">
      <c r="A28" s="1"/>
      <c r="B28" s="12"/>
      <c r="D28" s="12"/>
      <c r="F28" s="2"/>
      <c r="G28" s="2"/>
      <c r="H28" s="1"/>
      <c r="I28" s="1"/>
      <c r="J28" s="1"/>
      <c r="K28" s="12"/>
      <c r="L28" s="12"/>
      <c r="M28" s="12"/>
    </row>
    <row r="29" customFormat="1" spans="1:13">
      <c r="A29" s="1"/>
      <c r="B29" s="12"/>
      <c r="D29" s="12"/>
      <c r="F29" s="2"/>
      <c r="G29" s="2"/>
      <c r="H29" s="1"/>
      <c r="I29" s="1"/>
      <c r="J29" s="1"/>
      <c r="K29" s="12"/>
      <c r="L29" s="12"/>
      <c r="M29" s="12"/>
    </row>
    <row r="30" customFormat="1" spans="1:13">
      <c r="A30" s="1"/>
      <c r="B30" s="12"/>
      <c r="D30" s="12"/>
      <c r="F30" s="2"/>
      <c r="G30" s="2"/>
      <c r="H30" s="1"/>
      <c r="I30" s="1"/>
      <c r="J30" s="1"/>
      <c r="K30" s="12"/>
      <c r="L30" s="12"/>
      <c r="M30" s="12"/>
    </row>
    <row r="31" customFormat="1" spans="1:13">
      <c r="A31" s="1"/>
      <c r="B31" s="12"/>
      <c r="D31" s="12"/>
      <c r="F31" s="2"/>
      <c r="G31" s="2"/>
      <c r="H31" s="1"/>
      <c r="I31" s="1"/>
      <c r="J31" s="1"/>
      <c r="K31" s="12"/>
      <c r="L31" s="12"/>
      <c r="M31" s="12"/>
    </row>
    <row r="32" customFormat="1" spans="1:13">
      <c r="A32" s="1"/>
      <c r="B32" s="12"/>
      <c r="D32" s="12"/>
      <c r="F32" s="2"/>
      <c r="G32" s="2"/>
      <c r="H32" s="1"/>
      <c r="I32" s="1"/>
      <c r="J32" s="1"/>
      <c r="K32" s="12"/>
      <c r="L32" s="12"/>
      <c r="M32" s="12"/>
    </row>
    <row r="33" customFormat="1" spans="1:13">
      <c r="A33" s="1"/>
      <c r="B33" s="12"/>
      <c r="D33" s="12"/>
      <c r="F33" s="2"/>
      <c r="G33" s="2"/>
      <c r="H33" s="1"/>
      <c r="I33" s="1"/>
      <c r="J33" s="1"/>
      <c r="K33" s="12"/>
      <c r="L33" s="12"/>
      <c r="M33" s="12"/>
    </row>
    <row r="34" customFormat="1" spans="1:13">
      <c r="A34" s="1"/>
      <c r="B34" s="12"/>
      <c r="D34" s="12"/>
      <c r="F34" s="2"/>
      <c r="G34" s="2"/>
      <c r="H34" s="1"/>
      <c r="I34" s="1"/>
      <c r="J34" s="1"/>
      <c r="K34" s="12"/>
      <c r="L34" s="12"/>
      <c r="M34" s="12"/>
    </row>
    <row r="35" customFormat="1" spans="1:13">
      <c r="A35" s="1"/>
      <c r="B35" s="12"/>
      <c r="D35" s="12"/>
      <c r="F35" s="2"/>
      <c r="G35" s="2"/>
      <c r="H35" s="1"/>
      <c r="I35" s="1"/>
      <c r="J35" s="1"/>
      <c r="K35" s="12"/>
      <c r="L35" s="12"/>
      <c r="M35" s="12"/>
    </row>
    <row r="36" customFormat="1" spans="1:13">
      <c r="A36" s="1"/>
      <c r="B36" s="12"/>
      <c r="D36" s="12"/>
      <c r="F36" s="2"/>
      <c r="G36" s="2"/>
      <c r="H36" s="1"/>
      <c r="I36" s="1"/>
      <c r="J36" s="1"/>
      <c r="K36" s="12"/>
      <c r="L36" s="12"/>
      <c r="M36" s="12"/>
    </row>
    <row r="37" customFormat="1" spans="1:13">
      <c r="A37" s="1"/>
      <c r="B37" s="12"/>
      <c r="D37" s="12"/>
      <c r="F37" s="2"/>
      <c r="G37" s="2"/>
      <c r="H37" s="1"/>
      <c r="I37" s="1"/>
      <c r="J37" s="1"/>
      <c r="K37" s="12"/>
      <c r="L37" s="12"/>
      <c r="M37" s="12"/>
    </row>
    <row r="38" customFormat="1" spans="1:13">
      <c r="A38" s="1"/>
      <c r="B38" s="12"/>
      <c r="D38" s="12"/>
      <c r="F38" s="2"/>
      <c r="G38" s="2"/>
      <c r="H38" s="1"/>
      <c r="I38" s="1"/>
      <c r="J38" s="1"/>
      <c r="K38" s="12"/>
      <c r="L38" s="12"/>
      <c r="M38" s="12"/>
    </row>
    <row r="39" customFormat="1" spans="1:13">
      <c r="A39" s="1"/>
      <c r="B39" s="12"/>
      <c r="D39" s="12"/>
      <c r="F39" s="2"/>
      <c r="G39" s="2"/>
      <c r="H39" s="1"/>
      <c r="I39" s="1"/>
      <c r="J39" s="1"/>
      <c r="K39" s="12"/>
      <c r="L39" s="12"/>
      <c r="M39" s="12"/>
    </row>
    <row r="40" customFormat="1" spans="1:13">
      <c r="A40" s="1"/>
      <c r="B40" s="1"/>
      <c r="C40" s="1"/>
      <c r="D40" s="12"/>
      <c r="F40" s="2"/>
      <c r="G40" s="2"/>
      <c r="H40" s="1"/>
      <c r="I40" s="1"/>
      <c r="J40" s="1"/>
      <c r="K40" s="12"/>
      <c r="L40" s="12"/>
      <c r="M40" s="12"/>
    </row>
    <row r="41" customFormat="1" spans="1:13">
      <c r="A41" s="1"/>
      <c r="B41" s="1"/>
      <c r="C41" s="1"/>
      <c r="D41" s="12"/>
      <c r="F41" s="2"/>
      <c r="G41" s="2"/>
      <c r="H41" s="1"/>
      <c r="I41" s="1"/>
      <c r="J41" s="1"/>
      <c r="K41" s="12"/>
      <c r="L41" s="12"/>
      <c r="M41" s="12"/>
    </row>
    <row r="42" customFormat="1" spans="1:13">
      <c r="A42" s="1"/>
      <c r="B42" s="1"/>
      <c r="C42" s="1"/>
      <c r="D42" s="12"/>
      <c r="F42" s="2"/>
      <c r="G42" s="2"/>
      <c r="H42" s="1"/>
      <c r="I42" s="1"/>
      <c r="J42" s="1"/>
      <c r="K42" s="12"/>
      <c r="L42" s="12"/>
      <c r="M42" s="12"/>
    </row>
    <row r="43" customFormat="1" spans="1:13">
      <c r="A43" s="1"/>
      <c r="B43" s="1"/>
      <c r="C43" s="1"/>
      <c r="D43" s="1"/>
      <c r="E43" s="1"/>
      <c r="F43" s="2"/>
      <c r="G43" s="2"/>
      <c r="H43" s="1"/>
      <c r="I43" s="1"/>
      <c r="J43" s="1"/>
      <c r="K43" s="12"/>
      <c r="L43" s="12"/>
      <c r="M43" s="12"/>
    </row>
    <row r="44" customFormat="1" spans="1:13">
      <c r="A44" s="1"/>
      <c r="B44" s="1"/>
      <c r="C44" s="1"/>
      <c r="D44" s="1"/>
      <c r="E44" s="1"/>
      <c r="F44" s="2"/>
      <c r="G44" s="2"/>
      <c r="H44" s="1"/>
      <c r="I44" s="1"/>
      <c r="J44" s="1"/>
      <c r="K44" s="12"/>
      <c r="L44" s="12"/>
      <c r="M44" s="12"/>
    </row>
    <row r="45" customFormat="1" spans="1:13">
      <c r="A45" s="1"/>
      <c r="B45" s="1"/>
      <c r="C45" s="1"/>
      <c r="D45" s="1"/>
      <c r="E45" s="1"/>
      <c r="F45" s="2"/>
      <c r="G45" s="2"/>
      <c r="H45" s="1"/>
      <c r="I45" s="1"/>
      <c r="J45" s="1"/>
      <c r="K45" s="12"/>
      <c r="L45" s="12"/>
      <c r="M45" s="12"/>
    </row>
    <row r="46" customFormat="1" spans="1:13">
      <c r="A46" s="1"/>
      <c r="B46" s="1"/>
      <c r="C46" s="1"/>
      <c r="D46" s="1"/>
      <c r="E46" s="1"/>
      <c r="F46" s="2"/>
      <c r="G46" s="2"/>
      <c r="H46" s="1"/>
      <c r="I46" s="1"/>
      <c r="J46" s="1"/>
      <c r="K46" s="12"/>
      <c r="L46" s="12"/>
      <c r="M46" s="12"/>
    </row>
    <row r="47" customFormat="1" spans="1:13">
      <c r="A47" s="1"/>
      <c r="B47" s="1"/>
      <c r="C47" s="1"/>
      <c r="D47" s="1"/>
      <c r="E47" s="1"/>
      <c r="F47" s="2"/>
      <c r="G47" s="2"/>
      <c r="H47" s="1"/>
      <c r="I47" s="1"/>
      <c r="J47" s="1"/>
      <c r="K47" s="12"/>
      <c r="L47" s="12"/>
      <c r="M47" s="12"/>
    </row>
    <row r="48" customFormat="1" spans="1:13">
      <c r="A48" s="1"/>
      <c r="B48" s="1"/>
      <c r="C48" s="1"/>
      <c r="D48" s="1"/>
      <c r="E48" s="1"/>
      <c r="F48" s="2"/>
      <c r="G48" s="2"/>
      <c r="H48" s="1"/>
      <c r="I48" s="1"/>
      <c r="J48" s="1"/>
      <c r="K48" s="12"/>
      <c r="L48" s="12"/>
      <c r="M48" s="12"/>
    </row>
    <row r="49" customFormat="1" spans="1:13">
      <c r="A49" s="1"/>
      <c r="B49" s="1"/>
      <c r="C49" s="1"/>
      <c r="D49" s="1"/>
      <c r="E49" s="1"/>
      <c r="F49" s="2"/>
      <c r="G49" s="2"/>
      <c r="H49" s="1"/>
      <c r="I49" s="1"/>
      <c r="J49" s="1"/>
      <c r="K49" s="12"/>
      <c r="L49" s="12"/>
      <c r="M49" s="12"/>
    </row>
    <row r="50" customFormat="1" spans="1:13">
      <c r="A50" s="1"/>
      <c r="B50" s="1"/>
      <c r="C50" s="1"/>
      <c r="D50" s="1"/>
      <c r="E50" s="1"/>
      <c r="F50" s="2"/>
      <c r="G50" s="2"/>
      <c r="H50" s="1"/>
      <c r="I50" s="1"/>
      <c r="J50" s="1"/>
      <c r="K50" s="12"/>
      <c r="L50" s="12"/>
      <c r="M50" s="12"/>
    </row>
    <row r="51" customFormat="1" spans="1:13">
      <c r="A51" s="1"/>
      <c r="B51" s="1"/>
      <c r="C51" s="1"/>
      <c r="D51" s="1"/>
      <c r="E51" s="1"/>
      <c r="F51" s="2"/>
      <c r="G51" s="2"/>
      <c r="H51" s="1"/>
      <c r="I51" s="1"/>
      <c r="J51" s="1"/>
      <c r="K51" s="12"/>
      <c r="L51" s="12"/>
      <c r="M51" s="12"/>
    </row>
    <row r="52" customFormat="1" spans="1:13">
      <c r="A52" s="1"/>
      <c r="B52" s="1"/>
      <c r="C52" s="1"/>
      <c r="D52" s="1"/>
      <c r="E52" s="1"/>
      <c r="F52" s="2"/>
      <c r="G52" s="2"/>
      <c r="H52" s="1"/>
      <c r="I52" s="1"/>
      <c r="J52" s="1"/>
      <c r="K52" s="12"/>
      <c r="L52" s="12"/>
      <c r="M52" s="12"/>
    </row>
    <row r="53" customFormat="1" spans="1:10">
      <c r="A53" s="1"/>
      <c r="B53" s="1"/>
      <c r="C53" s="1"/>
      <c r="D53" s="1"/>
      <c r="E53" s="1"/>
      <c r="F53" s="2"/>
      <c r="G53" s="2"/>
      <c r="H53" s="1"/>
      <c r="I53" s="1"/>
      <c r="J53" s="1"/>
    </row>
    <row r="54" customFormat="1" spans="1:10">
      <c r="A54" s="1"/>
      <c r="B54" s="1"/>
      <c r="C54" s="1"/>
      <c r="D54" s="1"/>
      <c r="E54" s="1"/>
      <c r="F54" s="2"/>
      <c r="G54" s="2"/>
      <c r="H54" s="1"/>
      <c r="I54" s="1"/>
      <c r="J54" s="1"/>
    </row>
    <row r="55" customFormat="1" spans="1:10">
      <c r="A55" s="1"/>
      <c r="B55" s="1"/>
      <c r="C55" s="1"/>
      <c r="D55" s="1"/>
      <c r="E55" s="1"/>
      <c r="F55" s="2"/>
      <c r="G55" s="2"/>
      <c r="H55" s="1"/>
      <c r="I55" s="1"/>
      <c r="J55" s="1"/>
    </row>
    <row r="56" customFormat="1" spans="1:10">
      <c r="A56" s="1"/>
      <c r="B56" s="1"/>
      <c r="C56" s="1"/>
      <c r="D56" s="1"/>
      <c r="E56" s="1"/>
      <c r="F56" s="2"/>
      <c r="G56" s="2"/>
      <c r="H56" s="1"/>
      <c r="I56" s="1"/>
      <c r="J56" s="1"/>
    </row>
    <row r="57" customFormat="1" spans="1:7">
      <c r="A57" s="1"/>
      <c r="B57" s="1"/>
      <c r="C57" s="1"/>
      <c r="D57" s="1"/>
      <c r="E57" s="1"/>
      <c r="F57" s="2"/>
      <c r="G57" s="2"/>
    </row>
    <row r="58" customFormat="1" spans="1:7">
      <c r="A58" s="1"/>
      <c r="B58" s="1"/>
      <c r="C58" s="1"/>
      <c r="D58" s="1"/>
      <c r="E58" s="1"/>
      <c r="F58" s="2"/>
      <c r="G58" s="2"/>
    </row>
    <row r="59" customFormat="1" spans="1:7">
      <c r="A59" s="1"/>
      <c r="B59" s="1"/>
      <c r="C59" s="1"/>
      <c r="D59" s="1"/>
      <c r="E59" s="1"/>
      <c r="F59" s="2"/>
      <c r="G59" s="2"/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CCBFU</Company>
  <Application>Microsoft Excel</Application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用户登录</vt:lpstr>
      <vt:lpstr>界面</vt:lpstr>
      <vt:lpstr>会计科目</vt:lpstr>
      <vt:lpstr>期初余额</vt:lpstr>
      <vt:lpstr>凭证填制</vt:lpstr>
      <vt:lpstr>记账凭证</vt:lpstr>
      <vt:lpstr>记账凭证汇总</vt:lpstr>
      <vt:lpstr>总账</vt:lpstr>
      <vt:lpstr>明细账</vt:lpstr>
      <vt:lpstr>科目汇总表</vt:lpstr>
      <vt:lpstr>余额表</vt:lpstr>
      <vt:lpstr>利润表</vt:lpstr>
      <vt:lpstr>资产负债表</vt:lpstr>
      <vt:lpstr>用户权限</vt:lpstr>
      <vt:lpstr>记账凭证汇总备份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Center of BFU</dc:creator>
  <cp:lastModifiedBy>大王叫我来巡山</cp:lastModifiedBy>
  <dcterms:created xsi:type="dcterms:W3CDTF">2017-05-01T06:53:00Z</dcterms:created>
  <dcterms:modified xsi:type="dcterms:W3CDTF">2017-10-09T23:56:48Z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2052-10.1.0.6750</vt:lpwstr>
  </property>
</Properties>
</file>